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9" i="21" l="1"/>
  <c r="L30" i="32"/>
  <c r="J30" i="32"/>
  <c r="J33" i="32"/>
  <c r="J28" i="32"/>
  <c r="J29" i="32"/>
  <c r="J31" i="32"/>
  <c r="J32" i="32"/>
  <c r="J23" i="32"/>
  <c r="I30" i="32"/>
  <c r="I31" i="32"/>
  <c r="I18" i="21"/>
  <c r="I17" i="21"/>
  <c r="I15" i="21"/>
  <c r="I14" i="21"/>
  <c r="I13" i="21"/>
  <c r="H15" i="21"/>
  <c r="I10" i="21"/>
  <c r="H10" i="21"/>
  <c r="H9" i="21"/>
  <c r="I29" i="21"/>
  <c r="H26" i="21" l="1"/>
  <c r="M13" i="2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6" i="32"/>
  <c r="J27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<sst xmlns="http://schemas.openxmlformats.org/spreadsheetml/2006/main" count="159" uniqueCount="113">
  <si>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</si>
  <si>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</si>
  <si>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</si>
  <si>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</si>
  <si>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</si>
  <si>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</si>
  <si>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</si>
  <si>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</si>
  <si>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</si>
  <si>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</si>
  <si>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</si>
  <si>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</si>
  <si>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</si>
  <si>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</si>
  <si>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</si>
  <si>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</si>
  <si>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</si>
  <si>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</si>
  <si>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</si>
  <si>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</si>
  <si>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</si>
  <si>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</si>
  <si>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</si>
  <si>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</si>
  <si>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</si>
  <si>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</si>
  <si>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</si>
  <si>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</si>
  <si>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</si>
  <si>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</si>
  <si>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</si>
  <si>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</si>
  <si>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</si>
  <si>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</si>
  <si>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</si>
  <si>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</si>
  <si>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</si>
  <si>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</si>
  <si>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</si>
  <si>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</si>
  <si>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</si>
  <si>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</si>
  <si>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</si>
  <si>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</si>
  <si>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</si>
  <si>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</si>
  <si>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</si>
  <si>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</si>
  <si>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</si>
  <si>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</si>
  <si>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</si>
  <si>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</si>
  <si>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</si>
  <si>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</si>
  <si>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</si>
  <si>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</si>
  <si>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</si>
  <si>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</si>
  <si>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</si>
  <si>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</si>
  <si>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</si>
  <si>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</si>
  <si>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</si>
  <si>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</si>
  <si>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</si>
  <si>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</si>
  <si>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</si>
  <si>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</si>
  <si>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</si>
  <si>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</si>
  <si>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</si>
  <si>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</si>
  <si>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</si>
  <si>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</si>
  <si>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</si>
  <si>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</si>
  <si>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</si>
  <si>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</si>
  <si>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</si>
  <si>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</si>
  <si>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</si>
  <si>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</si>
  <si>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</si>
  <si>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</si>
  <si>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</si>
  <si>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</si>
  <si>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</si>
  <si>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</si>
  <si>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</si>
  <si>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</si>
  <si>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</si>
  <si>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</si>
  <si>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</si>
  <si>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</si>
  <si>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</si>
  <si>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</si>
  <si>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</si>
  <si>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</si>
  <si>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</si>
  <si>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</si>
  <si>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</si>
  <si>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 xml:space="preserve"> </t>
    <phoneticPr fontId="21" type="noConversion"/>
  </si>
  <si>
    <t>11월(A)</t>
    <phoneticPr fontId="10" type="noConversion"/>
  </si>
  <si>
    <t xml:space="preserve"> 11월누계(B) </t>
    <phoneticPr fontId="10" type="noConversion"/>
  </si>
  <si>
    <t>11월(C)</t>
    <phoneticPr fontId="10" type="noConversion"/>
  </si>
  <si>
    <t xml:space="preserve"> 11월누계(D) </t>
    <phoneticPr fontId="10" type="noConversion"/>
  </si>
  <si>
    <t>부두별 컨테이너 물동량(11월)</t>
    <phoneticPr fontId="22" type="noConversion"/>
  </si>
  <si>
    <t>항만운영통계(11월)</t>
    <phoneticPr fontId="10" type="noConversion"/>
  </si>
  <si>
    <t>2024년도</t>
    <phoneticPr fontId="10" type="noConversion"/>
  </si>
  <si>
    <t>2025년도</t>
    <phoneticPr fontId="10" type="noConversion"/>
  </si>
  <si>
    <t>2024년도</t>
    <phoneticPr fontId="10" type="noConversion"/>
  </si>
  <si>
    <t>2025년도</t>
    <phoneticPr fontId="10" type="noConversion"/>
  </si>
  <si>
    <t>2025.11.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</si>
</sst>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34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317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176" fontId="24" fillId="0" borderId="13" xfId="15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6" fontId="23" fillId="6" borderId="32" xfId="0" applyNumberFormat="1" applyFont="1" applyFill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/>
    </xf>
    <xf numFmtId="187" fontId="23" fillId="6" borderId="32" xfId="0" quotePrefix="1" applyNumberFormat="1" applyFont="1" applyFill="1" applyBorder="1" applyAlignment="1">
      <alignment horizontal="center" vertical="center"/>
    </xf>
    <xf numFmtId="188" fontId="38" fillId="0" borderId="33" xfId="0" applyNumberFormat="1" applyFont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182" fontId="15" fillId="0" borderId="6" xfId="0" applyNumberFormat="1" applyFont="1" applyBorder="1" applyAlignment="1">
      <alignment horizontal="right"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5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185" fontId="16" fillId="5" borderId="37" xfId="17" applyNumberFormat="1" applyFont="1" applyFill="1" applyBorder="1" applyAlignment="1">
      <alignment horizontal="right" vertical="center" shrinkToFit="1"/>
    </xf>
    <xf numFmtId="185" fontId="16" fillId="9" borderId="37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8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7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0" fontId="24" fillId="6" borderId="10" xfId="17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4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41" fontId="24" fillId="9" borderId="6" xfId="23" applyFont="1" applyFill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76" fontId="24" fillId="0" borderId="25" xfId="15" applyFont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 shrinkToFit="1"/>
    </xf>
    <xf numFmtId="176" fontId="24" fillId="0" borderId="25" xfId="15" applyFont="1" applyBorder="1" applyAlignment="1">
      <alignment horizontal="center" vertical="center" shrinkToFit="1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41" fontId="24" fillId="9" borderId="6" xfId="23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5" borderId="6" xfId="40" applyFont="1" applyFill="1" applyBorder="1" applyAlignment="1">
      <alignment horizontal="center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15" fillId="0" borderId="6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15" fillId="5" borderId="6" xfId="15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76" fontId="31" fillId="8" borderId="22" xfId="15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82" fontId="15" fillId="0" borderId="6" xfId="0" applyNumberFormat="1" applyFont="1" applyBorder="1" applyAlignment="1">
      <alignment horizontal="right" vertical="center"/>
    </xf>
    <xf numFmtId="185" fontId="16" fillId="5" borderId="37" xfId="17" applyNumberFormat="1" applyFont="1" applyFill="1" applyBorder="1" applyAlignment="1">
      <alignment horizontal="right" vertical="center" shrinkToFit="1"/>
    </xf>
    <xf numFmtId="183" fontId="24" fillId="9" borderId="28" xfId="0" applyNumberFormat="1" applyFont="1" applyFill="1" applyBorder="1" applyAlignment="1">
      <alignment horizontal="right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</cellXfs>
  <cellStyles count="234">
    <cellStyle name="20% - 강조색6" xfId="103" builtinId="50"/>
    <cellStyle name="20% - 강조색6 2" xfId="233"/>
    <cellStyle name="20% - 강조색6 3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232"/>
    <cellStyle name="쉼표 [0] 5 2 3" xfId="167"/>
    <cellStyle name="쉼표 [0] 5 3" xfId="200"/>
    <cellStyle name="쉼표 [0] 5 4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201"/>
    <cellStyle name="표준 3 10 3" xfId="136"/>
    <cellStyle name="표준 3 11" xfId="169"/>
    <cellStyle name="표준 3 12" xfId="104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2 2 2" xfId="231"/>
    <cellStyle name="표준 3 2 2 2 2 2 3" xfId="166"/>
    <cellStyle name="표준 3 2 2 2 2 3" xfId="199"/>
    <cellStyle name="표준 3 2 2 2 2 4" xfId="134"/>
    <cellStyle name="표준 3 2 2 2 3" xfId="86"/>
    <cellStyle name="표준 3 2 2 2 3 2" xfId="216"/>
    <cellStyle name="표준 3 2 2 2 3 3" xfId="151"/>
    <cellStyle name="표준 3 2 2 2 4" xfId="184"/>
    <cellStyle name="표준 3 2 2 2 5" xfId="119"/>
    <cellStyle name="표준 3 2 2 3" xfId="47"/>
    <cellStyle name="표준 3 2 2 3 2" xfId="93"/>
    <cellStyle name="표준 3 2 2 3 2 2" xfId="223"/>
    <cellStyle name="표준 3 2 2 3 2 3" xfId="158"/>
    <cellStyle name="표준 3 2 2 3 3" xfId="191"/>
    <cellStyle name="표준 3 2 2 3 4" xfId="126"/>
    <cellStyle name="표준 3 2 2 4" xfId="78"/>
    <cellStyle name="표준 3 2 2 4 2" xfId="208"/>
    <cellStyle name="표준 3 2 2 4 3" xfId="143"/>
    <cellStyle name="표준 3 2 2 5" xfId="176"/>
    <cellStyle name="표준 3 2 2 6" xfId="111"/>
    <cellStyle name="표준 3 2 3" xfId="27"/>
    <cellStyle name="표준 3 2 3 2" xfId="37"/>
    <cellStyle name="표준 3 2 3 2 2" xfId="53"/>
    <cellStyle name="표준 3 2 3 2 2 2" xfId="99"/>
    <cellStyle name="표준 3 2 3 2 2 2 2" xfId="229"/>
    <cellStyle name="표준 3 2 3 2 2 2 3" xfId="164"/>
    <cellStyle name="표준 3 2 3 2 2 3" xfId="197"/>
    <cellStyle name="표준 3 2 3 2 2 4" xfId="132"/>
    <cellStyle name="표준 3 2 3 2 3" xfId="84"/>
    <cellStyle name="표준 3 2 3 2 3 2" xfId="214"/>
    <cellStyle name="표준 3 2 3 2 3 3" xfId="149"/>
    <cellStyle name="표준 3 2 3 2 4" xfId="182"/>
    <cellStyle name="표준 3 2 3 2 5" xfId="117"/>
    <cellStyle name="표준 3 2 3 3" xfId="45"/>
    <cellStyle name="표준 3 2 3 3 2" xfId="91"/>
    <cellStyle name="표준 3 2 3 3 2 2" xfId="221"/>
    <cellStyle name="표준 3 2 3 3 2 3" xfId="156"/>
    <cellStyle name="표준 3 2 3 3 3" xfId="189"/>
    <cellStyle name="표준 3 2 3 3 4" xfId="124"/>
    <cellStyle name="표준 3 2 3 4" xfId="76"/>
    <cellStyle name="표준 3 2 3 4 2" xfId="206"/>
    <cellStyle name="표준 3 2 3 4 3" xfId="141"/>
    <cellStyle name="표준 3 2 3 5" xfId="174"/>
    <cellStyle name="표준 3 2 3 6" xfId="109"/>
    <cellStyle name="표준 3 2 4" xfId="35"/>
    <cellStyle name="표준 3 2 4 2" xfId="51"/>
    <cellStyle name="표준 3 2 4 2 2" xfId="97"/>
    <cellStyle name="표준 3 2 4 2 2 2" xfId="227"/>
    <cellStyle name="표준 3 2 4 2 2 3" xfId="162"/>
    <cellStyle name="표준 3 2 4 2 3" xfId="195"/>
    <cellStyle name="표준 3 2 4 2 4" xfId="130"/>
    <cellStyle name="표준 3 2 4 3" xfId="82"/>
    <cellStyle name="표준 3 2 4 3 2" xfId="212"/>
    <cellStyle name="표준 3 2 4 3 3" xfId="147"/>
    <cellStyle name="표준 3 2 4 4" xfId="180"/>
    <cellStyle name="표준 3 2 4 5" xfId="115"/>
    <cellStyle name="표준 3 2 5" xfId="43"/>
    <cellStyle name="표준 3 2 5 2" xfId="89"/>
    <cellStyle name="표준 3 2 5 2 2" xfId="219"/>
    <cellStyle name="표준 3 2 5 2 3" xfId="154"/>
    <cellStyle name="표준 3 2 5 3" xfId="187"/>
    <cellStyle name="표준 3 2 5 4" xfId="122"/>
    <cellStyle name="표준 3 2 6" xfId="25"/>
    <cellStyle name="표준 3 2 6 2" xfId="74"/>
    <cellStyle name="표준 3 2 6 2 2" xfId="204"/>
    <cellStyle name="표준 3 2 6 2 3" xfId="139"/>
    <cellStyle name="표준 3 2 6 3" xfId="172"/>
    <cellStyle name="표준 3 2 6 4" xfId="107"/>
    <cellStyle name="표준 3 2 7" xfId="72"/>
    <cellStyle name="표준 3 2 7 2" xfId="202"/>
    <cellStyle name="표준 3 2 7 3" xfId="137"/>
    <cellStyle name="표준 3 2 8" xfId="170"/>
    <cellStyle name="표준 3 2 9" xfId="105"/>
    <cellStyle name="표준 3 3" xfId="28"/>
    <cellStyle name="표준 3 3 2" xfId="38"/>
    <cellStyle name="표준 3 3 2 2" xfId="54"/>
    <cellStyle name="표준 3 3 2 2 2" xfId="100"/>
    <cellStyle name="표준 3 3 2 2 2 2" xfId="230"/>
    <cellStyle name="표준 3 3 2 2 2 3" xfId="165"/>
    <cellStyle name="표준 3 3 2 2 3" xfId="198"/>
    <cellStyle name="표준 3 3 2 2 4" xfId="133"/>
    <cellStyle name="표준 3 3 2 3" xfId="85"/>
    <cellStyle name="표준 3 3 2 3 2" xfId="215"/>
    <cellStyle name="표준 3 3 2 3 3" xfId="150"/>
    <cellStyle name="표준 3 3 2 4" xfId="183"/>
    <cellStyle name="표준 3 3 2 5" xfId="118"/>
    <cellStyle name="표준 3 3 3" xfId="46"/>
    <cellStyle name="표준 3 3 3 2" xfId="92"/>
    <cellStyle name="표준 3 3 3 2 2" xfId="222"/>
    <cellStyle name="표준 3 3 3 2 3" xfId="157"/>
    <cellStyle name="표준 3 3 3 3" xfId="190"/>
    <cellStyle name="표준 3 3 3 4" xfId="125"/>
    <cellStyle name="표준 3 3 4" xfId="77"/>
    <cellStyle name="표준 3 3 4 2" xfId="207"/>
    <cellStyle name="표준 3 3 4 3" xfId="142"/>
    <cellStyle name="표준 3 3 5" xfId="175"/>
    <cellStyle name="표준 3 3 6" xfId="110"/>
    <cellStyle name="표준 3 4" xfId="26"/>
    <cellStyle name="표준 3 4 2" xfId="36"/>
    <cellStyle name="표준 3 4 2 2" xfId="52"/>
    <cellStyle name="표준 3 4 2 2 2" xfId="98"/>
    <cellStyle name="표준 3 4 2 2 2 2" xfId="228"/>
    <cellStyle name="표준 3 4 2 2 2 3" xfId="163"/>
    <cellStyle name="표준 3 4 2 2 3" xfId="196"/>
    <cellStyle name="표준 3 4 2 2 4" xfId="131"/>
    <cellStyle name="표준 3 4 2 3" xfId="83"/>
    <cellStyle name="표준 3 4 2 3 2" xfId="213"/>
    <cellStyle name="표준 3 4 2 3 3" xfId="148"/>
    <cellStyle name="표준 3 4 2 4" xfId="181"/>
    <cellStyle name="표준 3 4 2 5" xfId="116"/>
    <cellStyle name="표준 3 4 3" xfId="44"/>
    <cellStyle name="표준 3 4 3 2" xfId="90"/>
    <cellStyle name="표준 3 4 3 2 2" xfId="220"/>
    <cellStyle name="표준 3 4 3 2 3" xfId="155"/>
    <cellStyle name="표준 3 4 3 3" xfId="188"/>
    <cellStyle name="표준 3 4 3 4" xfId="123"/>
    <cellStyle name="표준 3 4 4" xfId="75"/>
    <cellStyle name="표준 3 4 4 2" xfId="205"/>
    <cellStyle name="표준 3 4 4 3" xfId="140"/>
    <cellStyle name="표준 3 4 5" xfId="173"/>
    <cellStyle name="표준 3 4 6" xfId="108"/>
    <cellStyle name="표준 3 5" xfId="30"/>
    <cellStyle name="표준 3 5 2" xfId="48"/>
    <cellStyle name="표준 3 5 2 2" xfId="94"/>
    <cellStyle name="표준 3 5 2 2 2" xfId="224"/>
    <cellStyle name="표준 3 5 2 2 3" xfId="159"/>
    <cellStyle name="표준 3 5 2 3" xfId="192"/>
    <cellStyle name="표준 3 5 2 4" xfId="127"/>
    <cellStyle name="표준 3 5 3" xfId="79"/>
    <cellStyle name="표준 3 5 3 2" xfId="209"/>
    <cellStyle name="표준 3 5 3 3" xfId="144"/>
    <cellStyle name="표준 3 5 4" xfId="177"/>
    <cellStyle name="표준 3 5 5" xfId="112"/>
    <cellStyle name="표준 3 6" xfId="34"/>
    <cellStyle name="표준 3 6 2" xfId="50"/>
    <cellStyle name="표준 3 6 2 2" xfId="96"/>
    <cellStyle name="표준 3 6 2 2 2" xfId="226"/>
    <cellStyle name="표준 3 6 2 2 3" xfId="161"/>
    <cellStyle name="표준 3 6 2 3" xfId="194"/>
    <cellStyle name="표준 3 6 2 4" xfId="129"/>
    <cellStyle name="표준 3 6 3" xfId="81"/>
    <cellStyle name="표준 3 6 3 2" xfId="211"/>
    <cellStyle name="표준 3 6 3 3" xfId="146"/>
    <cellStyle name="표준 3 6 4" xfId="179"/>
    <cellStyle name="표준 3 6 5" xfId="114"/>
    <cellStyle name="표준 3 7" xfId="42"/>
    <cellStyle name="표준 3 7 2" xfId="88"/>
    <cellStyle name="표준 3 7 2 2" xfId="218"/>
    <cellStyle name="표준 3 7 2 3" xfId="153"/>
    <cellStyle name="표준 3 7 3" xfId="186"/>
    <cellStyle name="표준 3 7 4" xfId="121"/>
    <cellStyle name="표준 3 8" xfId="24"/>
    <cellStyle name="표준 3 8 2" xfId="73"/>
    <cellStyle name="표준 3 8 2 2" xfId="203"/>
    <cellStyle name="표준 3 8 2 3" xfId="138"/>
    <cellStyle name="표준 3 8 3" xfId="171"/>
    <cellStyle name="표준 3 8 4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225"/>
    <cellStyle name="표준 6 2 2 3" xfId="160"/>
    <cellStyle name="표준 6 2 3" xfId="193"/>
    <cellStyle name="표준 6 2 4" xfId="128"/>
    <cellStyle name="표준 6 3" xfId="68"/>
    <cellStyle name="표준 6 4" xfId="80"/>
    <cellStyle name="표준 6 4 2" xfId="210"/>
    <cellStyle name="표준 6 4 3" xfId="145"/>
    <cellStyle name="표준 6 5" xfId="178"/>
    <cellStyle name="표준 6 6" xfId="113"/>
    <cellStyle name="표준 7" xfId="41"/>
    <cellStyle name="표준 7 2" xfId="69"/>
    <cellStyle name="표준 7 3" xfId="87"/>
    <cellStyle name="표준 7 3 2" xfId="217"/>
    <cellStyle name="표준 7 3 3" xfId="152"/>
    <cellStyle name="표준 7 4" xfId="185"/>
    <cellStyle name="표준 7 5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2025.11.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103071102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09184"/>
        <c:axId val="153727744"/>
      </c:lineChart>
      <c:catAx>
        <c:axId val="15370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37277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37277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37091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2025.11.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860803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02720"/>
        <c:axId val="155904640"/>
      </c:lineChart>
      <c:catAx>
        <c:axId val="155902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046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9046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0272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2025.11.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16928"/>
        <c:axId val="155927296"/>
      </c:lineChart>
      <c:catAx>
        <c:axId val="155916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27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9272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169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2025.11.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16694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51872"/>
        <c:axId val="155953792"/>
      </c:lineChart>
      <c:catAx>
        <c:axId val="155951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537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59537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9518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topLeftCell="A10" zoomScaleNormal="100" zoomScaleSheetLayoutView="110" workbookViewId="0">
      <selection activeCell="I10" sqref="I10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7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04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9"/>
      <c r="F2" s="34"/>
      <c r="G2" s="34"/>
      <c r="H2" s="34"/>
      <c r="I2" s="34"/>
      <c r="J2" s="34"/>
      <c r="K2" s="34"/>
      <c r="L2" s="179"/>
      <c r="M2" s="34"/>
      <c r="N2" s="34"/>
      <c r="O2" s="34"/>
      <c r="P2" s="34"/>
    </row>
    <row r="3" spans="2:16" ht="42.95" customHeight="1">
      <c r="B3" s="217" t="s">
        <v>107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9"/>
      <c r="N3" s="34"/>
      <c r="O3" s="34"/>
      <c r="P3" s="34"/>
    </row>
    <row r="4" spans="2:16" ht="21" customHeight="1">
      <c r="B4" s="95"/>
      <c r="C4" s="96"/>
      <c r="D4" s="96"/>
      <c r="E4" s="188"/>
      <c r="F4" s="96"/>
      <c r="G4" s="96"/>
      <c r="H4" s="96"/>
      <c r="I4" s="96"/>
      <c r="J4" s="96"/>
      <c r="K4" s="96"/>
      <c r="L4" s="188"/>
      <c r="M4" s="96"/>
    </row>
    <row r="5" spans="2:16" ht="21" customHeight="1">
      <c r="B5" s="32"/>
      <c r="C5" s="33"/>
      <c r="D5" s="33"/>
      <c r="E5" s="189"/>
      <c r="F5" s="33"/>
      <c r="G5" s="33"/>
      <c r="H5" s="33"/>
      <c r="I5" s="33"/>
      <c r="J5" s="33"/>
      <c r="K5" s="221" t="s">
        <v>85</v>
      </c>
      <c r="L5" s="221"/>
      <c r="M5" s="221"/>
    </row>
    <row r="6" spans="2:16" ht="21" customHeight="1">
      <c r="B6" s="235" t="s">
        <v>7</v>
      </c>
      <c r="C6" s="236"/>
      <c r="D6" s="236"/>
      <c r="E6" s="190"/>
      <c r="F6" s="220" t="s">
        <v>108</v>
      </c>
      <c r="G6" s="220"/>
      <c r="H6" s="220" t="s">
        <v>109</v>
      </c>
      <c r="I6" s="220"/>
      <c r="J6" s="220" t="s">
        <v>15</v>
      </c>
      <c r="K6" s="220"/>
      <c r="L6" s="220"/>
      <c r="M6" s="234"/>
    </row>
    <row r="7" spans="2:16" ht="21" customHeight="1" thickBot="1">
      <c r="B7" s="237"/>
      <c r="C7" s="238"/>
      <c r="D7" s="238"/>
      <c r="E7" s="181" t="s">
        <v>11</v>
      </c>
      <c r="F7" s="64" t="s">
        <v>102</v>
      </c>
      <c r="G7" s="63" t="s">
        <v>103</v>
      </c>
      <c r="H7" s="63" t="s">
        <v>104</v>
      </c>
      <c r="I7" s="63" t="s">
        <v>105</v>
      </c>
      <c r="J7" s="63" t="s">
        <v>37</v>
      </c>
      <c r="K7" s="65" t="s">
        <v>16</v>
      </c>
      <c r="L7" s="205" t="s">
        <v>18</v>
      </c>
      <c r="M7" s="66" t="s">
        <v>16</v>
      </c>
    </row>
    <row r="8" spans="2:16" ht="20.100000000000001" customHeight="1" thickBot="1">
      <c r="B8" s="229" t="s">
        <v>19</v>
      </c>
      <c r="C8" s="232" t="s">
        <v>12</v>
      </c>
      <c r="D8" s="233"/>
      <c r="E8" s="191">
        <f>SUM(E9:E10)</f>
        <v>17502</v>
      </c>
      <c r="F8" s="71">
        <f>SUM(F9:F10)</f>
        <v>1304</v>
      </c>
      <c r="G8" s="71">
        <f>SUM(G9:G10)</f>
        <v>15932</v>
      </c>
      <c r="H8" s="71">
        <f>SUM(H9:H10)</f>
        <v>1583</v>
      </c>
      <c r="I8" s="71">
        <f>SUM(I9:I10)</f>
        <v>16694</v>
      </c>
      <c r="J8" s="71">
        <f>H8-F8</f>
        <v>279</v>
      </c>
      <c r="K8" s="72">
        <f>H8/F8</f>
        <v>1.2139570552147239</v>
      </c>
      <c r="L8" s="191">
        <f>I8-G8</f>
        <v>762</v>
      </c>
      <c r="M8" s="73">
        <f>I8/G8</f>
        <v>1.0478282701481296</v>
      </c>
    </row>
    <row r="9" spans="2:16" ht="20.100000000000001" customHeight="1">
      <c r="B9" s="230"/>
      <c r="C9" s="239" t="s">
        <v>9</v>
      </c>
      <c r="D9" s="239"/>
      <c r="E9" s="290">
        <v>10370</v>
      </c>
      <c r="F9" s="278">
        <v>764</v>
      </c>
      <c r="G9" s="278">
        <v>9410</v>
      </c>
      <c r="H9" s="67">
        <f>397+409</f>
        <v>806</v>
      </c>
      <c r="I9" s="67">
        <f>4588+4615</f>
        <v>9203</v>
      </c>
      <c r="J9" s="68">
        <f t="shared" ref="J9:J28" si="0">H9-F9</f>
        <v>42</v>
      </c>
      <c r="K9" s="69">
        <f t="shared" ref="K9:K29" si="1">H9/F9</f>
        <v>1.0549738219895288</v>
      </c>
      <c r="L9" s="206">
        <f>I9-G9</f>
        <v>-207</v>
      </c>
      <c r="M9" s="70">
        <f t="shared" ref="M9:M25" si="2">I9/G9</f>
        <v>0.97800212539851217</v>
      </c>
    </row>
    <row r="10" spans="2:16" ht="20.100000000000001" customHeight="1" thickBot="1">
      <c r="B10" s="230"/>
      <c r="C10" s="240" t="s">
        <v>10</v>
      </c>
      <c r="D10" s="240"/>
      <c r="E10" s="291">
        <v>7132</v>
      </c>
      <c r="F10" s="279">
        <v>540</v>
      </c>
      <c r="G10" s="279">
        <v>6522</v>
      </c>
      <c r="H10" s="74">
        <f>386+391</f>
        <v>777</v>
      </c>
      <c r="I10" s="74">
        <f>3746+3745</f>
        <v>7491</v>
      </c>
      <c r="J10" s="74">
        <f t="shared" si="0"/>
        <v>237</v>
      </c>
      <c r="K10" s="75">
        <f t="shared" si="1"/>
        <v>1.4388888888888889</v>
      </c>
      <c r="L10" s="207">
        <f t="shared" ref="L10:L29" si="3">I10-G10</f>
        <v>969</v>
      </c>
      <c r="M10" s="76">
        <f t="shared" si="2"/>
        <v>1.1485740570377185</v>
      </c>
      <c r="O10" t="s">
        <v>100</v>
      </c>
    </row>
    <row r="11" spans="2:16" ht="20.100000000000001" customHeight="1" thickBot="1">
      <c r="B11" s="229" t="s">
        <v>20</v>
      </c>
      <c r="C11" s="232" t="s">
        <v>8</v>
      </c>
      <c r="D11" s="233"/>
      <c r="E11" s="199">
        <f>E12+E16</f>
        <v>116714212</v>
      </c>
      <c r="F11" s="199">
        <f>F12+F16</f>
        <v>8703067</v>
      </c>
      <c r="G11" s="199">
        <f>G12+G16</f>
        <v>105694948</v>
      </c>
      <c r="H11" s="199">
        <f>H12+H16</f>
        <v>9408288</v>
      </c>
      <c r="I11" s="199">
        <f>I12+I16</f>
        <v>103071102</v>
      </c>
      <c r="J11" s="199">
        <f t="shared" si="0"/>
        <v>705221</v>
      </c>
      <c r="K11" s="72">
        <f t="shared" si="1"/>
        <v>1.0810313191889709</v>
      </c>
      <c r="L11" s="216">
        <f>I11-G11</f>
        <v>-2623846</v>
      </c>
      <c r="M11" s="73">
        <f t="shared" si="2"/>
        <v>0.97517529409258052</v>
      </c>
    </row>
    <row r="12" spans="2:16" ht="20.100000000000001" customHeight="1">
      <c r="B12" s="230"/>
      <c r="C12" s="239" t="s">
        <v>1</v>
      </c>
      <c r="D12" s="77" t="s">
        <v>0</v>
      </c>
      <c r="E12" s="200">
        <f>SUM(E13:E15)</f>
        <v>106101439</v>
      </c>
      <c r="F12" s="78">
        <f>SUM(F13:F15)</f>
        <v>8009916</v>
      </c>
      <c r="G12" s="78">
        <f>SUM(G13:G15)</f>
        <v>95992310</v>
      </c>
      <c r="H12" s="78">
        <f>SUM(H13:H15)</f>
        <v>8672653</v>
      </c>
      <c r="I12" s="78">
        <f>SUM(I13:I15)</f>
        <v>94056585</v>
      </c>
      <c r="J12" s="79">
        <f t="shared" ref="J12:J16" si="4">H12-F12</f>
        <v>662737</v>
      </c>
      <c r="K12" s="80">
        <f t="shared" si="1"/>
        <v>1.082739569303848</v>
      </c>
      <c r="L12" s="208">
        <f>I12-G12</f>
        <v>-1935725</v>
      </c>
      <c r="M12" s="81">
        <f t="shared" si="2"/>
        <v>0.97983458258270895</v>
      </c>
    </row>
    <row r="13" spans="2:16" ht="20.100000000000001" customHeight="1">
      <c r="B13" s="230"/>
      <c r="C13" s="222"/>
      <c r="D13" s="54" t="s">
        <v>5</v>
      </c>
      <c r="E13" s="292">
        <v>86063790</v>
      </c>
      <c r="F13" s="281">
        <v>6536775</v>
      </c>
      <c r="G13" s="281">
        <v>77921414</v>
      </c>
      <c r="H13" s="299">
        <v>6907789</v>
      </c>
      <c r="I13" s="301">
        <f>H13+67820485</f>
        <v>74728274</v>
      </c>
      <c r="J13" s="51">
        <f t="shared" si="4"/>
        <v>371014</v>
      </c>
      <c r="K13" s="49">
        <f t="shared" si="1"/>
        <v>1.0567579578614836</v>
      </c>
      <c r="L13" s="195">
        <f>I13-G13</f>
        <v>-3193140</v>
      </c>
      <c r="M13" s="56">
        <f>I13/G13</f>
        <v>0.95902102084543794</v>
      </c>
      <c r="O13" s="24"/>
    </row>
    <row r="14" spans="2:16" ht="20.100000000000001" customHeight="1">
      <c r="B14" s="230"/>
      <c r="C14" s="222"/>
      <c r="D14" s="54" t="s">
        <v>6</v>
      </c>
      <c r="E14" s="292">
        <v>17423605</v>
      </c>
      <c r="F14" s="281">
        <v>1248651</v>
      </c>
      <c r="G14" s="281">
        <v>15701662</v>
      </c>
      <c r="H14" s="299">
        <v>1598499</v>
      </c>
      <c r="I14" s="301">
        <f>H14+15487152</f>
        <v>17085651</v>
      </c>
      <c r="J14" s="51">
        <f t="shared" si="4"/>
        <v>349848</v>
      </c>
      <c r="K14" s="49">
        <f t="shared" si="1"/>
        <v>1.2801807710881583</v>
      </c>
      <c r="L14" s="195">
        <f t="shared" si="3"/>
        <v>1383989</v>
      </c>
      <c r="M14" s="56">
        <f t="shared" si="2"/>
        <v>1.0881428348158304</v>
      </c>
    </row>
    <row r="15" spans="2:16" ht="20.100000000000001" customHeight="1">
      <c r="B15" s="230"/>
      <c r="C15" s="222"/>
      <c r="D15" s="54" t="s">
        <v>13</v>
      </c>
      <c r="E15" s="293">
        <v>2614044</v>
      </c>
      <c r="F15" s="281">
        <v>224490</v>
      </c>
      <c r="G15" s="281">
        <v>2369234</v>
      </c>
      <c r="H15" s="141">
        <f>76838+89527</f>
        <v>166365</v>
      </c>
      <c r="I15" s="301">
        <f>H15+2076295</f>
        <v>2242660</v>
      </c>
      <c r="J15" s="51">
        <f t="shared" si="4"/>
        <v>-58125</v>
      </c>
      <c r="K15" s="49">
        <f>H15/F15</f>
        <v>0.7410797808365629</v>
      </c>
      <c r="L15" s="195">
        <f t="shared" si="3"/>
        <v>-126574</v>
      </c>
      <c r="M15" s="56">
        <f t="shared" si="2"/>
        <v>0.94657598194184278</v>
      </c>
      <c r="O15" s="24"/>
    </row>
    <row r="16" spans="2:16" ht="20.100000000000001" customHeight="1">
      <c r="B16" s="230"/>
      <c r="C16" s="222" t="s">
        <v>2</v>
      </c>
      <c r="D16" s="53" t="s">
        <v>0</v>
      </c>
      <c r="E16" s="201">
        <f>SUM(E17:E19)</f>
        <v>10612773</v>
      </c>
      <c r="F16" s="52">
        <f>SUM(F17:F19)</f>
        <v>693151</v>
      </c>
      <c r="G16" s="52">
        <f>SUM(G17:G19)</f>
        <v>9702638</v>
      </c>
      <c r="H16" s="52">
        <f>SUM(H17:H19)</f>
        <v>735635</v>
      </c>
      <c r="I16" s="52">
        <f>SUM(I17:I19)</f>
        <v>9014517</v>
      </c>
      <c r="J16" s="47">
        <f t="shared" si="4"/>
        <v>42484</v>
      </c>
      <c r="K16" s="48">
        <f t="shared" si="1"/>
        <v>1.0612911183854601</v>
      </c>
      <c r="L16" s="209">
        <f t="shared" si="3"/>
        <v>-688121</v>
      </c>
      <c r="M16" s="57">
        <f t="shared" si="2"/>
        <v>0.92907897831496955</v>
      </c>
      <c r="O16" s="24"/>
    </row>
    <row r="17" spans="2:15" ht="20.100000000000001" customHeight="1">
      <c r="B17" s="230"/>
      <c r="C17" s="222"/>
      <c r="D17" s="54" t="s">
        <v>3</v>
      </c>
      <c r="E17" s="294">
        <v>7573836</v>
      </c>
      <c r="F17" s="281">
        <v>559710</v>
      </c>
      <c r="G17" s="281">
        <v>6859701</v>
      </c>
      <c r="H17" s="299">
        <v>521991</v>
      </c>
      <c r="I17" s="303">
        <f>H17+5861506</f>
        <v>6383497</v>
      </c>
      <c r="J17" s="51">
        <f>H17-F17</f>
        <v>-37719</v>
      </c>
      <c r="K17" s="49">
        <f>H17/F17</f>
        <v>0.93260974433188615</v>
      </c>
      <c r="L17" s="195">
        <f>I17-G17</f>
        <v>-476204</v>
      </c>
      <c r="M17" s="56">
        <f>I17/G17</f>
        <v>0.93057948152550674</v>
      </c>
      <c r="O17" s="24"/>
    </row>
    <row r="18" spans="2:15" ht="20.100000000000001" customHeight="1">
      <c r="B18" s="230"/>
      <c r="C18" s="222"/>
      <c r="D18" s="54" t="s">
        <v>4</v>
      </c>
      <c r="E18" s="294">
        <v>3038937</v>
      </c>
      <c r="F18" s="281">
        <v>133441</v>
      </c>
      <c r="G18" s="281">
        <v>2842937</v>
      </c>
      <c r="H18" s="299">
        <v>213644</v>
      </c>
      <c r="I18" s="303">
        <f>H18+2417376</f>
        <v>2631020</v>
      </c>
      <c r="J18" s="51">
        <f>H18-F18</f>
        <v>80203</v>
      </c>
      <c r="K18" s="49">
        <f>H18/F18</f>
        <v>1.6010371624912882</v>
      </c>
      <c r="L18" s="195">
        <f>I18-G18</f>
        <v>-211917</v>
      </c>
      <c r="M18" s="56">
        <f>I18/G18</f>
        <v>0.9254584255648296</v>
      </c>
    </row>
    <row r="19" spans="2:15" ht="20.100000000000001" customHeight="1">
      <c r="B19" s="230"/>
      <c r="C19" s="222"/>
      <c r="D19" s="54" t="s">
        <v>17</v>
      </c>
      <c r="E19" s="202">
        <v>0</v>
      </c>
      <c r="F19" s="202">
        <v>0</v>
      </c>
      <c r="G19" s="202">
        <v>0</v>
      </c>
      <c r="H19" s="202">
        <v>0</v>
      </c>
      <c r="I19" s="202">
        <v>0</v>
      </c>
      <c r="J19" s="202">
        <v>0</v>
      </c>
      <c r="K19" s="203">
        <v>0</v>
      </c>
      <c r="L19" s="210">
        <v>0</v>
      </c>
      <c r="M19" s="56" t="s">
        <v>75</v>
      </c>
    </row>
    <row r="20" spans="2:15" ht="20.100000000000001" customHeight="1" thickBot="1">
      <c r="B20" s="61"/>
      <c r="C20" s="82"/>
      <c r="D20" s="146"/>
      <c r="E20" s="192"/>
      <c r="F20" s="84"/>
      <c r="G20" s="84"/>
      <c r="H20" s="84"/>
      <c r="I20" s="83"/>
      <c r="J20" s="85"/>
      <c r="K20" s="226" t="s">
        <v>21</v>
      </c>
      <c r="L20" s="227"/>
      <c r="M20" s="228"/>
    </row>
    <row r="21" spans="2:15" ht="20.100000000000001" customHeight="1" thickBot="1">
      <c r="B21" s="231" t="s">
        <v>86</v>
      </c>
      <c r="C21" s="232" t="s">
        <v>8</v>
      </c>
      <c r="D21" s="233"/>
      <c r="E21" s="193">
        <f>SUM(E22,E26)</f>
        <v>924735.5</v>
      </c>
      <c r="F21" s="88">
        <f>SUM(F22,F26)</f>
        <v>81501</v>
      </c>
      <c r="G21" s="88">
        <f>SUM(G22,G26)</f>
        <v>839360</v>
      </c>
      <c r="H21" s="87">
        <f>SUM(H22,H26)</f>
        <v>82862</v>
      </c>
      <c r="I21" s="87">
        <f>SUM(I22,I26)</f>
        <v>860803</v>
      </c>
      <c r="J21" s="89">
        <f t="shared" si="0"/>
        <v>1361</v>
      </c>
      <c r="K21" s="90">
        <f t="shared" si="1"/>
        <v>1.0166991816051336</v>
      </c>
      <c r="L21" s="211">
        <f t="shared" si="3"/>
        <v>21443</v>
      </c>
      <c r="M21" s="73">
        <f>I21/G21</f>
        <v>1.0255468452154022</v>
      </c>
    </row>
    <row r="22" spans="2:15" ht="20.100000000000001" customHeight="1">
      <c r="B22" s="230"/>
      <c r="C22" s="239" t="s">
        <v>1</v>
      </c>
      <c r="D22" s="77" t="s">
        <v>0</v>
      </c>
      <c r="E22" s="194">
        <f>SUM(E23:E25)</f>
        <v>924735.5</v>
      </c>
      <c r="F22" s="77">
        <f>SUM(F23:F25)</f>
        <v>81501</v>
      </c>
      <c r="G22" s="77">
        <f>SUM(G23:G25)</f>
        <v>839360</v>
      </c>
      <c r="H22" s="77">
        <f>SUM(H23:H25)</f>
        <v>82862</v>
      </c>
      <c r="I22" s="77">
        <f>SUM(I23:I25)</f>
        <v>860803</v>
      </c>
      <c r="J22" s="79">
        <f t="shared" si="0"/>
        <v>1361</v>
      </c>
      <c r="K22" s="86">
        <f t="shared" si="1"/>
        <v>1.0166991816051336</v>
      </c>
      <c r="L22" s="208">
        <f t="shared" si="3"/>
        <v>21443</v>
      </c>
      <c r="M22" s="81">
        <f t="shared" si="2"/>
        <v>1.0255468452154022</v>
      </c>
    </row>
    <row r="23" spans="2:15" ht="20.100000000000001" customHeight="1">
      <c r="B23" s="230"/>
      <c r="C23" s="222"/>
      <c r="D23" s="59" t="s">
        <v>5</v>
      </c>
      <c r="E23" s="297">
        <v>453945.75</v>
      </c>
      <c r="F23" s="283">
        <v>37475</v>
      </c>
      <c r="G23" s="277">
        <v>412718</v>
      </c>
      <c r="H23" s="310">
        <v>39686</v>
      </c>
      <c r="I23" s="302">
        <v>422852</v>
      </c>
      <c r="J23" s="51">
        <f>H23-F23</f>
        <v>2211</v>
      </c>
      <c r="K23" s="50">
        <f>H23/F23</f>
        <v>1.0589993328885925</v>
      </c>
      <c r="L23" s="195">
        <f>I23-G23</f>
        <v>10134</v>
      </c>
      <c r="M23" s="56">
        <f>I23/G23</f>
        <v>1.0245542961537903</v>
      </c>
    </row>
    <row r="24" spans="2:15" ht="20.100000000000001" customHeight="1">
      <c r="B24" s="230"/>
      <c r="C24" s="222"/>
      <c r="D24" s="58" t="s">
        <v>14</v>
      </c>
      <c r="E24" s="298">
        <v>456908.25</v>
      </c>
      <c r="F24" s="284">
        <v>41622</v>
      </c>
      <c r="G24" s="277">
        <v>414433</v>
      </c>
      <c r="H24" s="311">
        <v>41666</v>
      </c>
      <c r="I24" s="302">
        <v>424115</v>
      </c>
      <c r="J24" s="51">
        <f t="shared" ref="J24:J25" si="5">H24-F24</f>
        <v>44</v>
      </c>
      <c r="K24" s="50">
        <f>H24/F24</f>
        <v>1.0010571332468405</v>
      </c>
      <c r="L24" s="195">
        <f>I24-G24</f>
        <v>9682</v>
      </c>
      <c r="M24" s="56">
        <f>I24/G24</f>
        <v>1.0233620392198497</v>
      </c>
    </row>
    <row r="25" spans="2:15" ht="20.100000000000001" customHeight="1">
      <c r="B25" s="230"/>
      <c r="C25" s="222"/>
      <c r="D25" s="58" t="s">
        <v>13</v>
      </c>
      <c r="E25" s="296">
        <v>13881.5</v>
      </c>
      <c r="F25" s="285">
        <v>2404</v>
      </c>
      <c r="G25" s="277">
        <v>12209</v>
      </c>
      <c r="H25" s="312">
        <v>1510</v>
      </c>
      <c r="I25" s="302">
        <v>13836</v>
      </c>
      <c r="J25" s="51">
        <f t="shared" si="5"/>
        <v>-894</v>
      </c>
      <c r="K25" s="50">
        <f t="shared" si="1"/>
        <v>0.6281198003327787</v>
      </c>
      <c r="L25" s="195">
        <f t="shared" si="3"/>
        <v>1627</v>
      </c>
      <c r="M25" s="56">
        <f t="shared" si="2"/>
        <v>1.1332623474486034</v>
      </c>
    </row>
    <row r="26" spans="2:15" ht="20.100000000000001" customHeight="1">
      <c r="B26" s="230"/>
      <c r="C26" s="222" t="s">
        <v>2</v>
      </c>
      <c r="D26" s="54" t="s">
        <v>49</v>
      </c>
      <c r="E26" s="196">
        <f>SUM(E27:E28)</f>
        <v>0</v>
      </c>
      <c r="F26" s="55">
        <f>SUM(F27:F28)</f>
        <v>0</v>
      </c>
      <c r="G26" s="55">
        <f>SUM(G27:G28)</f>
        <v>0</v>
      </c>
      <c r="H26" s="55">
        <f>SUM(H27:H28)</f>
        <v>0</v>
      </c>
      <c r="I26" s="55">
        <f>SUM(I27:I28)</f>
        <v>0</v>
      </c>
      <c r="J26" s="60">
        <f t="shared" si="0"/>
        <v>0</v>
      </c>
      <c r="K26" s="55">
        <v>0</v>
      </c>
      <c r="L26" s="212">
        <f t="shared" si="3"/>
        <v>0</v>
      </c>
      <c r="M26" s="62">
        <v>0</v>
      </c>
    </row>
    <row r="27" spans="2:15" ht="20.100000000000001" customHeight="1">
      <c r="B27" s="230"/>
      <c r="C27" s="222"/>
      <c r="D27" s="54" t="s">
        <v>49</v>
      </c>
      <c r="E27" s="186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12">
        <f t="shared" si="3"/>
        <v>0</v>
      </c>
      <c r="M27" s="62">
        <v>0</v>
      </c>
    </row>
    <row r="28" spans="2:15" ht="20.100000000000001" customHeight="1" thickBot="1">
      <c r="B28" s="230"/>
      <c r="C28" s="222"/>
      <c r="D28" s="54" t="s">
        <v>49</v>
      </c>
      <c r="E28" s="197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13">
        <f t="shared" si="3"/>
        <v>0</v>
      </c>
      <c r="M28" s="94">
        <v>0</v>
      </c>
    </row>
    <row r="29" spans="2:15" s="22" customFormat="1" ht="20.100000000000001" customHeight="1" thickBot="1">
      <c r="B29" s="223" t="s">
        <v>47</v>
      </c>
      <c r="C29" s="224"/>
      <c r="D29" s="225"/>
      <c r="E29" s="300">
        <v>1560628</v>
      </c>
      <c r="F29" s="295">
        <v>107907</v>
      </c>
      <c r="G29" s="295">
        <v>1416786</v>
      </c>
      <c r="H29" s="155">
        <v>143459</v>
      </c>
      <c r="I29" s="155">
        <f>H29+1330588</f>
        <v>1474047</v>
      </c>
      <c r="J29" s="156">
        <f>H29-F29</f>
        <v>35552</v>
      </c>
      <c r="K29" s="157">
        <f t="shared" si="1"/>
        <v>1.329468894511014</v>
      </c>
      <c r="L29" s="214">
        <f t="shared" si="3"/>
        <v>57261</v>
      </c>
      <c r="M29" s="158">
        <f>I29/G29</f>
        <v>1.0404161249475927</v>
      </c>
    </row>
    <row r="30" spans="2:15" ht="12.75" customHeight="1">
      <c r="B30" s="5"/>
      <c r="C30" s="5"/>
      <c r="D30" s="5"/>
      <c r="E30" s="198"/>
      <c r="F30" s="7"/>
      <c r="G30" s="7"/>
      <c r="H30" s="7"/>
      <c r="I30" s="7"/>
      <c r="J30" s="6"/>
      <c r="K30" s="8"/>
      <c r="L30" s="215"/>
      <c r="M30" s="9"/>
    </row>
  </sheetData>
  <mergeCells count="20">
    <mergeCell ref="C10:D10"/>
    <mergeCell ref="C12:C15"/>
    <mergeCell ref="B11:B19"/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41" t="s">
        <v>87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44" t="s">
        <v>50</v>
      </c>
      <c r="H5" s="244"/>
      <c r="I5" s="38"/>
      <c r="J5"/>
      <c r="K5"/>
      <c r="L5"/>
      <c r="M5" s="37"/>
      <c r="N5" s="37"/>
      <c r="O5" s="244" t="s">
        <v>88</v>
      </c>
      <c r="P5" s="244"/>
    </row>
    <row r="6" spans="2:29" s="11" customFormat="1" ht="32.25" customHeight="1">
      <c r="B6" s="127" t="s">
        <v>94</v>
      </c>
      <c r="C6" s="128">
        <v>2020</v>
      </c>
      <c r="D6" s="128">
        <v>2021</v>
      </c>
      <c r="E6" s="133">
        <v>2022</v>
      </c>
      <c r="F6" s="133">
        <v>2023</v>
      </c>
      <c r="G6" s="133">
        <v>2024</v>
      </c>
      <c r="H6" s="135" t="s">
        <v>112</v>
      </c>
      <c r="I6" s="42"/>
      <c r="J6" s="127" t="s">
        <v>94</v>
      </c>
      <c r="K6" s="128">
        <v>2020</v>
      </c>
      <c r="L6" s="128">
        <v>2021</v>
      </c>
      <c r="M6" s="133">
        <v>2022</v>
      </c>
      <c r="N6" s="133">
        <v>2023</v>
      </c>
      <c r="O6" s="133">
        <v>2024</v>
      </c>
      <c r="P6" s="137" t="str">
        <f>$H$6</f>
        <v>2025.11.</v>
      </c>
    </row>
    <row r="7" spans="2:29" s="11" customFormat="1" ht="39.200000000000003" customHeight="1" thickBot="1">
      <c r="B7" s="129" t="s">
        <v>92</v>
      </c>
      <c r="C7" s="257">
        <v>17409</v>
      </c>
      <c r="D7" s="257">
        <v>16473</v>
      </c>
      <c r="E7" s="257">
        <v>16626</v>
      </c>
      <c r="F7" s="258">
        <v>17324</v>
      </c>
      <c r="G7" s="258">
        <v>17502</v>
      </c>
      <c r="H7" s="136">
        <f>통계요약!I8</f>
        <v>16694</v>
      </c>
      <c r="I7" s="43"/>
      <c r="J7" s="131" t="s">
        <v>91</v>
      </c>
      <c r="K7" s="260">
        <v>106847350</v>
      </c>
      <c r="L7" s="260">
        <v>116876152</v>
      </c>
      <c r="M7" s="260">
        <v>116171568</v>
      </c>
      <c r="N7" s="261">
        <v>116607017</v>
      </c>
      <c r="O7" s="262">
        <v>116714212</v>
      </c>
      <c r="P7" s="138">
        <f>통계요약!I11</f>
        <v>103071102</v>
      </c>
    </row>
    <row r="8" spans="2:29" s="11" customFormat="1" ht="21" customHeight="1" thickBot="1">
      <c r="B8"/>
      <c r="C8"/>
      <c r="D8"/>
      <c r="E8" s="37"/>
      <c r="F8" s="37"/>
      <c r="G8" s="244" t="s">
        <v>89</v>
      </c>
      <c r="H8" s="244"/>
      <c r="I8" s="38"/>
      <c r="J8" s="12"/>
      <c r="K8" s="13"/>
      <c r="L8" s="13"/>
      <c r="M8" s="37"/>
      <c r="N8" s="37"/>
      <c r="O8" s="244" t="s">
        <v>90</v>
      </c>
      <c r="P8" s="244"/>
    </row>
    <row r="9" spans="2:29" s="11" customFormat="1" ht="32.25" customHeight="1">
      <c r="B9" s="127" t="s">
        <v>94</v>
      </c>
      <c r="C9" s="128">
        <v>2020</v>
      </c>
      <c r="D9" s="128">
        <v>2021</v>
      </c>
      <c r="E9" s="133">
        <v>2022</v>
      </c>
      <c r="F9" s="133">
        <v>2023</v>
      </c>
      <c r="G9" s="133">
        <v>2024</v>
      </c>
      <c r="H9" s="137" t="str">
        <f>$H$6</f>
        <v>2025.11.</v>
      </c>
      <c r="I9" s="44"/>
      <c r="J9" s="127" t="s">
        <v>94</v>
      </c>
      <c r="K9" s="128">
        <v>2020</v>
      </c>
      <c r="L9" s="128">
        <v>2021</v>
      </c>
      <c r="M9" s="133">
        <v>2022</v>
      </c>
      <c r="N9" s="133">
        <v>2023</v>
      </c>
      <c r="O9" s="133">
        <v>2024</v>
      </c>
      <c r="P9" s="137" t="str">
        <f>$H$6</f>
        <v>2025.11.</v>
      </c>
    </row>
    <row r="10" spans="2:29" s="11" customFormat="1" ht="37.5" customHeight="1" thickBot="1">
      <c r="B10" s="132" t="s">
        <v>22</v>
      </c>
      <c r="C10" s="271">
        <v>792643</v>
      </c>
      <c r="D10" s="271">
        <v>936246</v>
      </c>
      <c r="E10" s="271">
        <v>851953</v>
      </c>
      <c r="F10" s="272">
        <v>820289</v>
      </c>
      <c r="G10" s="270">
        <v>924735.5</v>
      </c>
      <c r="H10" s="139">
        <f>통계요약!I21</f>
        <v>860803</v>
      </c>
      <c r="I10" s="45"/>
      <c r="J10" s="132" t="s">
        <v>93</v>
      </c>
      <c r="K10" s="259">
        <v>40267</v>
      </c>
      <c r="L10" s="130"/>
      <c r="M10" s="130">
        <v>0</v>
      </c>
      <c r="N10" s="134">
        <v>0</v>
      </c>
      <c r="O10" s="134">
        <v>0</v>
      </c>
      <c r="P10" s="139"/>
      <c r="S10" s="21" t="s">
        <v>101</v>
      </c>
      <c r="AC10" s="21"/>
    </row>
    <row r="11" spans="2:29" ht="21" customHeight="1"/>
    <row r="12" spans="2:29" s="18" customFormat="1" ht="21" customHeight="1">
      <c r="B12" s="243" t="s">
        <v>98</v>
      </c>
      <c r="C12" s="243"/>
      <c r="D12" s="243"/>
      <c r="I12" s="46"/>
    </row>
    <row r="13" spans="2:29" s="11" customFormat="1" ht="21" customHeight="1">
      <c r="B13" s="242" t="s">
        <v>95</v>
      </c>
      <c r="C13" s="242"/>
      <c r="I13" s="41"/>
      <c r="J13" s="242" t="s">
        <v>96</v>
      </c>
      <c r="K13" s="242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42" t="s">
        <v>97</v>
      </c>
      <c r="C23" s="242"/>
      <c r="I23" s="41"/>
      <c r="J23" s="242" t="s">
        <v>99</v>
      </c>
      <c r="K23" s="242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opLeftCell="A17" zoomScale="95" zoomScaleNormal="95" workbookViewId="0">
      <selection activeCell="L34" sqref="L34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9" customWidth="1"/>
    <col min="7" max="7" width="12.625" style="174" customWidth="1"/>
    <col min="8" max="8" width="13.5" style="174" customWidth="1"/>
    <col min="9" max="9" width="12.625" style="163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8"/>
      <c r="G1" s="164"/>
      <c r="H1" s="165"/>
      <c r="I1" s="160"/>
    </row>
    <row r="2" spans="1:35" customFormat="1" ht="13.5" customHeight="1">
      <c r="B2" s="35"/>
      <c r="C2" s="34"/>
      <c r="D2" s="34"/>
      <c r="E2" s="34"/>
      <c r="F2" s="179"/>
      <c r="G2" s="166"/>
      <c r="H2" s="166"/>
      <c r="I2" s="161"/>
      <c r="J2" s="34"/>
      <c r="K2" s="34"/>
      <c r="L2" s="34"/>
    </row>
    <row r="3" spans="1:35" customFormat="1" ht="42.95" customHeight="1">
      <c r="B3" s="217" t="s">
        <v>106</v>
      </c>
      <c r="C3" s="218"/>
      <c r="D3" s="218"/>
      <c r="E3" s="218"/>
      <c r="F3" s="218"/>
      <c r="G3" s="218"/>
      <c r="H3" s="218"/>
      <c r="I3" s="218"/>
      <c r="J3" s="218"/>
      <c r="K3" s="218"/>
      <c r="L3" s="219"/>
    </row>
    <row r="4" spans="1:35" ht="13.5" customHeight="1">
      <c r="A4" s="20"/>
      <c r="C4" s="23"/>
      <c r="D4" s="23"/>
      <c r="E4" s="26"/>
      <c r="F4" s="180"/>
      <c r="G4" s="167"/>
      <c r="H4" s="168"/>
      <c r="I4" s="162"/>
    </row>
    <row r="5" spans="1:35" ht="13.5" customHeight="1">
      <c r="A5" s="20"/>
      <c r="C5" s="23"/>
      <c r="D5" s="23"/>
      <c r="E5" s="26"/>
      <c r="F5" s="180"/>
      <c r="G5" s="167"/>
      <c r="H5" s="168"/>
      <c r="I5" s="162"/>
    </row>
    <row r="6" spans="1:35" ht="21.95" customHeight="1">
      <c r="B6" s="247" t="s">
        <v>23</v>
      </c>
      <c r="C6" s="254" t="s">
        <v>24</v>
      </c>
      <c r="D6" s="252" t="s">
        <v>110</v>
      </c>
      <c r="E6" s="252"/>
      <c r="F6" s="252"/>
      <c r="G6" s="256" t="s">
        <v>111</v>
      </c>
      <c r="H6" s="256"/>
      <c r="I6" s="252" t="s">
        <v>25</v>
      </c>
      <c r="J6" s="252"/>
      <c r="K6" s="252"/>
      <c r="L6" s="253"/>
      <c r="X6" s="19" t="s">
        <v>84</v>
      </c>
    </row>
    <row r="7" spans="1:35" ht="21.95" customHeight="1" thickBot="1">
      <c r="B7" s="248"/>
      <c r="C7" s="255"/>
      <c r="D7" s="106" t="s">
        <v>26</v>
      </c>
      <c r="E7" s="106" t="str">
        <f>통계요약!F7</f>
        <v>11월(A)</v>
      </c>
      <c r="F7" s="181" t="str">
        <f>통계요약!G7</f>
        <v xml:space="preserve"> 11월누계(B) </v>
      </c>
      <c r="G7" s="169" t="str">
        <f>통계요약!H7</f>
        <v>11월(C)</v>
      </c>
      <c r="H7" s="170" t="str">
        <f>통계요약!I7</f>
        <v xml:space="preserve"> 11월누계(D)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249" t="s">
        <v>30</v>
      </c>
      <c r="C8" s="110" t="s">
        <v>31</v>
      </c>
      <c r="D8" s="111">
        <f>SUM(D10,D12,D14,D16,D18,D20,D22,D26,D24,D30,D32,D34,D36,D28)</f>
        <v>924735.5</v>
      </c>
      <c r="E8" s="111">
        <f>SUM(E10,E12,E14,E16,E18,E20,E22,E26,E24,E30,E32,E34,E36,E28)</f>
        <v>81501.25</v>
      </c>
      <c r="F8" s="182">
        <f>SUM(F10,F12,F14,F16,F18,F20,F22,F26,F24,F30,F32,F34,F36,F28)</f>
        <v>839360</v>
      </c>
      <c r="G8" s="111">
        <f>SUM(G10,G12,G14,G16,G18,G20,G22,G26,G24,G28,G32,G34,G36,G30)</f>
        <v>82862</v>
      </c>
      <c r="H8" s="176">
        <f>SUM(H10,H12,H14,H16,H18,H20,H22,H26,H24,H30,H32,H34,H36,H28,)</f>
        <v>860783</v>
      </c>
      <c r="I8" s="112">
        <f t="shared" ref="I8:I9" si="0">G8-E8</f>
        <v>1360.75</v>
      </c>
      <c r="J8" s="113">
        <f t="shared" ref="J8:J9" si="1">(G8/E8*100)-100</f>
        <v>1.6696062943819925</v>
      </c>
      <c r="K8" s="114">
        <f t="shared" ref="K8:K9" si="2">H8-F8</f>
        <v>21423</v>
      </c>
      <c r="L8" s="115">
        <f t="shared" ref="L8:L9" si="3">(H8/F8*100)-100</f>
        <v>2.5523017537171171</v>
      </c>
    </row>
    <row r="9" spans="1:35" ht="21.95" customHeight="1" thickBot="1">
      <c r="B9" s="250"/>
      <c r="C9" s="116" t="s">
        <v>32</v>
      </c>
      <c r="D9" s="117">
        <f>SUM(D11,D13,D15,D17,D19,D21,D23,D25,D27,D31,D33,D35,D37,D29)</f>
        <v>14055928</v>
      </c>
      <c r="E9" s="117">
        <f>SUM(E11,E13,E15,E17,E19,E21,E23,E25,E27,E31,E33,E35,E37,E29)</f>
        <v>1248345</v>
      </c>
      <c r="F9" s="183">
        <f>SUM(F11,F13,F15,F17,F19,F21,F23,F25,F27,F31,F33,F35,F37,F29)</f>
        <v>12741622</v>
      </c>
      <c r="G9" s="117">
        <f>SUM(G11,G13,G15,G17,G19,G21,G23,G25,G27,G29,G33,G35,G37,G31)</f>
        <v>1167323</v>
      </c>
      <c r="H9" s="177">
        <f>SUM(H11,H13,H15,H17,H19,H21,H23,H25,H27,H31,H33,H35,H37,H29)</f>
        <v>13144220</v>
      </c>
      <c r="I9" s="118">
        <f t="shared" si="0"/>
        <v>-81022</v>
      </c>
      <c r="J9" s="119">
        <f t="shared" si="1"/>
        <v>-6.4903532276734381</v>
      </c>
      <c r="K9" s="120">
        <f t="shared" si="2"/>
        <v>402598</v>
      </c>
      <c r="L9" s="121">
        <f t="shared" si="3"/>
        <v>3.1597076102241886</v>
      </c>
    </row>
    <row r="10" spans="1:35" ht="21.2" customHeight="1">
      <c r="B10" s="251" t="s">
        <v>33</v>
      </c>
      <c r="C10" s="142" t="s">
        <v>31</v>
      </c>
      <c r="D10" s="287">
        <v>53912</v>
      </c>
      <c r="E10" s="265">
        <v>4391</v>
      </c>
      <c r="F10" s="265">
        <v>48741</v>
      </c>
      <c r="G10" s="305"/>
      <c r="H10" s="305">
        <v>13137</v>
      </c>
      <c r="I10" s="151">
        <f>IFERROR(G10-E10,"-")</f>
        <v>-4391</v>
      </c>
      <c r="J10" s="143">
        <f>IFERROR((G10/E10*100)-100,"-")</f>
        <v>-100</v>
      </c>
      <c r="K10" s="144">
        <f>IFERROR(H10-F10,"-")</f>
        <v>-35604</v>
      </c>
      <c r="L10" s="145">
        <f>IFERROR((H10/F10*100)-100,"-")</f>
        <v>-73.047331815104329</v>
      </c>
      <c r="M10" s="25"/>
      <c r="O10" s="19" t="s">
        <v>51</v>
      </c>
      <c r="U10" s="140"/>
      <c r="V10" s="140"/>
    </row>
    <row r="11" spans="1:35" ht="21.2" customHeight="1">
      <c r="B11" s="245"/>
      <c r="C11" s="147" t="s">
        <v>32</v>
      </c>
      <c r="D11" s="282">
        <v>998726</v>
      </c>
      <c r="E11" s="266">
        <v>80605</v>
      </c>
      <c r="F11" s="266">
        <v>904222</v>
      </c>
      <c r="G11" s="171"/>
      <c r="H11" s="306">
        <v>237788</v>
      </c>
      <c r="I11" s="152">
        <f t="shared" ref="I11:I12" si="4">IFERROR(G11-E11,"-")</f>
        <v>-80605</v>
      </c>
      <c r="J11" s="148">
        <f t="shared" ref="J11:J37" si="5">IFERROR((G11/E11*100)-100,"-")</f>
        <v>-100</v>
      </c>
      <c r="K11" s="149">
        <f t="shared" ref="K11:K37" si="6">IFERROR(H11-F11,"-")</f>
        <v>-666434</v>
      </c>
      <c r="L11" s="150">
        <f t="shared" ref="L11:L37" si="7">IFERROR((H11/F11*100)-100,"-")</f>
        <v>-73.702475719458278</v>
      </c>
      <c r="O11" s="19" t="s">
        <v>51</v>
      </c>
      <c r="U11" s="140"/>
      <c r="V11" s="140"/>
    </row>
    <row r="12" spans="1:35" ht="21.2" customHeight="1">
      <c r="B12" s="245" t="s">
        <v>34</v>
      </c>
      <c r="C12" s="122" t="s">
        <v>31</v>
      </c>
      <c r="D12" s="288">
        <v>57203</v>
      </c>
      <c r="E12" s="273">
        <v>5611.75</v>
      </c>
      <c r="F12" s="273">
        <v>50244</v>
      </c>
      <c r="G12" s="313">
        <v>7891</v>
      </c>
      <c r="H12" s="313">
        <v>74430</v>
      </c>
      <c r="I12" s="153">
        <f t="shared" si="4"/>
        <v>2279.25</v>
      </c>
      <c r="J12" s="123">
        <f t="shared" si="5"/>
        <v>40.61567247293624</v>
      </c>
      <c r="K12" s="124">
        <f t="shared" si="6"/>
        <v>24186</v>
      </c>
      <c r="L12" s="125">
        <f t="shared" si="7"/>
        <v>48.137090995939815</v>
      </c>
      <c r="O12" s="19" t="s">
        <v>52</v>
      </c>
      <c r="U12" s="140"/>
      <c r="V12" s="140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45"/>
      <c r="C13" s="147" t="s">
        <v>32</v>
      </c>
      <c r="D13" s="282">
        <v>821405</v>
      </c>
      <c r="E13" s="266">
        <v>85563</v>
      </c>
      <c r="F13" s="266">
        <v>719451</v>
      </c>
      <c r="G13" s="306">
        <v>131582</v>
      </c>
      <c r="H13" s="306">
        <v>1210144</v>
      </c>
      <c r="I13" s="152">
        <f>IFERROR(G13-E13,"-")</f>
        <v>46019</v>
      </c>
      <c r="J13" s="148">
        <f t="shared" si="5"/>
        <v>53.783761672685614</v>
      </c>
      <c r="K13" s="149">
        <f t="shared" si="6"/>
        <v>490693</v>
      </c>
      <c r="L13" s="150">
        <f t="shared" si="7"/>
        <v>68.203810961413637</v>
      </c>
      <c r="O13" s="19" t="s">
        <v>52</v>
      </c>
      <c r="U13" s="140"/>
      <c r="V13" s="140"/>
      <c r="AC13" s="28" t="s">
        <v>82</v>
      </c>
      <c r="AD13" s="30">
        <f>E10+E12</f>
        <v>10002.75</v>
      </c>
      <c r="AE13" s="30">
        <f>F10+F12</f>
        <v>98985</v>
      </c>
      <c r="AF13" s="30">
        <f>G10+G12</f>
        <v>7891</v>
      </c>
      <c r="AG13" s="30">
        <f>H10+H12</f>
        <v>87567</v>
      </c>
      <c r="AH13" s="31">
        <f t="shared" ref="AH13:AI15" si="8">(AF13/AD13*100)-100</f>
        <v>-21.111694284071874</v>
      </c>
      <c r="AI13" s="31">
        <f t="shared" si="8"/>
        <v>-11.535081072889824</v>
      </c>
    </row>
    <row r="14" spans="1:35" ht="21.2" customHeight="1">
      <c r="B14" s="245" t="s">
        <v>72</v>
      </c>
      <c r="C14" s="122" t="s">
        <v>31</v>
      </c>
      <c r="D14" s="288">
        <v>9</v>
      </c>
      <c r="E14" s="269">
        <v>0</v>
      </c>
      <c r="F14" s="263">
        <v>9</v>
      </c>
      <c r="G14" s="184"/>
      <c r="H14" s="126"/>
      <c r="I14" s="185">
        <f>IFERROR(G14-E14,"-")</f>
        <v>0</v>
      </c>
      <c r="J14" s="123" t="str">
        <f t="shared" si="5"/>
        <v>-</v>
      </c>
      <c r="K14" s="124">
        <f t="shared" si="6"/>
        <v>-9</v>
      </c>
      <c r="L14" s="125">
        <f t="shared" si="7"/>
        <v>-100</v>
      </c>
      <c r="O14" s="19" t="s">
        <v>73</v>
      </c>
      <c r="U14" s="140"/>
      <c r="V14" s="140"/>
      <c r="AC14" s="28" t="s">
        <v>83</v>
      </c>
      <c r="AD14" s="30">
        <f>E18+E20+E22</f>
        <v>44220.5</v>
      </c>
      <c r="AE14" s="30">
        <f>F18+F20+F22</f>
        <v>496072</v>
      </c>
      <c r="AF14" s="30">
        <f>G18+G20+G22</f>
        <v>41005</v>
      </c>
      <c r="AG14" s="30">
        <f>H18+H20+H22</f>
        <v>464635</v>
      </c>
      <c r="AH14" s="31">
        <f t="shared" si="8"/>
        <v>-7.2715143428952729</v>
      </c>
      <c r="AI14" s="31">
        <f t="shared" si="8"/>
        <v>-6.3371849247689909</v>
      </c>
    </row>
    <row r="15" spans="1:35" ht="21.2" customHeight="1">
      <c r="B15" s="245"/>
      <c r="C15" s="97" t="s">
        <v>32</v>
      </c>
      <c r="D15" s="282">
        <v>213</v>
      </c>
      <c r="E15" s="264">
        <v>0</v>
      </c>
      <c r="F15" s="264">
        <v>213</v>
      </c>
      <c r="G15" s="154"/>
      <c r="H15" s="154"/>
      <c r="I15" s="152">
        <f t="shared" ref="H15:I37" si="9">IFERROR(G15-E15,"-")</f>
        <v>0</v>
      </c>
      <c r="J15" s="98" t="str">
        <f t="shared" si="5"/>
        <v>-</v>
      </c>
      <c r="K15" s="99">
        <f t="shared" si="6"/>
        <v>-213</v>
      </c>
      <c r="L15" s="101">
        <f t="shared" si="7"/>
        <v>-100</v>
      </c>
      <c r="O15" s="19" t="s">
        <v>73</v>
      </c>
      <c r="AC15" s="28" t="s">
        <v>76</v>
      </c>
      <c r="AD15" s="30">
        <f>E32+E34+E36</f>
        <v>27278</v>
      </c>
      <c r="AE15" s="30">
        <f>F32+F34+F36</f>
        <v>244038</v>
      </c>
      <c r="AF15" s="30">
        <f>G32+G34+G36</f>
        <v>33966</v>
      </c>
      <c r="AG15" s="30">
        <f>H32+H34+H36</f>
        <v>308580</v>
      </c>
      <c r="AH15" s="31">
        <f t="shared" si="8"/>
        <v>24.517926534203397</v>
      </c>
      <c r="AI15" s="31">
        <f t="shared" si="8"/>
        <v>26.447520468123827</v>
      </c>
    </row>
    <row r="16" spans="1:35" ht="21.2" customHeight="1">
      <c r="B16" s="245" t="s">
        <v>46</v>
      </c>
      <c r="C16" s="122" t="s">
        <v>31</v>
      </c>
      <c r="D16" s="280">
        <v>212</v>
      </c>
      <c r="E16" s="269">
        <v>0</v>
      </c>
      <c r="F16" s="267">
        <v>212</v>
      </c>
      <c r="G16" s="184"/>
      <c r="H16" s="172"/>
      <c r="I16" s="185">
        <f t="shared" si="9"/>
        <v>0</v>
      </c>
      <c r="J16" s="123" t="str">
        <f t="shared" si="5"/>
        <v>-</v>
      </c>
      <c r="K16" s="124">
        <f t="shared" si="6"/>
        <v>-212</v>
      </c>
      <c r="L16" s="125">
        <f t="shared" si="7"/>
        <v>-100</v>
      </c>
      <c r="O16" s="19" t="s">
        <v>53</v>
      </c>
    </row>
    <row r="17" spans="2:15" ht="21.2" customHeight="1">
      <c r="B17" s="245"/>
      <c r="C17" s="97" t="s">
        <v>45</v>
      </c>
      <c r="D17" s="286">
        <v>5372</v>
      </c>
      <c r="E17" s="264">
        <v>0</v>
      </c>
      <c r="F17" s="268">
        <v>5372</v>
      </c>
      <c r="G17" s="154"/>
      <c r="H17" s="173"/>
      <c r="I17" s="152">
        <f t="shared" si="9"/>
        <v>0</v>
      </c>
      <c r="J17" s="98" t="str">
        <f t="shared" si="5"/>
        <v>-</v>
      </c>
      <c r="K17" s="99">
        <f t="shared" si="6"/>
        <v>-5372</v>
      </c>
      <c r="L17" s="101">
        <f t="shared" si="7"/>
        <v>-100</v>
      </c>
      <c r="O17" s="19" t="s">
        <v>53</v>
      </c>
    </row>
    <row r="18" spans="2:15" ht="21.2" customHeight="1">
      <c r="B18" s="245" t="s">
        <v>35</v>
      </c>
      <c r="C18" s="122" t="s">
        <v>31</v>
      </c>
      <c r="D18" s="288">
        <v>142959.25</v>
      </c>
      <c r="E18" s="267">
        <v>10500.5</v>
      </c>
      <c r="F18" s="274">
        <v>126308.25</v>
      </c>
      <c r="G18" s="307">
        <v>12894</v>
      </c>
      <c r="H18" s="314">
        <v>165192</v>
      </c>
      <c r="I18" s="185">
        <f t="shared" si="9"/>
        <v>2393.5</v>
      </c>
      <c r="J18" s="123">
        <f t="shared" si="5"/>
        <v>22.79415265939717</v>
      </c>
      <c r="K18" s="124">
        <f t="shared" si="6"/>
        <v>38883.75</v>
      </c>
      <c r="L18" s="125">
        <f t="shared" si="7"/>
        <v>30.784806218121133</v>
      </c>
      <c r="M18" s="25"/>
      <c r="O18" s="19" t="s">
        <v>54</v>
      </c>
    </row>
    <row r="19" spans="2:15" ht="21.2" customHeight="1">
      <c r="B19" s="245"/>
      <c r="C19" s="97" t="s">
        <v>32</v>
      </c>
      <c r="D19" s="282">
        <v>2340460</v>
      </c>
      <c r="E19" s="268">
        <v>174722</v>
      </c>
      <c r="F19" s="266">
        <v>2072150</v>
      </c>
      <c r="G19" s="308">
        <v>217824</v>
      </c>
      <c r="H19" s="306">
        <v>2446325</v>
      </c>
      <c r="I19" s="152">
        <f t="shared" si="9"/>
        <v>43102</v>
      </c>
      <c r="J19" s="98">
        <f t="shared" si="5"/>
        <v>24.668902599558166</v>
      </c>
      <c r="K19" s="99">
        <f t="shared" si="6"/>
        <v>374175</v>
      </c>
      <c r="L19" s="101">
        <f t="shared" si="7"/>
        <v>18.05733175687088</v>
      </c>
      <c r="O19" s="19" t="s">
        <v>55</v>
      </c>
    </row>
    <row r="20" spans="2:15" ht="21.2" customHeight="1">
      <c r="B20" s="245" t="s">
        <v>42</v>
      </c>
      <c r="C20" s="122" t="s">
        <v>31</v>
      </c>
      <c r="D20" s="288">
        <v>233375.5</v>
      </c>
      <c r="E20" s="267">
        <v>21474.5</v>
      </c>
      <c r="F20" s="274">
        <v>218631.5</v>
      </c>
      <c r="G20" s="307">
        <v>18723</v>
      </c>
      <c r="H20" s="314">
        <v>184588</v>
      </c>
      <c r="I20" s="185">
        <f t="shared" si="9"/>
        <v>-2751.5</v>
      </c>
      <c r="J20" s="123">
        <f t="shared" si="5"/>
        <v>-12.812871079652609</v>
      </c>
      <c r="K20" s="124">
        <f t="shared" si="6"/>
        <v>-34043.5</v>
      </c>
      <c r="L20" s="125">
        <f t="shared" si="7"/>
        <v>-15.57117798670366</v>
      </c>
      <c r="O20" s="19" t="s">
        <v>56</v>
      </c>
    </row>
    <row r="21" spans="2:15" ht="21.2" customHeight="1">
      <c r="B21" s="245"/>
      <c r="C21" s="97" t="s">
        <v>32</v>
      </c>
      <c r="D21" s="282">
        <v>3245962</v>
      </c>
      <c r="E21" s="268">
        <v>303843</v>
      </c>
      <c r="F21" s="266">
        <v>3014868</v>
      </c>
      <c r="G21" s="308">
        <v>312402</v>
      </c>
      <c r="H21" s="306">
        <v>3073110</v>
      </c>
      <c r="I21" s="152">
        <f t="shared" si="9"/>
        <v>8559</v>
      </c>
      <c r="J21" s="98">
        <f t="shared" si="5"/>
        <v>2.8169153148171802</v>
      </c>
      <c r="K21" s="99">
        <f t="shared" si="6"/>
        <v>58242</v>
      </c>
      <c r="L21" s="101">
        <f t="shared" si="7"/>
        <v>1.9318258709834168</v>
      </c>
      <c r="O21" s="19" t="s">
        <v>57</v>
      </c>
    </row>
    <row r="22" spans="2:15" ht="21.2" customHeight="1">
      <c r="B22" s="245" t="s">
        <v>36</v>
      </c>
      <c r="C22" s="122" t="s">
        <v>31</v>
      </c>
      <c r="D22" s="288">
        <v>163176.75</v>
      </c>
      <c r="E22" s="267">
        <v>12245.5</v>
      </c>
      <c r="F22" s="274">
        <v>151132.25</v>
      </c>
      <c r="G22" s="307">
        <v>9388</v>
      </c>
      <c r="H22" s="314">
        <v>114855</v>
      </c>
      <c r="I22" s="185">
        <f t="shared" si="9"/>
        <v>-2857.5</v>
      </c>
      <c r="J22" s="123">
        <f t="shared" si="5"/>
        <v>-23.335102690784367</v>
      </c>
      <c r="K22" s="124">
        <f t="shared" si="6"/>
        <v>-36277.25</v>
      </c>
      <c r="L22" s="125">
        <f>IFERROR((H22/F22*100)-100,"-")</f>
        <v>-24.003645813517622</v>
      </c>
      <c r="O22" s="19" t="s">
        <v>58</v>
      </c>
    </row>
    <row r="23" spans="2:15" ht="21.2" customHeight="1">
      <c r="B23" s="245"/>
      <c r="C23" s="97" t="s">
        <v>32</v>
      </c>
      <c r="D23" s="282">
        <v>2560713</v>
      </c>
      <c r="E23" s="268">
        <v>191960</v>
      </c>
      <c r="F23" s="266">
        <v>2375916</v>
      </c>
      <c r="G23" s="308">
        <v>145219</v>
      </c>
      <c r="H23" s="306">
        <v>1810827</v>
      </c>
      <c r="I23" s="152">
        <f t="shared" si="9"/>
        <v>-46741</v>
      </c>
      <c r="J23" s="98">
        <f>IFERROR((G23/E23*100)-100,"-")</f>
        <v>-24.349343613252756</v>
      </c>
      <c r="K23" s="99">
        <f t="shared" si="6"/>
        <v>-565089</v>
      </c>
      <c r="L23" s="101">
        <f t="shared" si="7"/>
        <v>-23.784047920886081</v>
      </c>
      <c r="O23" s="19" t="s">
        <v>59</v>
      </c>
    </row>
    <row r="24" spans="2:15" ht="21.2" customHeight="1">
      <c r="B24" s="245" t="s">
        <v>48</v>
      </c>
      <c r="C24" s="122" t="s">
        <v>31</v>
      </c>
      <c r="D24" s="280">
        <v>8</v>
      </c>
      <c r="E24" s="269">
        <v>0</v>
      </c>
      <c r="F24" s="267">
        <v>8</v>
      </c>
      <c r="G24" s="184"/>
      <c r="H24" s="172"/>
      <c r="I24" s="185">
        <f t="shared" si="9"/>
        <v>0</v>
      </c>
      <c r="J24" s="123" t="str">
        <f>IFERROR((G24/E24*100)-100,"-")</f>
        <v>-</v>
      </c>
      <c r="K24" s="124">
        <f t="shared" si="6"/>
        <v>-8</v>
      </c>
      <c r="L24" s="125">
        <f t="shared" si="7"/>
        <v>-100</v>
      </c>
      <c r="O24" s="19" t="s">
        <v>60</v>
      </c>
    </row>
    <row r="25" spans="2:15" ht="21.2" customHeight="1">
      <c r="B25" s="245"/>
      <c r="C25" s="100" t="s">
        <v>32</v>
      </c>
      <c r="D25" s="286">
        <v>175</v>
      </c>
      <c r="E25" s="264">
        <v>0</v>
      </c>
      <c r="F25" s="268">
        <v>175</v>
      </c>
      <c r="G25" s="154"/>
      <c r="H25" s="173"/>
      <c r="I25" s="152">
        <f t="shared" si="9"/>
        <v>0</v>
      </c>
      <c r="J25" s="98" t="str">
        <f>IFERROR((G25/E25*100)-100,"-")</f>
        <v>-</v>
      </c>
      <c r="K25" s="99">
        <f t="shared" si="6"/>
        <v>-175</v>
      </c>
      <c r="L25" s="101">
        <f t="shared" si="7"/>
        <v>-100</v>
      </c>
      <c r="O25" s="19" t="s">
        <v>61</v>
      </c>
    </row>
    <row r="26" spans="2:15" ht="21.2" customHeight="1">
      <c r="B26" s="245" t="s">
        <v>71</v>
      </c>
      <c r="C26" s="122" t="s">
        <v>31</v>
      </c>
      <c r="D26" s="280">
        <v>0</v>
      </c>
      <c r="E26" s="269">
        <v>0</v>
      </c>
      <c r="F26" s="263">
        <v>0</v>
      </c>
      <c r="G26" s="184"/>
      <c r="H26" s="126"/>
      <c r="I26" s="185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245"/>
      <c r="C27" s="97" t="s">
        <v>32</v>
      </c>
      <c r="D27" s="286">
        <v>0</v>
      </c>
      <c r="E27" s="264">
        <v>0</v>
      </c>
      <c r="F27" s="264">
        <v>0</v>
      </c>
      <c r="G27" s="154"/>
      <c r="H27" s="154"/>
      <c r="I27" s="152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245" t="s">
        <v>43</v>
      </c>
      <c r="C28" s="122" t="s">
        <v>44</v>
      </c>
      <c r="D28" s="288">
        <v>36</v>
      </c>
      <c r="E28" s="269">
        <v>0</v>
      </c>
      <c r="F28" s="267">
        <v>36</v>
      </c>
      <c r="G28" s="184"/>
      <c r="H28" s="172"/>
      <c r="I28" s="185">
        <f>IFERROR(G28-E28,"-")</f>
        <v>0</v>
      </c>
      <c r="J28" s="123" t="str">
        <f>IFERROR((#REF!/E28*100)-100,"-")</f>
        <v>-</v>
      </c>
      <c r="K28" s="124">
        <f t="shared" si="6"/>
        <v>-36</v>
      </c>
      <c r="L28" s="125">
        <f>IFERROR((H28/F28*100)-100,"-")</f>
        <v>-100</v>
      </c>
      <c r="O28" s="19" t="s">
        <v>62</v>
      </c>
    </row>
    <row r="29" spans="2:15" ht="21.2" customHeight="1">
      <c r="B29" s="245"/>
      <c r="C29" s="97" t="s">
        <v>45</v>
      </c>
      <c r="D29" s="282">
        <v>956</v>
      </c>
      <c r="E29" s="264">
        <v>0</v>
      </c>
      <c r="F29" s="268">
        <v>956</v>
      </c>
      <c r="G29" s="154"/>
      <c r="H29" s="308"/>
      <c r="I29" s="152">
        <f t="shared" si="9"/>
        <v>0</v>
      </c>
      <c r="J29" s="98" t="str">
        <f>IFERROR((#REF!/E29*100)-100,"-")</f>
        <v>-</v>
      </c>
      <c r="K29" s="99">
        <f t="shared" si="6"/>
        <v>-956</v>
      </c>
      <c r="L29" s="101">
        <f t="shared" si="7"/>
        <v>-100</v>
      </c>
      <c r="O29" s="19" t="s">
        <v>62</v>
      </c>
    </row>
    <row r="30" spans="2:15" ht="21.2" customHeight="1">
      <c r="B30" s="245" t="s">
        <v>38</v>
      </c>
      <c r="C30" s="122" t="s">
        <v>31</v>
      </c>
      <c r="D30" s="288">
        <v>0</v>
      </c>
      <c r="E30" s="269">
        <v>0</v>
      </c>
      <c r="F30" s="269">
        <v>0</v>
      </c>
      <c r="G30" s="184"/>
      <c r="H30" s="185">
        <v>1</v>
      </c>
      <c r="I30" s="185">
        <f>IFERROR(G30-E30,"-")</f>
        <v>0</v>
      </c>
      <c r="J30" s="123" t="str">
        <f>IFERROR((G30/E30*100)-100,"-")</f>
        <v>-</v>
      </c>
      <c r="K30" s="124">
        <f>IFERROR(H30-F30,"-")</f>
        <v>1</v>
      </c>
      <c r="L30" s="125" t="str">
        <f>IFERROR((H30/F30*100)-100,"-")</f>
        <v>-</v>
      </c>
      <c r="O30" s="19" t="s">
        <v>63</v>
      </c>
    </row>
    <row r="31" spans="2:15" ht="21.2" customHeight="1">
      <c r="B31" s="245"/>
      <c r="C31" s="97" t="s">
        <v>32</v>
      </c>
      <c r="D31" s="282">
        <v>0</v>
      </c>
      <c r="E31" s="264">
        <v>0</v>
      </c>
      <c r="F31" s="269">
        <v>0</v>
      </c>
      <c r="G31" s="154"/>
      <c r="H31" s="309">
        <v>21</v>
      </c>
      <c r="I31" s="304">
        <f t="shared" si="9"/>
        <v>0</v>
      </c>
      <c r="J31" s="98" t="str">
        <f>IFERROR((G31/E31*100)-100,"-")</f>
        <v>-</v>
      </c>
      <c r="K31" s="99">
        <f t="shared" si="6"/>
        <v>21</v>
      </c>
      <c r="L31" s="101" t="str">
        <f t="shared" si="7"/>
        <v>-</v>
      </c>
      <c r="O31" s="19" t="s">
        <v>64</v>
      </c>
    </row>
    <row r="32" spans="2:15" ht="21.2" customHeight="1">
      <c r="B32" s="245" t="s">
        <v>39</v>
      </c>
      <c r="C32" s="122" t="s">
        <v>31</v>
      </c>
      <c r="D32" s="288">
        <v>78522</v>
      </c>
      <c r="E32" s="267">
        <v>7991</v>
      </c>
      <c r="F32" s="274">
        <v>69874</v>
      </c>
      <c r="G32" s="307">
        <v>8669</v>
      </c>
      <c r="H32" s="314">
        <v>89818</v>
      </c>
      <c r="I32" s="185">
        <f t="shared" si="9"/>
        <v>678</v>
      </c>
      <c r="J32" s="123">
        <f>IFERROR((G32/E32*100)-100,"-")</f>
        <v>8.484545113252409</v>
      </c>
      <c r="K32" s="124">
        <f t="shared" si="6"/>
        <v>19944</v>
      </c>
      <c r="L32" s="125">
        <f t="shared" si="7"/>
        <v>28.542805621547359</v>
      </c>
      <c r="O32" s="19" t="s">
        <v>65</v>
      </c>
    </row>
    <row r="33" spans="2:15" ht="21.2" customHeight="1">
      <c r="B33" s="245"/>
      <c r="C33" s="97" t="s">
        <v>32</v>
      </c>
      <c r="D33" s="282">
        <v>1262971</v>
      </c>
      <c r="E33" s="268">
        <v>129825</v>
      </c>
      <c r="F33" s="266">
        <v>1125888</v>
      </c>
      <c r="G33" s="308">
        <v>8669</v>
      </c>
      <c r="H33" s="306">
        <v>1363337</v>
      </c>
      <c r="I33" s="152">
        <f t="shared" si="9"/>
        <v>-121156</v>
      </c>
      <c r="J33" s="98">
        <f>IFERROR((G33/E33*100)-100,"-")</f>
        <v>-93.322549585981122</v>
      </c>
      <c r="K33" s="99">
        <f t="shared" si="6"/>
        <v>237449</v>
      </c>
      <c r="L33" s="101">
        <f t="shared" si="7"/>
        <v>21.089930792405639</v>
      </c>
      <c r="O33" s="19" t="s">
        <v>66</v>
      </c>
    </row>
    <row r="34" spans="2:15" ht="21.2" customHeight="1">
      <c r="B34" s="245" t="s">
        <v>40</v>
      </c>
      <c r="C34" s="122" t="s">
        <v>31</v>
      </c>
      <c r="D34" s="288">
        <v>144194</v>
      </c>
      <c r="E34" s="267">
        <v>12723</v>
      </c>
      <c r="F34" s="274">
        <v>129078</v>
      </c>
      <c r="G34" s="307">
        <v>15401</v>
      </c>
      <c r="H34" s="314">
        <v>159083</v>
      </c>
      <c r="I34" s="185">
        <f t="shared" si="9"/>
        <v>2678</v>
      </c>
      <c r="J34" s="123">
        <f t="shared" si="5"/>
        <v>21.048494851843131</v>
      </c>
      <c r="K34" s="124">
        <f t="shared" si="6"/>
        <v>30005</v>
      </c>
      <c r="L34" s="125">
        <f t="shared" si="7"/>
        <v>23.245634422597192</v>
      </c>
      <c r="O34" s="19" t="s">
        <v>67</v>
      </c>
    </row>
    <row r="35" spans="2:15" ht="21.2" customHeight="1">
      <c r="B35" s="245"/>
      <c r="C35" s="97" t="s">
        <v>32</v>
      </c>
      <c r="D35" s="282">
        <v>2071805</v>
      </c>
      <c r="E35" s="268">
        <v>199444</v>
      </c>
      <c r="F35" s="266">
        <v>1866810</v>
      </c>
      <c r="G35" s="308">
        <v>236261</v>
      </c>
      <c r="H35" s="306">
        <v>2225294</v>
      </c>
      <c r="I35" s="152">
        <f t="shared" si="9"/>
        <v>36817</v>
      </c>
      <c r="J35" s="98">
        <f t="shared" si="5"/>
        <v>18.459818294859716</v>
      </c>
      <c r="K35" s="99">
        <f t="shared" si="6"/>
        <v>358484</v>
      </c>
      <c r="L35" s="101">
        <f t="shared" si="7"/>
        <v>19.20302548197192</v>
      </c>
      <c r="O35" s="19" t="s">
        <v>68</v>
      </c>
    </row>
    <row r="36" spans="2:15" ht="21.2" customHeight="1">
      <c r="B36" s="245" t="s">
        <v>41</v>
      </c>
      <c r="C36" s="122" t="s">
        <v>31</v>
      </c>
      <c r="D36" s="288">
        <v>51128</v>
      </c>
      <c r="E36" s="267">
        <v>6564</v>
      </c>
      <c r="F36" s="274">
        <v>45086</v>
      </c>
      <c r="G36" s="307">
        <v>9896</v>
      </c>
      <c r="H36" s="314">
        <v>59679</v>
      </c>
      <c r="I36" s="185">
        <f t="shared" si="9"/>
        <v>3332</v>
      </c>
      <c r="J36" s="123">
        <f t="shared" si="5"/>
        <v>50.76173065204145</v>
      </c>
      <c r="K36" s="124">
        <f t="shared" si="6"/>
        <v>14593</v>
      </c>
      <c r="L36" s="125">
        <f t="shared" si="7"/>
        <v>32.367031894601439</v>
      </c>
      <c r="O36" s="19" t="s">
        <v>69</v>
      </c>
    </row>
    <row r="37" spans="2:15" ht="21.2" customHeight="1">
      <c r="B37" s="246"/>
      <c r="C37" s="102" t="s">
        <v>32</v>
      </c>
      <c r="D37" s="289">
        <v>747170</v>
      </c>
      <c r="E37" s="275">
        <v>82383</v>
      </c>
      <c r="F37" s="276">
        <v>655601</v>
      </c>
      <c r="G37" s="315">
        <v>115366</v>
      </c>
      <c r="H37" s="316">
        <v>777374</v>
      </c>
      <c r="I37" s="159">
        <f t="shared" si="9"/>
        <v>32983</v>
      </c>
      <c r="J37" s="103">
        <f t="shared" si="5"/>
        <v>40.03617251131908</v>
      </c>
      <c r="K37" s="104">
        <f t="shared" si="6"/>
        <v>121773</v>
      </c>
      <c r="L37" s="105">
        <f t="shared" si="7"/>
        <v>18.57425476776271</v>
      </c>
      <c r="O37" s="19" t="s">
        <v>70</v>
      </c>
    </row>
    <row r="38" spans="2:15" ht="21.2" customHeight="1">
      <c r="E38" s="19"/>
      <c r="H38" s="175"/>
    </row>
    <row r="39" spans="2:15" ht="21.2" customHeight="1">
      <c r="E39" s="19"/>
      <c r="H39" s="175"/>
    </row>
    <row r="40" spans="2:15">
      <c r="E40" s="19"/>
      <c r="H40" s="175"/>
    </row>
    <row r="41" spans="2:15">
      <c r="E41" s="19"/>
      <c r="H41" s="175"/>
    </row>
    <row r="42" spans="2:15">
      <c r="E42" s="19"/>
      <c r="H42" s="175"/>
    </row>
    <row r="43" spans="2:15">
      <c r="E43" s="19"/>
      <c r="H43" s="175"/>
    </row>
    <row r="44" spans="2:15">
      <c r="E44" s="19"/>
      <c r="H44" s="175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2025-12-31T06:38:39Z</dcterms:modified>
</cp:coreProperties>
</file>