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23250" windowHeight="12570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_FilterDatabase" localSheetId="3" hidden="1">'컨테이너 재게'!$B$7:$AI$39</definedName>
    <definedName name="_xlnm.Print_Area" localSheetId="2">'연도별 수송실적'!$B$1:$P$33</definedName>
    <definedName name="_xlnm.Print_Area" localSheetId="1">통계요약!$A$3:$M$30</definedName>
  </definedNames>
  <calcPr calcId="145621"/>
</workbook>
</file>

<file path=xl/calcChain.xml><?xml version="1.0" encoding="utf-8"?>
<calcChain xmlns="http://schemas.openxmlformats.org/spreadsheetml/2006/main">
  <c r="L11" i="32" l="1"/>
  <c r="L12" i="32"/>
  <c r="L13" i="32"/>
  <c r="L14" i="32"/>
  <c r="L15" i="32"/>
  <c r="L16" i="32"/>
  <c r="L17" i="32"/>
  <c r="L18" i="32"/>
  <c r="L19" i="32"/>
  <c r="L20" i="32"/>
  <c r="L21" i="32"/>
  <c r="L22" i="32"/>
  <c r="L23" i="32"/>
  <c r="L24" i="32"/>
  <c r="L25" i="32"/>
  <c r="L26" i="32"/>
  <c r="L27" i="32"/>
  <c r="L28" i="32"/>
  <c r="L29" i="32"/>
  <c r="L30" i="32"/>
  <c r="L31" i="32"/>
  <c r="L32" i="32"/>
  <c r="L33" i="32"/>
  <c r="L34" i="32"/>
  <c r="L35" i="32"/>
  <c r="L36" i="32"/>
  <c r="L37" i="32"/>
  <c r="L38" i="32"/>
  <c r="L39" i="32"/>
  <c r="L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0" i="32"/>
  <c r="K31" i="32"/>
  <c r="K32" i="32"/>
  <c r="K33" i="32"/>
  <c r="K34" i="32"/>
  <c r="K35" i="32"/>
  <c r="K36" i="32"/>
  <c r="K37" i="32"/>
  <c r="K38" i="32"/>
  <c r="K39" i="32"/>
  <c r="K10" i="32"/>
  <c r="J11" i="32"/>
  <c r="J12" i="32"/>
  <c r="J13" i="32"/>
  <c r="J14" i="32"/>
  <c r="J15" i="32"/>
  <c r="J16" i="32"/>
  <c r="J17" i="32"/>
  <c r="J18" i="32"/>
  <c r="J19" i="32"/>
  <c r="J20" i="32"/>
  <c r="J21" i="32"/>
  <c r="J22" i="32"/>
  <c r="J23" i="32"/>
  <c r="J24" i="32"/>
  <c r="J25" i="32"/>
  <c r="J26" i="32"/>
  <c r="J27" i="32"/>
  <c r="J28" i="32"/>
  <c r="J29" i="32"/>
  <c r="J30" i="32"/>
  <c r="J31" i="32"/>
  <c r="J32" i="32"/>
  <c r="J33" i="32"/>
  <c r="J34" i="32"/>
  <c r="J35" i="32"/>
  <c r="J36" i="32"/>
  <c r="J37" i="32"/>
  <c r="J38" i="32"/>
  <c r="J39" i="32"/>
  <c r="J10" i="32"/>
  <c r="I11" i="32"/>
  <c r="I12" i="32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34" i="32"/>
  <c r="I35" i="32"/>
  <c r="I36" i="32"/>
  <c r="I37" i="32"/>
  <c r="I38" i="32"/>
  <c r="I39" i="32"/>
  <c r="I10" i="32"/>
  <c r="J24" i="21" l="1"/>
  <c r="J25" i="21"/>
  <c r="J23" i="21"/>
  <c r="L18" i="21"/>
  <c r="L17" i="21"/>
  <c r="J18" i="21"/>
  <c r="J17" i="21"/>
  <c r="L13" i="21"/>
  <c r="J13" i="21"/>
  <c r="J14" i="21"/>
  <c r="J15" i="21"/>
  <c r="AF15" i="32" l="1"/>
  <c r="AG15" i="32"/>
  <c r="AG14" i="32"/>
  <c r="AF14" i="32"/>
  <c r="AG13" i="32"/>
  <c r="AF13" i="32"/>
  <c r="AE15" i="32"/>
  <c r="AD15" i="32"/>
  <c r="AE14" i="32"/>
  <c r="AD14" i="32"/>
  <c r="AE13" i="32"/>
  <c r="AD13" i="32"/>
  <c r="AH15" i="32" l="1"/>
  <c r="AI15" i="32"/>
  <c r="AI14" i="32"/>
  <c r="AI13" i="32"/>
  <c r="AH14" i="32"/>
  <c r="AH13" i="32"/>
  <c r="E9" i="32"/>
  <c r="E8" i="32"/>
  <c r="F9" i="32"/>
  <c r="F8" i="32"/>
  <c r="D9" i="32"/>
  <c r="D8" i="32"/>
  <c r="H12" i="21" l="1"/>
  <c r="I16" i="21" l="1"/>
  <c r="I12" i="21"/>
  <c r="H16" i="21"/>
  <c r="H11" i="21" s="1"/>
  <c r="I11" i="21" l="1"/>
  <c r="P7" i="33" s="1"/>
  <c r="F16" i="21"/>
  <c r="F12" i="21"/>
  <c r="J12" i="21" s="1"/>
  <c r="G16" i="21"/>
  <c r="G12" i="21"/>
  <c r="F11" i="21" l="1"/>
  <c r="G11" i="21"/>
  <c r="H8" i="32" l="1"/>
  <c r="G8" i="32"/>
  <c r="H9" i="32" l="1"/>
  <c r="G9" i="32"/>
  <c r="E16" i="21" l="1"/>
  <c r="E12" i="21"/>
  <c r="E11" i="21" l="1"/>
  <c r="H22" i="21"/>
  <c r="G22" i="21" l="1"/>
  <c r="L12" i="21"/>
  <c r="G8" i="21" l="1"/>
  <c r="E7" i="32" l="1"/>
  <c r="I8" i="21" l="1"/>
  <c r="H7" i="33" s="1"/>
  <c r="H8" i="21" l="1"/>
  <c r="P9" i="33" l="1"/>
  <c r="H9" i="33"/>
  <c r="P6" i="33"/>
  <c r="H7" i="32" l="1"/>
  <c r="G7" i="32"/>
  <c r="F7" i="32"/>
  <c r="E8" i="21" l="1"/>
  <c r="L29" i="21" l="1"/>
  <c r="J29" i="21"/>
  <c r="K29" i="21"/>
  <c r="L27" i="21"/>
  <c r="L28" i="21"/>
  <c r="L19" i="21"/>
  <c r="J27" i="21" l="1"/>
  <c r="J28" i="21"/>
  <c r="J19" i="21"/>
  <c r="I26" i="21" l="1"/>
  <c r="I22" i="21"/>
  <c r="E26" i="21" l="1"/>
  <c r="E22" i="21"/>
  <c r="E21" i="21" l="1"/>
  <c r="F22" i="21" l="1"/>
  <c r="F8" i="21"/>
  <c r="F26" i="21" l="1"/>
  <c r="J26" i="21" s="1"/>
  <c r="G26" i="21"/>
  <c r="G21" i="21" s="1"/>
  <c r="L26" i="21" l="1"/>
  <c r="K15" i="21"/>
  <c r="M25" i="21" l="1"/>
  <c r="J9" i="21"/>
  <c r="K9" i="21"/>
  <c r="L9" i="21"/>
  <c r="M9" i="21"/>
  <c r="J10" i="21"/>
  <c r="K10" i="21"/>
  <c r="L10" i="21"/>
  <c r="M10" i="21"/>
  <c r="K13" i="21"/>
  <c r="M13" i="21"/>
  <c r="K14" i="21"/>
  <c r="L14" i="21"/>
  <c r="M14" i="21"/>
  <c r="L15" i="21"/>
  <c r="M15" i="21"/>
  <c r="K17" i="21"/>
  <c r="M17" i="21"/>
  <c r="K18" i="21"/>
  <c r="M18" i="21"/>
  <c r="K23" i="21"/>
  <c r="L23" i="21"/>
  <c r="M23" i="21"/>
  <c r="K24" i="21"/>
  <c r="L24" i="21"/>
  <c r="M24" i="21"/>
  <c r="K25" i="21"/>
  <c r="L25" i="21"/>
  <c r="M29" i="21"/>
  <c r="I21" i="21" l="1"/>
  <c r="H10" i="33" s="1"/>
  <c r="H21" i="21"/>
  <c r="J16" i="21"/>
  <c r="L9" i="32"/>
  <c r="I8" i="32"/>
  <c r="M12" i="21"/>
  <c r="K16" i="21"/>
  <c r="K8" i="32"/>
  <c r="M22" i="21"/>
  <c r="K22" i="21"/>
  <c r="F21" i="21"/>
  <c r="L22" i="21"/>
  <c r="J22" i="21"/>
  <c r="L16" i="21"/>
  <c r="K12" i="21"/>
  <c r="M16" i="21"/>
  <c r="M8" i="21"/>
  <c r="L8" i="21"/>
  <c r="J8" i="21"/>
  <c r="K8" i="21"/>
  <c r="J9" i="32"/>
  <c r="I9" i="32"/>
  <c r="L8" i="32"/>
  <c r="L21" i="21" l="1"/>
  <c r="J21" i="21"/>
  <c r="L11" i="21"/>
  <c r="K9" i="32"/>
  <c r="J8" i="32"/>
  <c r="M11" i="21"/>
  <c r="K21" i="21"/>
  <c r="M21" i="21"/>
  <c r="J11" i="21"/>
  <c r="K11" i="21"/>
</calcChain>
</file>

<file path=xl/sharedStrings.xml><?xml version="1.0" encoding="utf-8"?>
<sst xmlns="http://schemas.openxmlformats.org/spreadsheetml/2006/main" count="161" uniqueCount="112">
  <si>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</si>
  <si>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</si>
  <si>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</si>
  <si>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</si>
  <si>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</si>
  <si>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</si>
  <si>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</si>
  <si>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8" type="noConversion"/>
  </si>
  <si>
    <t xml:space="preserve"> 합  계</t>
    <phoneticPr fontId="8" type="noConversion"/>
  </si>
  <si>
    <t xml:space="preserve"> 외  항</t>
    <phoneticPr fontId="8" type="noConversion"/>
  </si>
  <si>
    <t xml:space="preserve"> 내  항</t>
    <phoneticPr fontId="8" type="noConversion"/>
  </si>
  <si>
    <t>연간누계</t>
    <phoneticPr fontId="8" type="noConversion"/>
  </si>
  <si>
    <t>계</t>
    <phoneticPr fontId="8" type="noConversion"/>
  </si>
  <si>
    <t>환적</t>
    <phoneticPr fontId="8" type="noConversion"/>
  </si>
  <si>
    <t>수출</t>
    <phoneticPr fontId="8" type="noConversion"/>
  </si>
  <si>
    <t>전년동기대비</t>
    <phoneticPr fontId="8" type="noConversion"/>
  </si>
  <si>
    <t>(%)</t>
    <phoneticPr fontId="8" type="noConversion"/>
  </si>
  <si>
    <t>환적</t>
    <phoneticPr fontId="8" type="noConversion"/>
  </si>
  <si>
    <t>D-B</t>
    <phoneticPr fontId="8" type="noConversion"/>
  </si>
  <si>
    <t>선박</t>
    <phoneticPr fontId="8" type="noConversion"/>
  </si>
  <si>
    <t>화물</t>
    <phoneticPr fontId="8" type="noConversion"/>
  </si>
  <si>
    <t>(단위:TEU, 100% 기준)</t>
    <phoneticPr fontId="8" type="noConversion"/>
  </si>
  <si>
    <t>컨테이너</t>
    <phoneticPr fontId="8" type="noConversion"/>
  </si>
  <si>
    <t>구     분</t>
    <phoneticPr fontId="8" type="noConversion"/>
  </si>
  <si>
    <t>단위</t>
    <phoneticPr fontId="20" type="noConversion"/>
  </si>
  <si>
    <t>전년동기대비</t>
    <phoneticPr fontId="8" type="noConversion"/>
  </si>
  <si>
    <t>연간누계</t>
    <phoneticPr fontId="8" type="noConversion"/>
  </si>
  <si>
    <t>C-A</t>
    <phoneticPr fontId="8" type="noConversion"/>
  </si>
  <si>
    <t>(%)</t>
    <phoneticPr fontId="8" type="noConversion"/>
  </si>
  <si>
    <t>D-B</t>
    <phoneticPr fontId="8" type="noConversion"/>
  </si>
  <si>
    <t>합  계</t>
    <phoneticPr fontId="8" type="noConversion"/>
  </si>
  <si>
    <t>TEU</t>
    <phoneticPr fontId="20" type="noConversion"/>
  </si>
  <si>
    <t>톤</t>
    <phoneticPr fontId="20" type="noConversion"/>
  </si>
  <si>
    <t>국제여객부두1번</t>
  </si>
  <si>
    <t>국제여객부두2번</t>
  </si>
  <si>
    <t>동부두 6</t>
    <phoneticPr fontId="20" type="noConversion"/>
  </si>
  <si>
    <t>동부두 8</t>
    <phoneticPr fontId="20" type="noConversion"/>
  </si>
  <si>
    <t>C-A</t>
    <phoneticPr fontId="8" type="noConversion"/>
  </si>
  <si>
    <t>동부두 12</t>
    <phoneticPr fontId="20" type="noConversion"/>
  </si>
  <si>
    <t>동부두 14</t>
    <phoneticPr fontId="20" type="noConversion"/>
  </si>
  <si>
    <t>동부두 15</t>
    <phoneticPr fontId="20" type="noConversion"/>
  </si>
  <si>
    <t>동부두 16</t>
    <phoneticPr fontId="20" type="noConversion"/>
  </si>
  <si>
    <t>동부두 7</t>
    <phoneticPr fontId="20" type="noConversion"/>
  </si>
  <si>
    <t>동부두 11</t>
    <phoneticPr fontId="20" type="noConversion"/>
  </si>
  <si>
    <t>TEU</t>
    <phoneticPr fontId="20" type="noConversion"/>
  </si>
  <si>
    <t>톤</t>
    <phoneticPr fontId="20" type="noConversion"/>
  </si>
  <si>
    <t>동부두 5</t>
    <phoneticPr fontId="20" type="noConversion"/>
  </si>
  <si>
    <t>자동차(대)</t>
    <phoneticPr fontId="8" type="noConversion"/>
  </si>
  <si>
    <t>동부두 9</t>
    <phoneticPr fontId="20" type="noConversion"/>
  </si>
  <si>
    <t>소계</t>
    <phoneticPr fontId="8" type="noConversion"/>
  </si>
  <si>
    <t>(단위 : 척)</t>
    <phoneticPr fontId="8" type="noConversion"/>
  </si>
  <si>
    <t>국제여객부두 1번선석</t>
  </si>
  <si>
    <t>국제여객부두 2번선석</t>
    <phoneticPr fontId="20" type="noConversion"/>
  </si>
  <si>
    <t>동부두 5번선석</t>
    <phoneticPr fontId="20" type="noConversion"/>
  </si>
  <si>
    <t>동부두 6번선석</t>
    <phoneticPr fontId="20" type="noConversion"/>
  </si>
  <si>
    <t>동부두 6번선석</t>
    <phoneticPr fontId="20" type="noConversion"/>
  </si>
  <si>
    <t>동부두 7번선석</t>
    <phoneticPr fontId="20" type="noConversion"/>
  </si>
  <si>
    <t>동부두 7번선석</t>
    <phoneticPr fontId="20" type="noConversion"/>
  </si>
  <si>
    <t>동부두 8번선석</t>
    <phoneticPr fontId="20" type="noConversion"/>
  </si>
  <si>
    <t>동부두 8번선석</t>
    <phoneticPr fontId="20" type="noConversion"/>
  </si>
  <si>
    <t>동부두 9번선석</t>
    <phoneticPr fontId="20" type="noConversion"/>
  </si>
  <si>
    <t>동부두 9번선석</t>
    <phoneticPr fontId="20" type="noConversion"/>
  </si>
  <si>
    <t>동부두 11번선석</t>
    <phoneticPr fontId="20" type="noConversion"/>
  </si>
  <si>
    <t>동부두 12번선석</t>
    <phoneticPr fontId="20" type="noConversion"/>
  </si>
  <si>
    <t>동부두 12번선석</t>
    <phoneticPr fontId="20" type="noConversion"/>
  </si>
  <si>
    <t>동부두 14번선석</t>
    <phoneticPr fontId="20" type="noConversion"/>
  </si>
  <si>
    <t>동부두 14번선석</t>
    <phoneticPr fontId="20" type="noConversion"/>
  </si>
  <si>
    <t>동부두 15번선석</t>
    <phoneticPr fontId="20" type="noConversion"/>
  </si>
  <si>
    <t>동부두 15번선석</t>
    <phoneticPr fontId="20" type="noConversion"/>
  </si>
  <si>
    <t>동부두 16번선석</t>
    <phoneticPr fontId="20" type="noConversion"/>
  </si>
  <si>
    <t>동부두 16번선석</t>
    <phoneticPr fontId="20" type="noConversion"/>
  </si>
  <si>
    <t>동부두 10</t>
    <phoneticPr fontId="20" type="noConversion"/>
  </si>
  <si>
    <t>동부두 1</t>
    <phoneticPr fontId="20" type="noConversion"/>
  </si>
  <si>
    <t>동부두 1번선석</t>
    <phoneticPr fontId="20" type="noConversion"/>
  </si>
  <si>
    <t>동부두 10번선석</t>
    <phoneticPr fontId="20" type="noConversion"/>
  </si>
  <si>
    <t>순증</t>
    <phoneticPr fontId="8" type="noConversion"/>
  </si>
  <si>
    <t>2022년도</t>
    <phoneticPr fontId="8" type="noConversion"/>
  </si>
  <si>
    <t>2023년도</t>
    <phoneticPr fontId="8" type="noConversion"/>
  </si>
  <si>
    <t>2023년도</t>
    <phoneticPr fontId="8" type="noConversion"/>
  </si>
  <si>
    <t>고대부두 8</t>
    <phoneticPr fontId="20" type="noConversion"/>
  </si>
  <si>
    <t>PNCT</t>
    <phoneticPr fontId="20" type="noConversion"/>
  </si>
  <si>
    <t>터미널별</t>
    <phoneticPr fontId="20" type="noConversion"/>
  </si>
  <si>
    <t>2022년 월별</t>
    <phoneticPr fontId="20" type="noConversion"/>
  </si>
  <si>
    <t>2022년 누계</t>
    <phoneticPr fontId="20" type="noConversion"/>
  </si>
  <si>
    <t>2023년 월별</t>
    <phoneticPr fontId="20" type="noConversion"/>
  </si>
  <si>
    <t>2023년 누계</t>
    <phoneticPr fontId="20" type="noConversion"/>
  </si>
  <si>
    <t>여객부두</t>
    <phoneticPr fontId="20" type="noConversion"/>
  </si>
  <si>
    <t>HPCTC</t>
    <phoneticPr fontId="20" type="noConversion"/>
  </si>
  <si>
    <t>`</t>
    <phoneticPr fontId="20" type="noConversion"/>
  </si>
  <si>
    <t>(단위 : 척, 천톤, 100% 기준)</t>
  </si>
  <si>
    <t>컨테이너</t>
    <phoneticPr fontId="8" type="noConversion"/>
  </si>
  <si>
    <t>연도별 수송실적</t>
    <phoneticPr fontId="8" type="noConversion"/>
  </si>
  <si>
    <t>(단위 : 천톤)</t>
    <phoneticPr fontId="8" type="noConversion"/>
  </si>
  <si>
    <t>(단위 : TEU)</t>
    <phoneticPr fontId="8" type="noConversion"/>
  </si>
  <si>
    <t>(단위 : 명)</t>
    <phoneticPr fontId="8" type="noConversion"/>
  </si>
  <si>
    <t>화물
입출항</t>
    <phoneticPr fontId="8" type="noConversion"/>
  </si>
  <si>
    <t>선박
입출항</t>
    <phoneticPr fontId="8" type="noConversion"/>
  </si>
  <si>
    <t>여  객</t>
    <phoneticPr fontId="8" type="noConversion"/>
  </si>
  <si>
    <t>구 분</t>
    <phoneticPr fontId="8" type="noConversion"/>
  </si>
  <si>
    <t>(선박입출항)</t>
    <phoneticPr fontId="8" type="noConversion"/>
  </si>
  <si>
    <t>(화물입출항)</t>
    <phoneticPr fontId="8" type="noConversion"/>
  </si>
  <si>
    <t>(컨테이너)</t>
    <phoneticPr fontId="8" type="noConversion"/>
  </si>
  <si>
    <t xml:space="preserve">□ 연도별 추이 </t>
    <phoneticPr fontId="19" type="noConversion"/>
  </si>
  <si>
    <t>(여 객)</t>
    <phoneticPr fontId="8" type="noConversion"/>
  </si>
  <si>
    <t>`</t>
    <phoneticPr fontId="8" type="noConversion"/>
  </si>
  <si>
    <t>12월(A)</t>
    <phoneticPr fontId="8" type="noConversion"/>
  </si>
  <si>
    <t xml:space="preserve"> 12월누계(B) </t>
    <phoneticPr fontId="8" type="noConversion"/>
  </si>
  <si>
    <t>12월(C)</t>
    <phoneticPr fontId="8" type="noConversion"/>
  </si>
  <si>
    <t xml:space="preserve"> 12월누계(D) </t>
    <phoneticPr fontId="8" type="noConversion"/>
  </si>
  <si>
    <t>항만운영통계(12월)</t>
    <phoneticPr fontId="8" type="noConversion"/>
  </si>
  <si>
    <t>2023.12.</t>
    <phoneticPr fontId="19" type="noConversion"/>
  </si>
  <si>
    <t>부두별 컨테이너 물동량(12월)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</si>
</sst>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#,###"/>
    <numFmt numFmtId="190" formatCode="0.0"/>
  </numFmts>
  <fonts count="37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0"/>
      <name val="굴림"/>
      <family val="3"/>
      <charset val="129"/>
    </font>
    <font>
      <sz val="11"/>
      <color theme="1"/>
      <name val="굴림체"/>
      <family val="3"/>
      <charset val="129"/>
    </font>
    <font>
      <sz val="24"/>
      <color indexed="8"/>
      <name val="HY헤드라인M"/>
      <family val="1"/>
      <charset val="129"/>
    </font>
    <font>
      <sz val="10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5" tint="-0.249977111117893"/>
      <name val="굴림체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FE4A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</borders>
  <cellStyleXfs count="103">
    <xf numFmtId="0" fontId="0" fillId="0" borderId="0"/>
    <xf numFmtId="38" fontId="9" fillId="0" borderId="0" applyFont="0" applyFill="0" applyBorder="0" applyAlignment="0" applyProtection="0"/>
    <xf numFmtId="4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38" fontId="12" fillId="2" borderId="0" applyNumberFormat="0" applyBorder="0" applyAlignment="0" applyProtection="0"/>
    <xf numFmtId="10" fontId="12" fillId="3" borderId="1" applyNumberFormat="0" applyBorder="0" applyAlignment="0" applyProtection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9" fontId="10" fillId="0" borderId="0"/>
    <xf numFmtId="0" fontId="9" fillId="0" borderId="0"/>
    <xf numFmtId="10" fontId="10" fillId="0" borderId="0" applyFont="0" applyFill="0" applyBorder="0" applyAlignment="0" applyProtection="0"/>
    <xf numFmtId="9" fontId="11" fillId="0" borderId="2" applyNumberFormat="0" applyBorder="0"/>
    <xf numFmtId="176" fontId="6" fillId="0" borderId="0" applyFont="0" applyFill="0" applyBorder="0" applyAlignment="0" applyProtection="0"/>
    <xf numFmtId="0" fontId="6" fillId="0" borderId="0"/>
    <xf numFmtId="0" fontId="23" fillId="0" borderId="0">
      <alignment vertical="center"/>
    </xf>
    <xf numFmtId="0" fontId="4" fillId="0" borderId="0">
      <alignment vertical="center"/>
    </xf>
    <xf numFmtId="0" fontId="6" fillId="0" borderId="0"/>
    <xf numFmtId="176" fontId="6" fillId="0" borderId="0" applyFont="0" applyFill="0" applyBorder="0" applyAlignment="0" applyProtection="0"/>
    <xf numFmtId="0" fontId="3" fillId="0" borderId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176" fontId="6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34" fillId="0" borderId="0"/>
    <xf numFmtId="0" fontId="23" fillId="0" borderId="0">
      <alignment vertical="center"/>
    </xf>
    <xf numFmtId="0" fontId="35" fillId="0" borderId="0">
      <alignment vertical="center"/>
    </xf>
    <xf numFmtId="0" fontId="23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43">
    <xf numFmtId="0" fontId="0" fillId="0" borderId="0" xfId="0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7" fillId="0" borderId="0" xfId="0" applyFont="1" applyAlignment="1">
      <alignment horizontal="right" vertical="center"/>
    </xf>
    <xf numFmtId="180" fontId="7" fillId="0" borderId="0" xfId="0" applyNumberFormat="1" applyFont="1" applyAlignment="1">
      <alignment horizontal="right" vertical="center"/>
    </xf>
    <xf numFmtId="176" fontId="13" fillId="0" borderId="0" xfId="0" applyNumberFormat="1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right" vertical="center"/>
    </xf>
    <xf numFmtId="181" fontId="14" fillId="0" borderId="0" xfId="0" applyNumberFormat="1" applyFont="1" applyFill="1" applyBorder="1" applyAlignment="1">
      <alignment horizontal="right" vertical="center"/>
    </xf>
    <xf numFmtId="9" fontId="14" fillId="0" borderId="0" xfId="0" quotePrefix="1" applyNumberFormat="1" applyFont="1" applyFill="1" applyBorder="1" applyAlignment="1">
      <alignment horizontal="right" vertical="center"/>
    </xf>
    <xf numFmtId="176" fontId="16" fillId="0" borderId="0" xfId="0" applyNumberFormat="1" applyFont="1" applyFill="1" applyBorder="1" applyAlignment="1">
      <alignment horizontal="right" vertical="center"/>
    </xf>
    <xf numFmtId="9" fontId="16" fillId="0" borderId="0" xfId="0" applyNumberFormat="1" applyFont="1" applyFill="1" applyBorder="1" applyAlignment="1">
      <alignment horizontal="right" vertical="center"/>
    </xf>
    <xf numFmtId="0" fontId="18" fillId="0" borderId="0" xfId="0" applyFont="1"/>
    <xf numFmtId="0" fontId="6" fillId="0" borderId="0" xfId="16"/>
    <xf numFmtId="0" fontId="21" fillId="0" borderId="0" xfId="0" applyFont="1" applyBorder="1" applyAlignment="1">
      <alignment horizontal="center" vertical="center"/>
    </xf>
    <xf numFmtId="183" fontId="22" fillId="0" borderId="0" xfId="0" applyNumberFormat="1" applyFont="1" applyBorder="1" applyAlignment="1">
      <alignment vertical="center"/>
    </xf>
    <xf numFmtId="0" fontId="6" fillId="0" borderId="0" xfId="16" applyAlignment="1">
      <alignment horizontal="right"/>
    </xf>
    <xf numFmtId="180" fontId="6" fillId="0" borderId="0" xfId="16" applyNumberFormat="1" applyAlignment="1">
      <alignment horizontal="right"/>
    </xf>
    <xf numFmtId="0" fontId="7" fillId="0" borderId="0" xfId="16" applyFont="1" applyAlignment="1">
      <alignment horizontal="right" vertical="center"/>
    </xf>
    <xf numFmtId="180" fontId="7" fillId="0" borderId="0" xfId="16" applyNumberFormat="1" applyFont="1" applyAlignment="1">
      <alignment horizontal="right" vertical="center"/>
    </xf>
    <xf numFmtId="0" fontId="15" fillId="0" borderId="0" xfId="16" applyFont="1" applyAlignment="1">
      <alignment vertical="center"/>
    </xf>
    <xf numFmtId="0" fontId="23" fillId="0" borderId="0" xfId="17">
      <alignment vertical="center"/>
    </xf>
    <xf numFmtId="0" fontId="23" fillId="0" borderId="0" xfId="17" applyAlignment="1">
      <alignment horizontal="right"/>
    </xf>
    <xf numFmtId="180" fontId="23" fillId="0" borderId="0" xfId="17" applyNumberFormat="1" applyAlignment="1">
      <alignment horizontal="right"/>
    </xf>
    <xf numFmtId="0" fontId="7" fillId="0" borderId="0" xfId="17" applyFont="1" applyAlignment="1">
      <alignment horizontal="right" vertical="center"/>
    </xf>
    <xf numFmtId="180" fontId="7" fillId="0" borderId="0" xfId="17" applyNumberFormat="1" applyFont="1" applyAlignment="1">
      <alignment horizontal="right" vertical="center"/>
    </xf>
    <xf numFmtId="0" fontId="26" fillId="0" borderId="0" xfId="17" applyFont="1">
      <alignment vertical="center"/>
    </xf>
    <xf numFmtId="0" fontId="0" fillId="0" borderId="0" xfId="16" applyFont="1"/>
    <xf numFmtId="0" fontId="0" fillId="0" borderId="0" xfId="0" applyFont="1"/>
    <xf numFmtId="0" fontId="23" fillId="0" borderId="0" xfId="17" applyFont="1">
      <alignment vertical="center"/>
    </xf>
    <xf numFmtId="3" fontId="0" fillId="0" borderId="0" xfId="0" applyNumberFormat="1"/>
    <xf numFmtId="43" fontId="23" fillId="0" borderId="0" xfId="17" applyNumberFormat="1">
      <alignment vertical="center"/>
    </xf>
    <xf numFmtId="0" fontId="23" fillId="0" borderId="0" xfId="17" applyFont="1" applyAlignment="1">
      <alignment horizontal="center" vertical="center"/>
    </xf>
    <xf numFmtId="0" fontId="23" fillId="0" borderId="0" xfId="17" applyAlignment="1">
      <alignment horizontal="center" vertical="center"/>
    </xf>
    <xf numFmtId="176" fontId="23" fillId="0" borderId="1" xfId="15" applyFont="1" applyBorder="1" applyAlignment="1">
      <alignment horizontal="center" vertical="center"/>
    </xf>
    <xf numFmtId="0" fontId="23" fillId="0" borderId="1" xfId="15" applyNumberFormat="1" applyFont="1" applyBorder="1" applyAlignment="1">
      <alignment horizontal="center" vertical="center"/>
    </xf>
    <xf numFmtId="41" fontId="23" fillId="0" borderId="1" xfId="15" applyNumberFormat="1" applyFont="1" applyBorder="1" applyAlignment="1">
      <alignment horizontal="center" vertical="center"/>
    </xf>
    <xf numFmtId="190" fontId="23" fillId="0" borderId="0" xfId="17" applyNumberFormat="1">
      <alignment vertical="center"/>
    </xf>
    <xf numFmtId="176" fontId="14" fillId="0" borderId="0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0" fontId="23" fillId="0" borderId="0" xfId="65">
      <alignment vertical="center"/>
    </xf>
    <xf numFmtId="0" fontId="23" fillId="0" borderId="0" xfId="65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0" xfId="0" applyNumberFormat="1" applyBorder="1" applyAlignment="1">
      <alignment horizontal="center"/>
    </xf>
    <xf numFmtId="180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23" fillId="0" borderId="0" xfId="65" applyFill="1" applyBorder="1">
      <alignment vertical="center"/>
    </xf>
    <xf numFmtId="0" fontId="6" fillId="0" borderId="0" xfId="16" applyFill="1" applyBorder="1"/>
    <xf numFmtId="186" fontId="21" fillId="0" borderId="0" xfId="0" applyNumberFormat="1" applyFont="1" applyFill="1" applyBorder="1" applyAlignment="1">
      <alignment horizontal="center" vertical="center"/>
    </xf>
    <xf numFmtId="176" fontId="28" fillId="0" borderId="0" xfId="15" applyFont="1" applyFill="1" applyBorder="1" applyAlignment="1">
      <alignment horizontal="center" vertical="center"/>
    </xf>
    <xf numFmtId="187" fontId="21" fillId="0" borderId="0" xfId="0" quotePrefix="1" applyNumberFormat="1" applyFont="1" applyFill="1" applyBorder="1" applyAlignment="1">
      <alignment horizontal="center" vertical="center"/>
    </xf>
    <xf numFmtId="176" fontId="28" fillId="0" borderId="0" xfId="15" applyFont="1" applyFill="1" applyBorder="1" applyAlignment="1">
      <alignment horizontal="center" vertical="center" shrinkToFit="1"/>
    </xf>
    <xf numFmtId="0" fontId="15" fillId="0" borderId="0" xfId="16" applyFont="1" applyFill="1" applyBorder="1" applyAlignment="1">
      <alignment vertical="center"/>
    </xf>
    <xf numFmtId="176" fontId="14" fillId="8" borderId="6" xfId="0" applyNumberFormat="1" applyFont="1" applyFill="1" applyBorder="1" applyAlignment="1">
      <alignment horizontal="right" vertical="center"/>
    </xf>
    <xf numFmtId="9" fontId="14" fillId="8" borderId="6" xfId="0" quotePrefix="1" applyNumberFormat="1" applyFont="1" applyFill="1" applyBorder="1" applyAlignment="1">
      <alignment horizontal="right" vertical="center"/>
    </xf>
    <xf numFmtId="9" fontId="13" fillId="4" borderId="6" xfId="0" quotePrefix="1" applyNumberFormat="1" applyFont="1" applyFill="1" applyBorder="1" applyAlignment="1">
      <alignment horizontal="right" vertical="center"/>
    </xf>
    <xf numFmtId="176" fontId="7" fillId="4" borderId="6" xfId="0" applyNumberFormat="1" applyFont="1" applyFill="1" applyBorder="1" applyAlignment="1">
      <alignment horizontal="right" vertical="center"/>
    </xf>
    <xf numFmtId="9" fontId="7" fillId="4" borderId="6" xfId="0" applyNumberFormat="1" applyFont="1" applyFill="1" applyBorder="1" applyAlignment="1">
      <alignment horizontal="right" vertical="center"/>
    </xf>
    <xf numFmtId="176" fontId="13" fillId="0" borderId="6" xfId="0" applyNumberFormat="1" applyFont="1" applyFill="1" applyBorder="1" applyAlignment="1">
      <alignment horizontal="right" vertical="center"/>
    </xf>
    <xf numFmtId="176" fontId="7" fillId="0" borderId="6" xfId="0" applyNumberFormat="1" applyFont="1" applyFill="1" applyBorder="1" applyAlignment="1">
      <alignment horizontal="right" vertical="center"/>
    </xf>
    <xf numFmtId="182" fontId="14" fillId="8" borderId="6" xfId="0" applyNumberFormat="1" applyFont="1" applyFill="1" applyBorder="1" applyAlignment="1">
      <alignment horizontal="right" vertical="center"/>
    </xf>
    <xf numFmtId="176" fontId="14" fillId="8" borderId="6" xfId="0" applyNumberFormat="1" applyFont="1" applyFill="1" applyBorder="1" applyAlignment="1">
      <alignment horizontal="center" vertical="center"/>
    </xf>
    <xf numFmtId="181" fontId="16" fillId="8" borderId="6" xfId="0" applyNumberFormat="1" applyFont="1" applyFill="1" applyBorder="1" applyAlignment="1">
      <alignment horizontal="right" vertical="center"/>
    </xf>
    <xf numFmtId="176" fontId="13" fillId="4" borderId="6" xfId="0" applyNumberFormat="1" applyFont="1" applyFill="1" applyBorder="1" applyAlignment="1">
      <alignment horizontal="center" vertical="center"/>
    </xf>
    <xf numFmtId="182" fontId="13" fillId="0" borderId="6" xfId="0" applyNumberFormat="1" applyFont="1" applyBorder="1" applyAlignment="1">
      <alignment horizontal="right" vertical="center"/>
    </xf>
    <xf numFmtId="181" fontId="7" fillId="4" borderId="6" xfId="0" applyNumberFormat="1" applyFont="1" applyFill="1" applyBorder="1" applyAlignment="1">
      <alignment horizontal="right" vertical="center"/>
    </xf>
    <xf numFmtId="182" fontId="13" fillId="0" borderId="6" xfId="0" applyNumberFormat="1" applyFont="1" applyFill="1" applyBorder="1" applyAlignment="1">
      <alignment horizontal="right" vertical="center"/>
    </xf>
    <xf numFmtId="176" fontId="27" fillId="4" borderId="6" xfId="0" applyNumberFormat="1" applyFont="1" applyFill="1" applyBorder="1" applyAlignment="1">
      <alignment horizontal="center" vertical="center"/>
    </xf>
    <xf numFmtId="182" fontId="7" fillId="4" borderId="6" xfId="0" applyNumberFormat="1" applyFont="1" applyFill="1" applyBorder="1" applyAlignment="1">
      <alignment horizontal="right" vertical="center"/>
    </xf>
    <xf numFmtId="9" fontId="7" fillId="4" borderId="11" xfId="0" applyNumberFormat="1" applyFont="1" applyFill="1" applyBorder="1" applyAlignment="1">
      <alignment horizontal="right" vertical="center"/>
    </xf>
    <xf numFmtId="9" fontId="16" fillId="8" borderId="11" xfId="0" applyNumberFormat="1" applyFont="1" applyFill="1" applyBorder="1" applyAlignment="1">
      <alignment horizontal="right" vertical="center"/>
    </xf>
    <xf numFmtId="176" fontId="13" fillId="0" borderId="6" xfId="0" applyNumberFormat="1" applyFont="1" applyBorder="1" applyAlignment="1">
      <alignment horizontal="center" vertical="center"/>
    </xf>
    <xf numFmtId="176" fontId="13" fillId="0" borderId="6" xfId="0" applyNumberFormat="1" applyFont="1" applyFill="1" applyBorder="1" applyAlignment="1">
      <alignment horizontal="center" vertical="center"/>
    </xf>
    <xf numFmtId="41" fontId="13" fillId="5" borderId="6" xfId="23" applyFont="1" applyFill="1" applyBorder="1" applyAlignment="1">
      <alignment horizontal="right" vertical="center"/>
    </xf>
    <xf numFmtId="176" fontId="13" fillId="0" borderId="6" xfId="15" applyFont="1" applyFill="1" applyBorder="1" applyAlignment="1">
      <alignment horizontal="center" vertical="center"/>
    </xf>
    <xf numFmtId="176" fontId="27" fillId="4" borderId="6" xfId="0" applyNumberFormat="1" applyFont="1" applyFill="1" applyBorder="1" applyAlignment="1">
      <alignment horizontal="right" vertical="center"/>
    </xf>
    <xf numFmtId="176" fontId="14" fillId="6" borderId="8" xfId="0" quotePrefix="1" applyNumberFormat="1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left"/>
    </xf>
    <xf numFmtId="176" fontId="27" fillId="4" borderId="11" xfId="0" applyNumberFormat="1" applyFont="1" applyFill="1" applyBorder="1" applyAlignment="1">
      <alignment horizontal="center" vertical="center"/>
    </xf>
    <xf numFmtId="176" fontId="14" fillId="6" borderId="18" xfId="0" applyNumberFormat="1" applyFont="1" applyFill="1" applyBorder="1" applyAlignment="1">
      <alignment horizontal="center" vertical="center"/>
    </xf>
    <xf numFmtId="176" fontId="14" fillId="6" borderId="18" xfId="0" applyNumberFormat="1" applyFont="1" applyFill="1" applyBorder="1" applyAlignment="1">
      <alignment horizontal="center" vertical="center" wrapText="1"/>
    </xf>
    <xf numFmtId="9" fontId="14" fillId="6" borderId="18" xfId="0" applyNumberFormat="1" applyFont="1" applyFill="1" applyBorder="1" applyAlignment="1">
      <alignment horizontal="center" vertical="center"/>
    </xf>
    <xf numFmtId="0" fontId="16" fillId="6" borderId="18" xfId="0" applyFont="1" applyFill="1" applyBorder="1" applyAlignment="1">
      <alignment horizontal="center" vertical="center"/>
    </xf>
    <xf numFmtId="180" fontId="14" fillId="6" borderId="19" xfId="0" applyNumberFormat="1" applyFont="1" applyFill="1" applyBorder="1" applyAlignment="1">
      <alignment horizontal="center" vertical="center"/>
    </xf>
    <xf numFmtId="176" fontId="13" fillId="0" borderId="20" xfId="0" applyNumberFormat="1" applyFont="1" applyBorder="1" applyAlignment="1">
      <alignment horizontal="right" vertical="center"/>
    </xf>
    <xf numFmtId="176" fontId="13" fillId="4" borderId="20" xfId="0" applyNumberFormat="1" applyFont="1" applyFill="1" applyBorder="1" applyAlignment="1">
      <alignment horizontal="right" vertical="center"/>
    </xf>
    <xf numFmtId="9" fontId="13" fillId="4" borderId="20" xfId="0" quotePrefix="1" applyNumberFormat="1" applyFont="1" applyFill="1" applyBorder="1" applyAlignment="1">
      <alignment horizontal="right" vertical="center"/>
    </xf>
    <xf numFmtId="176" fontId="7" fillId="4" borderId="20" xfId="0" applyNumberFormat="1" applyFont="1" applyFill="1" applyBorder="1" applyAlignment="1">
      <alignment horizontal="right" vertical="center"/>
    </xf>
    <xf numFmtId="9" fontId="7" fillId="4" borderId="21" xfId="0" applyNumberFormat="1" applyFont="1" applyFill="1" applyBorder="1" applyAlignment="1">
      <alignment horizontal="right" vertical="center"/>
    </xf>
    <xf numFmtId="176" fontId="14" fillId="8" borderId="23" xfId="0" applyNumberFormat="1" applyFont="1" applyFill="1" applyBorder="1" applyAlignment="1">
      <alignment horizontal="right" vertical="center"/>
    </xf>
    <xf numFmtId="9" fontId="14" fillId="8" borderId="23" xfId="0" quotePrefix="1" applyNumberFormat="1" applyFont="1" applyFill="1" applyBorder="1" applyAlignment="1">
      <alignment horizontal="right" vertical="center"/>
    </xf>
    <xf numFmtId="176" fontId="16" fillId="8" borderId="23" xfId="0" applyNumberFormat="1" applyFont="1" applyFill="1" applyBorder="1" applyAlignment="1">
      <alignment horizontal="right" vertical="center"/>
    </xf>
    <xf numFmtId="9" fontId="16" fillId="8" borderId="24" xfId="0" applyNumberFormat="1" applyFont="1" applyFill="1" applyBorder="1" applyAlignment="1">
      <alignment horizontal="right" vertical="center"/>
    </xf>
    <xf numFmtId="176" fontId="13" fillId="0" borderId="18" xfId="0" applyNumberFormat="1" applyFont="1" applyFill="1" applyBorder="1" applyAlignment="1">
      <alignment horizontal="right" vertical="center"/>
    </xf>
    <xf numFmtId="9" fontId="13" fillId="0" borderId="18" xfId="0" quotePrefix="1" applyNumberFormat="1" applyFont="1" applyFill="1" applyBorder="1" applyAlignment="1">
      <alignment horizontal="right" vertical="center"/>
    </xf>
    <xf numFmtId="176" fontId="7" fillId="0" borderId="18" xfId="0" applyNumberFormat="1" applyFont="1" applyFill="1" applyBorder="1" applyAlignment="1">
      <alignment horizontal="right" vertical="center"/>
    </xf>
    <xf numFmtId="9" fontId="7" fillId="0" borderId="19" xfId="0" applyNumberFormat="1" applyFont="1" applyFill="1" applyBorder="1" applyAlignment="1">
      <alignment horizontal="right" vertical="center"/>
    </xf>
    <xf numFmtId="176" fontId="14" fillId="8" borderId="20" xfId="0" applyNumberFormat="1" applyFont="1" applyFill="1" applyBorder="1" applyAlignment="1">
      <alignment horizontal="center" vertical="center"/>
    </xf>
    <xf numFmtId="182" fontId="14" fillId="8" borderId="20" xfId="0" applyNumberFormat="1" applyFont="1" applyFill="1" applyBorder="1" applyAlignment="1">
      <alignment horizontal="right" vertical="center"/>
    </xf>
    <xf numFmtId="176" fontId="14" fillId="8" borderId="20" xfId="0" applyNumberFormat="1" applyFont="1" applyFill="1" applyBorder="1" applyAlignment="1">
      <alignment horizontal="right" vertical="center"/>
    </xf>
    <xf numFmtId="9" fontId="14" fillId="8" borderId="20" xfId="0" quotePrefix="1" applyNumberFormat="1" applyFont="1" applyFill="1" applyBorder="1" applyAlignment="1">
      <alignment horizontal="right" vertical="center"/>
    </xf>
    <xf numFmtId="181" fontId="16" fillId="8" borderId="20" xfId="0" applyNumberFormat="1" applyFont="1" applyFill="1" applyBorder="1" applyAlignment="1">
      <alignment horizontal="right" vertical="center"/>
    </xf>
    <xf numFmtId="9" fontId="16" fillId="8" borderId="21" xfId="0" applyNumberFormat="1" applyFont="1" applyFill="1" applyBorder="1" applyAlignment="1">
      <alignment horizontal="right" vertical="center"/>
    </xf>
    <xf numFmtId="182" fontId="14" fillId="8" borderId="23" xfId="0" applyNumberFormat="1" applyFont="1" applyFill="1" applyBorder="1" applyAlignment="1">
      <alignment horizontal="right" vertical="center"/>
    </xf>
    <xf numFmtId="182" fontId="16" fillId="8" borderId="23" xfId="0" applyNumberFormat="1" applyFont="1" applyFill="1" applyBorder="1" applyAlignment="1">
      <alignment horizontal="right" vertical="center"/>
    </xf>
    <xf numFmtId="0" fontId="13" fillId="4" borderId="18" xfId="0" applyFont="1" applyFill="1" applyBorder="1" applyAlignment="1">
      <alignment horizontal="center"/>
    </xf>
    <xf numFmtId="176" fontId="13" fillId="4" borderId="18" xfId="0" applyNumberFormat="1" applyFont="1" applyFill="1" applyBorder="1" applyAlignment="1">
      <alignment horizontal="center" vertical="center"/>
    </xf>
    <xf numFmtId="176" fontId="13" fillId="0" borderId="18" xfId="0" applyNumberFormat="1" applyFont="1" applyBorder="1" applyAlignment="1">
      <alignment horizontal="right" vertical="center"/>
    </xf>
    <xf numFmtId="176" fontId="13" fillId="0" borderId="18" xfId="0" applyNumberFormat="1" applyFont="1" applyBorder="1" applyAlignment="1">
      <alignment horizontal="center" vertical="center"/>
    </xf>
    <xf numFmtId="176" fontId="14" fillId="4" borderId="18" xfId="0" applyNumberFormat="1" applyFont="1" applyFill="1" applyBorder="1" applyAlignment="1">
      <alignment horizontal="right" vertical="center"/>
    </xf>
    <xf numFmtId="9" fontId="16" fillId="8" borderId="20" xfId="0" applyNumberFormat="1" applyFont="1" applyFill="1" applyBorder="1" applyAlignment="1">
      <alignment horizontal="right" vertical="center"/>
    </xf>
    <xf numFmtId="176" fontId="16" fillId="8" borderId="20" xfId="0" applyNumberFormat="1" applyFont="1" applyFill="1" applyBorder="1" applyAlignment="1">
      <alignment horizontal="right" vertical="center"/>
    </xf>
    <xf numFmtId="176" fontId="14" fillId="8" borderId="23" xfId="0" applyNumberFormat="1" applyFont="1" applyFill="1" applyBorder="1" applyAlignment="1">
      <alignment horizontal="center" vertical="center" shrinkToFit="1"/>
    </xf>
    <xf numFmtId="176" fontId="14" fillId="8" borderId="23" xfId="0" applyNumberFormat="1" applyFont="1" applyFill="1" applyBorder="1" applyAlignment="1">
      <alignment horizontal="center" vertical="center"/>
    </xf>
    <xf numFmtId="176" fontId="14" fillId="8" borderId="23" xfId="0" applyNumberFormat="1" applyFont="1" applyFill="1" applyBorder="1" applyAlignment="1">
      <alignment horizontal="right" vertical="center" shrinkToFit="1"/>
    </xf>
    <xf numFmtId="9" fontId="14" fillId="8" borderId="23" xfId="0" quotePrefix="1" applyNumberFormat="1" applyFont="1" applyFill="1" applyBorder="1" applyAlignment="1">
      <alignment horizontal="right" vertical="center" shrinkToFit="1"/>
    </xf>
    <xf numFmtId="176" fontId="16" fillId="8" borderId="23" xfId="0" applyNumberFormat="1" applyFont="1" applyFill="1" applyBorder="1" applyAlignment="1">
      <alignment horizontal="right" vertical="center" shrinkToFit="1"/>
    </xf>
    <xf numFmtId="41" fontId="13" fillId="0" borderId="18" xfId="0" applyNumberFormat="1" applyFont="1" applyFill="1" applyBorder="1" applyAlignment="1">
      <alignment horizontal="center" vertical="center"/>
    </xf>
    <xf numFmtId="176" fontId="27" fillId="4" borderId="18" xfId="0" applyNumberFormat="1" applyFont="1" applyFill="1" applyBorder="1" applyAlignment="1">
      <alignment horizontal="right" vertical="center"/>
    </xf>
    <xf numFmtId="176" fontId="27" fillId="4" borderId="18" xfId="0" applyNumberFormat="1" applyFont="1" applyFill="1" applyBorder="1" applyAlignment="1">
      <alignment horizontal="center" vertical="center"/>
    </xf>
    <xf numFmtId="176" fontId="7" fillId="4" borderId="18" xfId="0" applyNumberFormat="1" applyFont="1" applyFill="1" applyBorder="1" applyAlignment="1">
      <alignment horizontal="right" vertical="center"/>
    </xf>
    <xf numFmtId="176" fontId="27" fillId="4" borderId="19" xfId="0" applyNumberFormat="1" applyFont="1" applyFill="1" applyBorder="1" applyAlignment="1">
      <alignment horizontal="center" vertical="center"/>
    </xf>
    <xf numFmtId="181" fontId="14" fillId="8" borderId="22" xfId="0" applyNumberFormat="1" applyFont="1" applyFill="1" applyBorder="1" applyAlignment="1">
      <alignment horizontal="right" vertical="center"/>
    </xf>
    <xf numFmtId="181" fontId="14" fillId="8" borderId="23" xfId="0" applyNumberFormat="1" applyFont="1" applyFill="1" applyBorder="1" applyAlignment="1">
      <alignment horizontal="right" vertical="center"/>
    </xf>
    <xf numFmtId="176" fontId="13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1" fillId="4" borderId="6" xfId="17" applyFont="1" applyFill="1" applyBorder="1" applyAlignment="1">
      <alignment horizontal="center" vertical="center"/>
    </xf>
    <xf numFmtId="41" fontId="22" fillId="5" borderId="6" xfId="40" applyFont="1" applyFill="1" applyBorder="1" applyAlignment="1">
      <alignment horizontal="center" vertical="center"/>
    </xf>
    <xf numFmtId="3" fontId="22" fillId="0" borderId="6" xfId="0" applyNumberFormat="1" applyFont="1" applyFill="1" applyBorder="1" applyAlignment="1">
      <alignment horizontal="right" vertical="center"/>
    </xf>
    <xf numFmtId="41" fontId="22" fillId="5" borderId="6" xfId="23" applyFont="1" applyFill="1" applyBorder="1" applyAlignment="1">
      <alignment horizontal="center" vertical="center"/>
    </xf>
    <xf numFmtId="185" fontId="14" fillId="4" borderId="6" xfId="17" applyNumberFormat="1" applyFont="1" applyFill="1" applyBorder="1" applyAlignment="1">
      <alignment horizontal="right" vertical="center" shrinkToFit="1"/>
    </xf>
    <xf numFmtId="184" fontId="14" fillId="4" borderId="6" xfId="17" quotePrefix="1" applyNumberFormat="1" applyFont="1" applyFill="1" applyBorder="1" applyAlignment="1">
      <alignment horizontal="right" vertical="center" shrinkToFit="1"/>
    </xf>
    <xf numFmtId="176" fontId="14" fillId="4" borderId="6" xfId="17" applyNumberFormat="1" applyFont="1" applyFill="1" applyBorder="1" applyAlignment="1">
      <alignment horizontal="right" vertical="center" shrinkToFit="1"/>
    </xf>
    <xf numFmtId="41" fontId="22" fillId="0" borderId="6" xfId="23" applyFont="1" applyFill="1" applyBorder="1" applyAlignment="1">
      <alignment horizontal="right" vertical="center"/>
    </xf>
    <xf numFmtId="0" fontId="21" fillId="0" borderId="6" xfId="17" applyFont="1" applyFill="1" applyBorder="1" applyAlignment="1">
      <alignment horizontal="center" vertical="center"/>
    </xf>
    <xf numFmtId="184" fontId="14" fillId="4" borderId="11" xfId="17" quotePrefix="1" applyNumberFormat="1" applyFont="1" applyFill="1" applyBorder="1" applyAlignment="1">
      <alignment horizontal="right" vertical="center" shrinkToFit="1"/>
    </xf>
    <xf numFmtId="0" fontId="21" fillId="4" borderId="13" xfId="17" applyFont="1" applyFill="1" applyBorder="1" applyAlignment="1">
      <alignment horizontal="center" vertical="center"/>
    </xf>
    <xf numFmtId="41" fontId="22" fillId="5" borderId="13" xfId="40" applyFont="1" applyFill="1" applyBorder="1" applyAlignment="1">
      <alignment horizontal="center" vertical="center"/>
    </xf>
    <xf numFmtId="3" fontId="22" fillId="0" borderId="13" xfId="0" applyNumberFormat="1" applyFont="1" applyFill="1" applyBorder="1" applyAlignment="1">
      <alignment horizontal="right" vertical="center"/>
    </xf>
    <xf numFmtId="185" fontId="14" fillId="4" borderId="13" xfId="17" applyNumberFormat="1" applyFont="1" applyFill="1" applyBorder="1" applyAlignment="1">
      <alignment horizontal="right" vertical="center" shrinkToFit="1"/>
    </xf>
    <xf numFmtId="184" fontId="14" fillId="4" borderId="13" xfId="17" quotePrefix="1" applyNumberFormat="1" applyFont="1" applyFill="1" applyBorder="1" applyAlignment="1">
      <alignment horizontal="right" vertical="center" shrinkToFit="1"/>
    </xf>
    <xf numFmtId="176" fontId="14" fillId="4" borderId="13" xfId="17" applyNumberFormat="1" applyFont="1" applyFill="1" applyBorder="1" applyAlignment="1">
      <alignment horizontal="right" vertical="center" shrinkToFit="1"/>
    </xf>
    <xf numFmtId="184" fontId="14" fillId="4" borderId="14" xfId="17" quotePrefix="1" applyNumberFormat="1" applyFont="1" applyFill="1" applyBorder="1" applyAlignment="1">
      <alignment horizontal="right" vertical="center" shrinkToFit="1"/>
    </xf>
    <xf numFmtId="176" fontId="14" fillId="6" borderId="18" xfId="17" applyNumberFormat="1" applyFont="1" applyFill="1" applyBorder="1" applyAlignment="1">
      <alignment horizontal="center" vertical="center"/>
    </xf>
    <xf numFmtId="176" fontId="29" fillId="6" borderId="18" xfId="17" applyNumberFormat="1" applyFont="1" applyFill="1" applyBorder="1" applyAlignment="1">
      <alignment horizontal="center" vertical="center"/>
    </xf>
    <xf numFmtId="9" fontId="14" fillId="6" borderId="18" xfId="17" applyNumberFormat="1" applyFont="1" applyFill="1" applyBorder="1" applyAlignment="1">
      <alignment horizontal="center" vertical="center"/>
    </xf>
    <xf numFmtId="0" fontId="16" fillId="6" borderId="18" xfId="17" applyFont="1" applyFill="1" applyBorder="1" applyAlignment="1">
      <alignment horizontal="center" vertical="center"/>
    </xf>
    <xf numFmtId="180" fontId="14" fillId="6" borderId="19" xfId="17" applyNumberFormat="1" applyFont="1" applyFill="1" applyBorder="1" applyAlignment="1">
      <alignment horizontal="center" vertical="center"/>
    </xf>
    <xf numFmtId="0" fontId="21" fillId="8" borderId="28" xfId="17" applyFont="1" applyFill="1" applyBorder="1" applyAlignment="1">
      <alignment horizontal="center" vertical="center"/>
    </xf>
    <xf numFmtId="183" fontId="21" fillId="8" borderId="28" xfId="17" applyNumberFormat="1" applyFont="1" applyFill="1" applyBorder="1" applyAlignment="1">
      <alignment vertical="center" shrinkToFit="1"/>
    </xf>
    <xf numFmtId="41" fontId="21" fillId="8" borderId="28" xfId="15" applyNumberFormat="1" applyFont="1" applyFill="1" applyBorder="1" applyAlignment="1">
      <alignment horizontal="center" vertical="center" shrinkToFit="1"/>
    </xf>
    <xf numFmtId="185" fontId="14" fillId="8" borderId="28" xfId="17" applyNumberFormat="1" applyFont="1" applyFill="1" applyBorder="1" applyAlignment="1">
      <alignment horizontal="right" vertical="center" shrinkToFit="1"/>
    </xf>
    <xf numFmtId="184" fontId="14" fillId="8" borderId="28" xfId="17" quotePrefix="1" applyNumberFormat="1" applyFont="1" applyFill="1" applyBorder="1" applyAlignment="1">
      <alignment horizontal="right" vertical="center" shrinkToFit="1"/>
    </xf>
    <xf numFmtId="176" fontId="14" fillId="8" borderId="28" xfId="17" applyNumberFormat="1" applyFont="1" applyFill="1" applyBorder="1" applyAlignment="1">
      <alignment horizontal="right" vertical="center" shrinkToFit="1"/>
    </xf>
    <xf numFmtId="184" fontId="14" fillId="8" borderId="29" xfId="17" quotePrefix="1" applyNumberFormat="1" applyFont="1" applyFill="1" applyBorder="1" applyAlignment="1">
      <alignment horizontal="right" vertical="center" shrinkToFit="1"/>
    </xf>
    <xf numFmtId="0" fontId="21" fillId="8" borderId="15" xfId="17" applyFont="1" applyFill="1" applyBorder="1" applyAlignment="1">
      <alignment horizontal="center" vertical="center"/>
    </xf>
    <xf numFmtId="183" fontId="21" fillId="8" borderId="15" xfId="17" applyNumberFormat="1" applyFont="1" applyFill="1" applyBorder="1" applyAlignment="1">
      <alignment vertical="center" shrinkToFit="1"/>
    </xf>
    <xf numFmtId="41" fontId="21" fillId="8" borderId="15" xfId="15" applyNumberFormat="1" applyFont="1" applyFill="1" applyBorder="1" applyAlignment="1">
      <alignment horizontal="center" vertical="center" shrinkToFit="1"/>
    </xf>
    <xf numFmtId="185" fontId="14" fillId="8" borderId="15" xfId="17" applyNumberFormat="1" applyFont="1" applyFill="1" applyBorder="1" applyAlignment="1">
      <alignment horizontal="right" vertical="center" shrinkToFit="1"/>
    </xf>
    <xf numFmtId="184" fontId="14" fillId="8" borderId="15" xfId="17" quotePrefix="1" applyNumberFormat="1" applyFont="1" applyFill="1" applyBorder="1" applyAlignment="1">
      <alignment horizontal="right" vertical="center" shrinkToFit="1"/>
    </xf>
    <xf numFmtId="176" fontId="14" fillId="8" borderId="15" xfId="17" applyNumberFormat="1" applyFont="1" applyFill="1" applyBorder="1" applyAlignment="1">
      <alignment horizontal="right" vertical="center" shrinkToFit="1"/>
    </xf>
    <xf numFmtId="184" fontId="14" fillId="8" borderId="16" xfId="17" quotePrefix="1" applyNumberFormat="1" applyFont="1" applyFill="1" applyBorder="1" applyAlignment="1">
      <alignment horizontal="right" vertical="center" shrinkToFit="1"/>
    </xf>
    <xf numFmtId="0" fontId="21" fillId="9" borderId="6" xfId="17" applyFont="1" applyFill="1" applyBorder="1" applyAlignment="1">
      <alignment horizontal="center" vertical="center"/>
    </xf>
    <xf numFmtId="41" fontId="22" fillId="9" borderId="6" xfId="40" applyFont="1" applyFill="1" applyBorder="1" applyAlignment="1">
      <alignment horizontal="center" vertical="center"/>
    </xf>
    <xf numFmtId="3" fontId="22" fillId="9" borderId="6" xfId="0" applyNumberFormat="1" applyFont="1" applyFill="1" applyBorder="1" applyAlignment="1">
      <alignment horizontal="right" vertical="center"/>
    </xf>
    <xf numFmtId="41" fontId="22" fillId="9" borderId="6" xfId="23" applyFont="1" applyFill="1" applyBorder="1" applyAlignment="1">
      <alignment horizontal="center" vertical="center"/>
    </xf>
    <xf numFmtId="185" fontId="14" fillId="9" borderId="6" xfId="17" applyNumberFormat="1" applyFont="1" applyFill="1" applyBorder="1" applyAlignment="1">
      <alignment horizontal="right" vertical="center" shrinkToFit="1"/>
    </xf>
    <xf numFmtId="184" fontId="14" fillId="9" borderId="6" xfId="17" quotePrefix="1" applyNumberFormat="1" applyFont="1" applyFill="1" applyBorder="1" applyAlignment="1">
      <alignment horizontal="right" vertical="center" shrinkToFit="1"/>
    </xf>
    <xf numFmtId="176" fontId="14" fillId="9" borderId="6" xfId="17" applyNumberFormat="1" applyFont="1" applyFill="1" applyBorder="1" applyAlignment="1">
      <alignment horizontal="right" vertical="center" shrinkToFit="1"/>
    </xf>
    <xf numFmtId="184" fontId="14" fillId="9" borderId="11" xfId="17" quotePrefix="1" applyNumberFormat="1" applyFont="1" applyFill="1" applyBorder="1" applyAlignment="1">
      <alignment horizontal="right" vertical="center" shrinkToFit="1"/>
    </xf>
    <xf numFmtId="41" fontId="22" fillId="9" borderId="6" xfId="23" applyFont="1" applyFill="1" applyBorder="1" applyAlignment="1">
      <alignment horizontal="right" vertical="center"/>
    </xf>
    <xf numFmtId="0" fontId="21" fillId="6" borderId="7" xfId="0" applyFont="1" applyFill="1" applyBorder="1" applyAlignment="1">
      <alignment horizontal="center" vertical="center"/>
    </xf>
    <xf numFmtId="180" fontId="21" fillId="6" borderId="8" xfId="0" quotePrefix="1" applyNumberFormat="1" applyFont="1" applyFill="1" applyBorder="1" applyAlignment="1">
      <alignment horizontal="center" vertical="center"/>
    </xf>
    <xf numFmtId="0" fontId="25" fillId="0" borderId="12" xfId="0" applyFont="1" applyBorder="1" applyAlignment="1">
      <alignment horizontal="center" vertical="center" wrapText="1"/>
    </xf>
    <xf numFmtId="176" fontId="22" fillId="0" borderId="13" xfId="15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 wrapText="1"/>
    </xf>
    <xf numFmtId="188" fontId="22" fillId="0" borderId="13" xfId="0" applyNumberFormat="1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176" fontId="22" fillId="0" borderId="13" xfId="15" applyFont="1" applyBorder="1" applyAlignment="1">
      <alignment horizontal="center" vertical="center" shrinkToFit="1"/>
    </xf>
    <xf numFmtId="180" fontId="21" fillId="6" borderId="31" xfId="0" quotePrefix="1" applyNumberFormat="1" applyFont="1" applyFill="1" applyBorder="1" applyAlignment="1">
      <alignment horizontal="center" vertical="center"/>
    </xf>
    <xf numFmtId="176" fontId="22" fillId="0" borderId="25" xfId="15" applyFont="1" applyBorder="1" applyAlignment="1">
      <alignment horizontal="center" vertical="center"/>
    </xf>
    <xf numFmtId="186" fontId="21" fillId="6" borderId="32" xfId="0" applyNumberFormat="1" applyFont="1" applyFill="1" applyBorder="1" applyAlignment="1">
      <alignment horizontal="center" vertical="center"/>
    </xf>
    <xf numFmtId="176" fontId="36" fillId="0" borderId="33" xfId="15" applyFont="1" applyBorder="1" applyAlignment="1">
      <alignment horizontal="center" vertical="center"/>
    </xf>
    <xf numFmtId="188" fontId="22" fillId="0" borderId="25" xfId="0" applyNumberFormat="1" applyFont="1" applyBorder="1" applyAlignment="1">
      <alignment horizontal="center" vertical="center"/>
    </xf>
    <xf numFmtId="187" fontId="21" fillId="6" borderId="32" xfId="0" quotePrefix="1" applyNumberFormat="1" applyFont="1" applyFill="1" applyBorder="1" applyAlignment="1">
      <alignment horizontal="center" vertical="center"/>
    </xf>
    <xf numFmtId="188" fontId="36" fillId="0" borderId="33" xfId="0" applyNumberFormat="1" applyFont="1" applyBorder="1" applyAlignment="1">
      <alignment horizontal="center" vertical="center"/>
    </xf>
    <xf numFmtId="176" fontId="22" fillId="0" borderId="25" xfId="15" applyFont="1" applyBorder="1" applyAlignment="1">
      <alignment horizontal="center" vertical="center" shrinkToFit="1"/>
    </xf>
    <xf numFmtId="176" fontId="36" fillId="0" borderId="33" xfId="15" applyFont="1" applyBorder="1" applyAlignment="1">
      <alignment horizontal="center" vertical="center" shrinkToFit="1"/>
    </xf>
    <xf numFmtId="0" fontId="23" fillId="0" borderId="0" xfId="17" applyFill="1">
      <alignment vertical="center"/>
    </xf>
    <xf numFmtId="189" fontId="31" fillId="5" borderId="20" xfId="86" applyNumberFormat="1" applyFont="1" applyFill="1" applyBorder="1" applyAlignment="1">
      <alignment horizontal="right" vertical="center"/>
    </xf>
    <xf numFmtId="189" fontId="31" fillId="5" borderId="18" xfId="86" applyNumberFormat="1" applyFont="1" applyFill="1" applyBorder="1" applyAlignment="1">
      <alignment horizontal="right" vertical="center"/>
    </xf>
    <xf numFmtId="182" fontId="32" fillId="5" borderId="6" xfId="87" applyNumberFormat="1" applyFont="1" applyFill="1" applyBorder="1" applyAlignment="1">
      <alignment horizontal="right" vertical="center"/>
    </xf>
    <xf numFmtId="182" fontId="32" fillId="5" borderId="6" xfId="101" applyNumberFormat="1" applyFont="1" applyFill="1" applyBorder="1" applyAlignment="1">
      <alignment horizontal="right" vertical="center"/>
    </xf>
    <xf numFmtId="182" fontId="13" fillId="0" borderId="6" xfId="0" applyNumberFormat="1" applyFont="1" applyBorder="1" applyAlignment="1">
      <alignment horizontal="right" vertical="center"/>
    </xf>
    <xf numFmtId="182" fontId="32" fillId="5" borderId="6" xfId="101" applyNumberFormat="1" applyFont="1" applyFill="1" applyBorder="1" applyAlignment="1">
      <alignment horizontal="right" vertical="center"/>
    </xf>
    <xf numFmtId="189" fontId="22" fillId="5" borderId="6" xfId="101" applyNumberFormat="1" applyFont="1" applyFill="1" applyBorder="1" applyAlignment="1">
      <alignment horizontal="right" vertical="center"/>
    </xf>
    <xf numFmtId="0" fontId="21" fillId="9" borderId="28" xfId="17" applyFont="1" applyFill="1" applyBorder="1" applyAlignment="1">
      <alignment horizontal="center" vertical="center"/>
    </xf>
    <xf numFmtId="41" fontId="22" fillId="9" borderId="28" xfId="40" applyFont="1" applyFill="1" applyBorder="1" applyAlignment="1">
      <alignment horizontal="center" vertical="center"/>
    </xf>
    <xf numFmtId="3" fontId="22" fillId="9" borderId="28" xfId="0" applyNumberFormat="1" applyFont="1" applyFill="1" applyBorder="1" applyAlignment="1">
      <alignment horizontal="right" vertical="center"/>
    </xf>
    <xf numFmtId="41" fontId="22" fillId="9" borderId="28" xfId="23" applyFont="1" applyFill="1" applyBorder="1" applyAlignment="1">
      <alignment horizontal="center" vertical="center"/>
    </xf>
    <xf numFmtId="185" fontId="14" fillId="9" borderId="28" xfId="17" applyNumberFormat="1" applyFont="1" applyFill="1" applyBorder="1" applyAlignment="1">
      <alignment horizontal="right" vertical="center" shrinkToFit="1"/>
    </xf>
    <xf numFmtId="184" fontId="14" fillId="9" borderId="28" xfId="17" quotePrefix="1" applyNumberFormat="1" applyFont="1" applyFill="1" applyBorder="1" applyAlignment="1">
      <alignment horizontal="right" vertical="center" shrinkToFit="1"/>
    </xf>
    <xf numFmtId="176" fontId="14" fillId="9" borderId="28" xfId="17" applyNumberFormat="1" applyFont="1" applyFill="1" applyBorder="1" applyAlignment="1">
      <alignment horizontal="right" vertical="center" shrinkToFit="1"/>
    </xf>
    <xf numFmtId="184" fontId="14" fillId="9" borderId="35" xfId="17" quotePrefix="1" applyNumberFormat="1" applyFont="1" applyFill="1" applyBorder="1" applyAlignment="1">
      <alignment horizontal="right" vertical="center" shrinkToFit="1"/>
    </xf>
    <xf numFmtId="41" fontId="22" fillId="0" borderId="13" xfId="23" applyFont="1" applyFill="1" applyBorder="1" applyAlignment="1">
      <alignment horizontal="right" vertical="center"/>
    </xf>
    <xf numFmtId="176" fontId="13" fillId="0" borderId="18" xfId="0" applyNumberFormat="1" applyFont="1" applyFill="1" applyBorder="1" applyAlignment="1">
      <alignment horizontal="center" vertical="center"/>
    </xf>
    <xf numFmtId="176" fontId="13" fillId="0" borderId="20" xfId="0" applyNumberFormat="1" applyFont="1" applyFill="1" applyBorder="1" applyAlignment="1">
      <alignment horizontal="center" vertical="center"/>
    </xf>
    <xf numFmtId="176" fontId="13" fillId="0" borderId="6" xfId="0" applyNumberFormat="1" applyFont="1" applyFill="1" applyBorder="1" applyAlignment="1">
      <alignment horizontal="center" vertical="center"/>
    </xf>
    <xf numFmtId="176" fontId="14" fillId="6" borderId="17" xfId="0" applyNumberFormat="1" applyFont="1" applyFill="1" applyBorder="1" applyAlignment="1">
      <alignment horizontal="center" vertical="center"/>
    </xf>
    <xf numFmtId="176" fontId="14" fillId="6" borderId="10" xfId="0" applyNumberFormat="1" applyFont="1" applyFill="1" applyBorder="1" applyAlignment="1">
      <alignment horizontal="center" vertical="center"/>
    </xf>
    <xf numFmtId="176" fontId="14" fillId="8" borderId="22" xfId="0" applyNumberFormat="1" applyFont="1" applyFill="1" applyBorder="1" applyAlignment="1">
      <alignment horizontal="center" vertical="center"/>
    </xf>
    <xf numFmtId="176" fontId="14" fillId="8" borderId="23" xfId="0" applyNumberFormat="1" applyFont="1" applyFill="1" applyBorder="1" applyAlignment="1">
      <alignment horizontal="center" vertical="center"/>
    </xf>
    <xf numFmtId="0" fontId="33" fillId="7" borderId="4" xfId="65" applyFont="1" applyFill="1" applyBorder="1" applyAlignment="1">
      <alignment horizontal="center" vertical="center"/>
    </xf>
    <xf numFmtId="0" fontId="33" fillId="7" borderId="5" xfId="65" applyFont="1" applyFill="1" applyBorder="1" applyAlignment="1">
      <alignment horizontal="center" vertical="center"/>
    </xf>
    <xf numFmtId="0" fontId="33" fillId="7" borderId="3" xfId="65" applyFont="1" applyFill="1" applyBorder="1" applyAlignment="1">
      <alignment horizontal="center" vertical="center"/>
    </xf>
    <xf numFmtId="176" fontId="14" fillId="6" borderId="8" xfId="0" applyNumberFormat="1" applyFont="1" applyFill="1" applyBorder="1" applyAlignment="1">
      <alignment horizontal="center" vertical="center"/>
    </xf>
    <xf numFmtId="0" fontId="16" fillId="0" borderId="0" xfId="0" applyFont="1" applyBorder="1" applyAlignment="1">
      <alignment horizontal="right"/>
    </xf>
    <xf numFmtId="176" fontId="14" fillId="6" borderId="12" xfId="0" applyNumberFormat="1" applyFont="1" applyFill="1" applyBorder="1" applyAlignment="1">
      <alignment horizontal="center" vertical="center"/>
    </xf>
    <xf numFmtId="176" fontId="14" fillId="6" borderId="13" xfId="0" applyNumberFormat="1" applyFont="1" applyFill="1" applyBorder="1" applyAlignment="1">
      <alignment horizontal="center" vertical="center"/>
    </xf>
    <xf numFmtId="176" fontId="14" fillId="6" borderId="25" xfId="0" applyNumberFormat="1" applyFont="1" applyFill="1" applyBorder="1" applyAlignment="1">
      <alignment horizontal="center" vertical="center"/>
    </xf>
    <xf numFmtId="9" fontId="14" fillId="4" borderId="18" xfId="0" applyNumberFormat="1" applyFont="1" applyFill="1" applyBorder="1" applyAlignment="1">
      <alignment horizontal="right"/>
    </xf>
    <xf numFmtId="9" fontId="14" fillId="4" borderId="18" xfId="0" quotePrefix="1" applyNumberFormat="1" applyFont="1" applyFill="1" applyBorder="1" applyAlignment="1">
      <alignment horizontal="right"/>
    </xf>
    <xf numFmtId="9" fontId="14" fillId="4" borderId="19" xfId="0" quotePrefix="1" applyNumberFormat="1" applyFont="1" applyFill="1" applyBorder="1" applyAlignment="1">
      <alignment horizontal="right"/>
    </xf>
    <xf numFmtId="176" fontId="14" fillId="6" borderId="17" xfId="0" applyNumberFormat="1" applyFont="1" applyFill="1" applyBorder="1" applyAlignment="1">
      <alignment horizontal="center" vertical="center" wrapText="1"/>
    </xf>
    <xf numFmtId="176" fontId="14" fillId="6" borderId="9" xfId="0" applyNumberFormat="1" applyFont="1" applyFill="1" applyBorder="1" applyAlignment="1">
      <alignment horizontal="center" vertical="center"/>
    </xf>
    <xf numFmtId="176" fontId="13" fillId="6" borderId="7" xfId="0" applyNumberFormat="1" applyFont="1" applyFill="1" applyBorder="1" applyAlignment="1">
      <alignment horizontal="center" vertical="center"/>
    </xf>
    <xf numFmtId="0" fontId="0" fillId="6" borderId="8" xfId="0" applyFont="1" applyFill="1" applyBorder="1"/>
    <xf numFmtId="0" fontId="0" fillId="6" borderId="10" xfId="0" applyFont="1" applyFill="1" applyBorder="1"/>
    <xf numFmtId="0" fontId="0" fillId="6" borderId="18" xfId="0" applyFont="1" applyFill="1" applyBorder="1"/>
    <xf numFmtId="0" fontId="33" fillId="7" borderId="1" xfId="65" applyFont="1" applyFill="1" applyBorder="1" applyAlignment="1">
      <alignment horizontal="center" vertical="center"/>
    </xf>
    <xf numFmtId="0" fontId="17" fillId="0" borderId="0" xfId="16" applyFont="1" applyAlignment="1">
      <alignment horizontal="left" vertical="center"/>
    </xf>
    <xf numFmtId="0" fontId="15" fillId="0" borderId="0" xfId="16" applyFont="1" applyAlignment="1">
      <alignment horizontal="left" vertical="center"/>
    </xf>
    <xf numFmtId="180" fontId="16" fillId="0" borderId="0" xfId="0" applyNumberFormat="1" applyFont="1" applyBorder="1" applyAlignment="1">
      <alignment horizontal="right"/>
    </xf>
    <xf numFmtId="176" fontId="14" fillId="6" borderId="7" xfId="17" applyNumberFormat="1" applyFont="1" applyFill="1" applyBorder="1" applyAlignment="1">
      <alignment horizontal="center" vertical="center"/>
    </xf>
    <xf numFmtId="176" fontId="14" fillId="6" borderId="26" xfId="17" applyNumberFormat="1" applyFont="1" applyFill="1" applyBorder="1" applyAlignment="1">
      <alignment horizontal="center" vertical="center"/>
    </xf>
    <xf numFmtId="0" fontId="21" fillId="8" borderId="27" xfId="17" applyFont="1" applyFill="1" applyBorder="1" applyAlignment="1">
      <alignment horizontal="center" vertical="center"/>
    </xf>
    <xf numFmtId="0" fontId="21" fillId="8" borderId="30" xfId="17" applyFont="1" applyFill="1" applyBorder="1" applyAlignment="1">
      <alignment horizontal="center" vertical="center"/>
    </xf>
    <xf numFmtId="0" fontId="22" fillId="6" borderId="34" xfId="17" applyFont="1" applyFill="1" applyBorder="1" applyAlignment="1">
      <alignment horizontal="center" vertical="center"/>
    </xf>
    <xf numFmtId="0" fontId="22" fillId="6" borderId="10" xfId="17" applyFont="1" applyFill="1" applyBorder="1" applyAlignment="1">
      <alignment horizontal="center" vertical="center"/>
    </xf>
    <xf numFmtId="176" fontId="14" fillId="6" borderId="8" xfId="17" applyNumberFormat="1" applyFont="1" applyFill="1" applyBorder="1" applyAlignment="1">
      <alignment horizontal="center" vertical="center"/>
    </xf>
    <xf numFmtId="176" fontId="14" fillId="6" borderId="9" xfId="17" applyNumberFormat="1" applyFont="1" applyFill="1" applyBorder="1" applyAlignment="1">
      <alignment horizontal="center" vertical="center"/>
    </xf>
    <xf numFmtId="0" fontId="24" fillId="6" borderId="8" xfId="17" applyFont="1" applyFill="1" applyBorder="1" applyAlignment="1">
      <alignment horizontal="center" vertical="center"/>
    </xf>
    <xf numFmtId="0" fontId="24" fillId="6" borderId="18" xfId="17" applyFont="1" applyFill="1" applyBorder="1" applyAlignment="1">
      <alignment horizontal="center" vertical="center"/>
    </xf>
    <xf numFmtId="0" fontId="22" fillId="6" borderId="12" xfId="17" applyFont="1" applyFill="1" applyBorder="1" applyAlignment="1">
      <alignment horizontal="center" vertical="center"/>
    </xf>
  </cellXfs>
  <cellStyles count="103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백분율 2" xfId="59"/>
    <cellStyle name="백분율 3" xfId="60"/>
    <cellStyle name="백분율 4" xfId="58"/>
    <cellStyle name="쉼표 [0]" xfId="15" builtinId="6"/>
    <cellStyle name="쉼표 [0] 2" xfId="20"/>
    <cellStyle name="쉼표 [0] 2 2" xfId="62"/>
    <cellStyle name="쉼표 [0] 3" xfId="23"/>
    <cellStyle name="쉼표 [0] 3 2" xfId="33"/>
    <cellStyle name="쉼표 [0] 3 3" xfId="63"/>
    <cellStyle name="쉼표 [0] 4" xfId="40"/>
    <cellStyle name="쉼표 [0] 5" xfId="56"/>
    <cellStyle name="쉼표 [0] 5 2" xfId="102"/>
    <cellStyle name="쉼표 [0] 6" xfId="61"/>
    <cellStyle name="표준" xfId="0" builtinId="0"/>
    <cellStyle name="표준 2" xfId="19"/>
    <cellStyle name="표준 2 2" xfId="64"/>
    <cellStyle name="표준 3" xfId="18"/>
    <cellStyle name="표준 3 10" xfId="71"/>
    <cellStyle name="표준 3 2" xfId="21"/>
    <cellStyle name="표준 3 2 2" xfId="29"/>
    <cellStyle name="표준 3 2 2 2" xfId="39"/>
    <cellStyle name="표준 3 2 2 2 2" xfId="55"/>
    <cellStyle name="표준 3 2 2 2 2 2" xfId="101"/>
    <cellStyle name="표준 3 2 2 2 3" xfId="86"/>
    <cellStyle name="표준 3 2 2 3" xfId="47"/>
    <cellStyle name="표준 3 2 2 3 2" xfId="93"/>
    <cellStyle name="표준 3 2 2 4" xfId="78"/>
    <cellStyle name="표준 3 2 3" xfId="27"/>
    <cellStyle name="표준 3 2 3 2" xfId="37"/>
    <cellStyle name="표준 3 2 3 2 2" xfId="53"/>
    <cellStyle name="표준 3 2 3 2 2 2" xfId="99"/>
    <cellStyle name="표준 3 2 3 2 3" xfId="84"/>
    <cellStyle name="표준 3 2 3 3" xfId="45"/>
    <cellStyle name="표준 3 2 3 3 2" xfId="91"/>
    <cellStyle name="표준 3 2 3 4" xfId="76"/>
    <cellStyle name="표준 3 2 4" xfId="35"/>
    <cellStyle name="표준 3 2 4 2" xfId="51"/>
    <cellStyle name="표준 3 2 4 2 2" xfId="97"/>
    <cellStyle name="표준 3 2 4 3" xfId="82"/>
    <cellStyle name="표준 3 2 5" xfId="43"/>
    <cellStyle name="표준 3 2 5 2" xfId="89"/>
    <cellStyle name="표준 3 2 6" xfId="25"/>
    <cellStyle name="표준 3 2 6 2" xfId="74"/>
    <cellStyle name="표준 3 2 7" xfId="72"/>
    <cellStyle name="표준 3 3" xfId="28"/>
    <cellStyle name="표준 3 3 2" xfId="38"/>
    <cellStyle name="표준 3 3 2 2" xfId="54"/>
    <cellStyle name="표준 3 3 2 2 2" xfId="100"/>
    <cellStyle name="표준 3 3 2 3" xfId="85"/>
    <cellStyle name="표준 3 3 3" xfId="46"/>
    <cellStyle name="표준 3 3 3 2" xfId="92"/>
    <cellStyle name="표준 3 3 4" xfId="77"/>
    <cellStyle name="표준 3 4" xfId="26"/>
    <cellStyle name="표준 3 4 2" xfId="36"/>
    <cellStyle name="표준 3 4 2 2" xfId="52"/>
    <cellStyle name="표준 3 4 2 2 2" xfId="98"/>
    <cellStyle name="표준 3 4 2 3" xfId="83"/>
    <cellStyle name="표준 3 4 3" xfId="44"/>
    <cellStyle name="표준 3 4 3 2" xfId="90"/>
    <cellStyle name="표준 3 4 4" xfId="75"/>
    <cellStyle name="표준 3 5" xfId="30"/>
    <cellStyle name="표준 3 5 2" xfId="48"/>
    <cellStyle name="표준 3 5 2 2" xfId="94"/>
    <cellStyle name="표준 3 5 3" xfId="79"/>
    <cellStyle name="표준 3 6" xfId="34"/>
    <cellStyle name="표준 3 6 2" xfId="50"/>
    <cellStyle name="표준 3 6 2 2" xfId="96"/>
    <cellStyle name="표준 3 6 3" xfId="81"/>
    <cellStyle name="표준 3 7" xfId="42"/>
    <cellStyle name="표준 3 7 2" xfId="88"/>
    <cellStyle name="표준 3 8" xfId="24"/>
    <cellStyle name="표준 3 8 2" xfId="73"/>
    <cellStyle name="표준 3 9" xfId="65"/>
    <cellStyle name="표준 4" xfId="22"/>
    <cellStyle name="표준 4 2" xfId="66"/>
    <cellStyle name="표준 5" xfId="32"/>
    <cellStyle name="표준 5 2" xfId="67"/>
    <cellStyle name="표준 6" xfId="31"/>
    <cellStyle name="표준 6 2" xfId="49"/>
    <cellStyle name="표준 6 2 2" xfId="95"/>
    <cellStyle name="표준 6 3" xfId="68"/>
    <cellStyle name="표준 6 4" xfId="80"/>
    <cellStyle name="표준 7" xfId="41"/>
    <cellStyle name="표준 7 2" xfId="69"/>
    <cellStyle name="표준 7 3" xfId="87"/>
    <cellStyle name="표준 8" xfId="70"/>
    <cellStyle name="표준 9" xfId="57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수송실적'!$K$6:$P$6</c:f>
              <c:strCache>
                <c:ptCount val="6"/>
                <c:pt idx="0">
                  <c:v>2018 </c:v>
                </c:pt>
                <c:pt idx="1">
                  <c:v>2019 </c:v>
                </c:pt>
                <c:pt idx="2">
                  <c:v>2020 </c:v>
                </c:pt>
                <c:pt idx="3">
                  <c:v>2021 </c:v>
                </c:pt>
                <c:pt idx="4">
                  <c:v>2022 </c:v>
                </c:pt>
                <c:pt idx="5">
                  <c:v>2023.12.</c:v>
                </c:pt>
              </c:strCache>
            </c:strRef>
          </c:cat>
          <c:val>
            <c:numRef>
              <c:f>'연도별 수송실적'!$K$7:$P$7</c:f>
              <c:numCache>
                <c:formatCode>#,##0,</c:formatCode>
                <c:ptCount val="6"/>
                <c:pt idx="0">
                  <c:v>115146882</c:v>
                </c:pt>
                <c:pt idx="1">
                  <c:v>113201331</c:v>
                </c:pt>
                <c:pt idx="2">
                  <c:v>106847350</c:v>
                </c:pt>
                <c:pt idx="3">
                  <c:v>116876152</c:v>
                </c:pt>
                <c:pt idx="4">
                  <c:v>116171568</c:v>
                </c:pt>
                <c:pt idx="5">
                  <c:v>116607017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619200"/>
        <c:axId val="207621120"/>
      </c:lineChart>
      <c:catAx>
        <c:axId val="207619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76211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762112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761920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수송실적'!$C$9:$H$9</c:f>
              <c:strCache>
                <c:ptCount val="6"/>
                <c:pt idx="0">
                  <c:v>2018 </c:v>
                </c:pt>
                <c:pt idx="1">
                  <c:v>2019 </c:v>
                </c:pt>
                <c:pt idx="2">
                  <c:v>2020 </c:v>
                </c:pt>
                <c:pt idx="3">
                  <c:v>2021 </c:v>
                </c:pt>
                <c:pt idx="4">
                  <c:v>2022 </c:v>
                </c:pt>
                <c:pt idx="5">
                  <c:v>2023.12.</c:v>
                </c:pt>
              </c:strCache>
            </c:strRef>
          </c:cat>
          <c:val>
            <c:numRef>
              <c:f>'연도별 수송실적'!$C$10:$H$10</c:f>
              <c:numCache>
                <c:formatCode>_ * #,##0_ ;_ * \-#,##0_ ;_ * "-"_ ;_ @_ </c:formatCode>
                <c:ptCount val="6"/>
                <c:pt idx="0">
                  <c:v>689852</c:v>
                </c:pt>
                <c:pt idx="1">
                  <c:v>725047</c:v>
                </c:pt>
                <c:pt idx="2">
                  <c:v>792643</c:v>
                </c:pt>
                <c:pt idx="3">
                  <c:v>936246</c:v>
                </c:pt>
                <c:pt idx="4">
                  <c:v>851953</c:v>
                </c:pt>
                <c:pt idx="5">
                  <c:v>820289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649792"/>
        <c:axId val="207656064"/>
      </c:lineChart>
      <c:catAx>
        <c:axId val="207649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76560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765606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764979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수송실적'!$K$9:$P$9</c:f>
              <c:strCache>
                <c:ptCount val="6"/>
                <c:pt idx="0">
                  <c:v>2018 </c:v>
                </c:pt>
                <c:pt idx="1">
                  <c:v>2019 </c:v>
                </c:pt>
                <c:pt idx="2">
                  <c:v>2020 </c:v>
                </c:pt>
                <c:pt idx="3">
                  <c:v>2021 </c:v>
                </c:pt>
                <c:pt idx="4">
                  <c:v>2022 </c:v>
                </c:pt>
                <c:pt idx="5">
                  <c:v>2023.12.</c:v>
                </c:pt>
              </c:strCache>
            </c:strRef>
          </c:cat>
          <c:val>
            <c:numRef>
              <c:f>'연도별 수송실적'!$K$10:$P$10</c:f>
              <c:numCache>
                <c:formatCode>_ * #,##0_ ;_ * \-#,##0_ ;_ * "-"_ ;_ @_ </c:formatCode>
                <c:ptCount val="6"/>
                <c:pt idx="0">
                  <c:v>452480</c:v>
                </c:pt>
                <c:pt idx="1">
                  <c:v>623733</c:v>
                </c:pt>
                <c:pt idx="2">
                  <c:v>40267</c:v>
                </c:pt>
                <c:pt idx="3">
                  <c:v>0</c:v>
                </c:pt>
                <c:pt idx="4">
                  <c:v>0</c:v>
                </c:pt>
                <c:pt idx="5">
                  <c:v>52855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407424"/>
        <c:axId val="212409344"/>
      </c:lineChart>
      <c:catAx>
        <c:axId val="212407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24093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240934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240742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수송실적'!$C$6:$H$6</c:f>
              <c:strCache>
                <c:ptCount val="6"/>
                <c:pt idx="0">
                  <c:v>2018 </c:v>
                </c:pt>
                <c:pt idx="1">
                  <c:v>2019 </c:v>
                </c:pt>
                <c:pt idx="2">
                  <c:v>2020 </c:v>
                </c:pt>
                <c:pt idx="3">
                  <c:v>2021 </c:v>
                </c:pt>
                <c:pt idx="4">
                  <c:v>2022 </c:v>
                </c:pt>
                <c:pt idx="5">
                  <c:v>2023.12.</c:v>
                </c:pt>
              </c:strCache>
            </c:strRef>
          </c:cat>
          <c:val>
            <c:numRef>
              <c:f>'연도별 수송실적'!$C$7:$H$7</c:f>
              <c:numCache>
                <c:formatCode>_ * #,##0_ ;_ * \-#,##0_ ;_ * "-"_ ;_ @_ </c:formatCode>
                <c:ptCount val="6"/>
                <c:pt idx="0">
                  <c:v>18829</c:v>
                </c:pt>
                <c:pt idx="1">
                  <c:v>18416</c:v>
                </c:pt>
                <c:pt idx="2">
                  <c:v>17409</c:v>
                </c:pt>
                <c:pt idx="3">
                  <c:v>16473</c:v>
                </c:pt>
                <c:pt idx="4">
                  <c:v>16626</c:v>
                </c:pt>
                <c:pt idx="5">
                  <c:v>17324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454400"/>
        <c:axId val="212460672"/>
      </c:lineChart>
      <c:catAx>
        <c:axId val="212454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24606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1246067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1245440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13</xdr:row>
      <xdr:rowOff>0</xdr:rowOff>
    </xdr:from>
    <xdr:to>
      <xdr:col>15</xdr:col>
      <xdr:colOff>752475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23</xdr:row>
      <xdr:rowOff>0</xdr:rowOff>
    </xdr:from>
    <xdr:to>
      <xdr:col>7</xdr:col>
      <xdr:colOff>733425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</xdr:colOff>
      <xdr:row>23</xdr:row>
      <xdr:rowOff>9525</xdr:rowOff>
    </xdr:from>
    <xdr:to>
      <xdr:col>15</xdr:col>
      <xdr:colOff>742950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13</xdr:row>
      <xdr:rowOff>0</xdr:rowOff>
    </xdr:from>
    <xdr:to>
      <xdr:col>7</xdr:col>
      <xdr:colOff>752475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8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30"/>
  <sheetViews>
    <sheetView showGridLines="0" tabSelected="1" zoomScaleNormal="100" zoomScaleSheetLayoutView="110" workbookViewId="0">
      <selection activeCell="B3" sqref="B3:M3"/>
    </sheetView>
  </sheetViews>
  <sheetFormatPr defaultRowHeight="24" customHeight="1"/>
  <cols>
    <col min="1" max="1" width="3.625" customWidth="1"/>
    <col min="2" max="2" width="10" bestFit="1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3.875" customWidth="1"/>
    <col min="8" max="8" width="12.625" bestFit="1" customWidth="1"/>
    <col min="9" max="9" width="13.875" customWidth="1"/>
    <col min="10" max="10" width="12.625" style="2" bestFit="1" customWidth="1"/>
    <col min="11" max="11" width="7.75" style="1" customWidth="1"/>
    <col min="12" max="12" width="13.75" style="3" bestFit="1" customWidth="1"/>
    <col min="13" max="13" width="7.75" style="4" customWidth="1"/>
    <col min="14" max="18" width="9" customWidth="1"/>
    <col min="20" max="21" width="9" customWidth="1"/>
  </cols>
  <sheetData>
    <row r="1" spans="2:16" ht="13.5" customHeight="1"/>
    <row r="2" spans="2:16" ht="13.5" customHeight="1"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2:16" ht="42.95" customHeight="1">
      <c r="B3" s="211" t="s">
        <v>109</v>
      </c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3"/>
      <c r="N3" s="39"/>
      <c r="O3" s="39"/>
      <c r="P3" s="39"/>
    </row>
    <row r="4" spans="2:16" ht="21" customHeight="1">
      <c r="B4" s="123"/>
      <c r="C4" s="124"/>
      <c r="D4" s="124"/>
      <c r="E4" s="124"/>
      <c r="F4" s="124"/>
      <c r="G4" s="124"/>
      <c r="H4" s="124"/>
      <c r="I4" s="124"/>
      <c r="J4" s="124"/>
      <c r="K4" s="124"/>
      <c r="L4" s="124"/>
      <c r="M4" s="124"/>
    </row>
    <row r="5" spans="2:16" ht="21" customHeight="1">
      <c r="B5" s="37"/>
      <c r="C5" s="38"/>
      <c r="D5" s="38"/>
      <c r="E5" s="38"/>
      <c r="F5" s="38"/>
      <c r="G5" s="38"/>
      <c r="H5" s="38"/>
      <c r="I5" s="38"/>
      <c r="J5" s="38"/>
      <c r="K5" s="215" t="s">
        <v>89</v>
      </c>
      <c r="L5" s="215"/>
      <c r="M5" s="215"/>
    </row>
    <row r="6" spans="2:16" ht="21" customHeight="1">
      <c r="B6" s="224" t="s">
        <v>7</v>
      </c>
      <c r="C6" s="225"/>
      <c r="D6" s="225"/>
      <c r="E6" s="75"/>
      <c r="F6" s="214" t="s">
        <v>76</v>
      </c>
      <c r="G6" s="214"/>
      <c r="H6" s="214" t="s">
        <v>77</v>
      </c>
      <c r="I6" s="214"/>
      <c r="J6" s="214" t="s">
        <v>15</v>
      </c>
      <c r="K6" s="214"/>
      <c r="L6" s="214"/>
      <c r="M6" s="223"/>
    </row>
    <row r="7" spans="2:16" ht="21" customHeight="1" thickBot="1">
      <c r="B7" s="226"/>
      <c r="C7" s="227"/>
      <c r="D7" s="227"/>
      <c r="E7" s="78" t="s">
        <v>11</v>
      </c>
      <c r="F7" s="79" t="s">
        <v>105</v>
      </c>
      <c r="G7" s="78" t="s">
        <v>106</v>
      </c>
      <c r="H7" s="78" t="s">
        <v>107</v>
      </c>
      <c r="I7" s="78" t="s">
        <v>108</v>
      </c>
      <c r="J7" s="78" t="s">
        <v>37</v>
      </c>
      <c r="K7" s="80" t="s">
        <v>16</v>
      </c>
      <c r="L7" s="81" t="s">
        <v>18</v>
      </c>
      <c r="M7" s="82" t="s">
        <v>16</v>
      </c>
    </row>
    <row r="8" spans="2:16" ht="20.100000000000001" customHeight="1" thickBot="1">
      <c r="B8" s="207" t="s">
        <v>19</v>
      </c>
      <c r="C8" s="209" t="s">
        <v>12</v>
      </c>
      <c r="D8" s="210"/>
      <c r="E8" s="88">
        <f>SUM(E9:E10)</f>
        <v>16655</v>
      </c>
      <c r="F8" s="88">
        <f>SUM(F9:F10)</f>
        <v>1375</v>
      </c>
      <c r="G8" s="88">
        <f>SUM(G9:G10)</f>
        <v>16655</v>
      </c>
      <c r="H8" s="88">
        <f>SUM(H9:H10)</f>
        <v>1444</v>
      </c>
      <c r="I8" s="88">
        <f>SUM(I9:I10)</f>
        <v>17324</v>
      </c>
      <c r="J8" s="88">
        <f>H8-F8</f>
        <v>69</v>
      </c>
      <c r="K8" s="89">
        <f>H8/F8</f>
        <v>1.0501818181818181</v>
      </c>
      <c r="L8" s="90">
        <f>I8-G8</f>
        <v>669</v>
      </c>
      <c r="M8" s="91">
        <f>I8/G8</f>
        <v>1.0401681176823776</v>
      </c>
    </row>
    <row r="9" spans="2:16" ht="20.100000000000001" customHeight="1">
      <c r="B9" s="208"/>
      <c r="C9" s="205" t="s">
        <v>9</v>
      </c>
      <c r="D9" s="205"/>
      <c r="E9" s="188">
        <v>10010</v>
      </c>
      <c r="F9" s="83">
        <v>827</v>
      </c>
      <c r="G9" s="83">
        <v>10010</v>
      </c>
      <c r="H9" s="83">
        <v>863</v>
      </c>
      <c r="I9" s="83">
        <v>10498</v>
      </c>
      <c r="J9" s="84">
        <f t="shared" ref="J9:J29" si="0">H9-F9</f>
        <v>36</v>
      </c>
      <c r="K9" s="85">
        <f t="shared" ref="K9:K29" si="1">H9/F9</f>
        <v>1.0435308343409915</v>
      </c>
      <c r="L9" s="86">
        <f t="shared" ref="L9:L29" si="2">I9-G9</f>
        <v>488</v>
      </c>
      <c r="M9" s="87">
        <f t="shared" ref="M9:M29" si="3">I9/G9</f>
        <v>1.0487512487512487</v>
      </c>
    </row>
    <row r="10" spans="2:16" ht="20.100000000000001" customHeight="1" thickBot="1">
      <c r="B10" s="208"/>
      <c r="C10" s="204" t="s">
        <v>10</v>
      </c>
      <c r="D10" s="204"/>
      <c r="E10" s="189">
        <v>6645</v>
      </c>
      <c r="F10" s="92">
        <v>548</v>
      </c>
      <c r="G10" s="92">
        <v>6645</v>
      </c>
      <c r="H10" s="92">
        <v>581</v>
      </c>
      <c r="I10" s="92">
        <v>6826</v>
      </c>
      <c r="J10" s="92">
        <f t="shared" si="0"/>
        <v>33</v>
      </c>
      <c r="K10" s="93">
        <f t="shared" si="1"/>
        <v>1.0602189781021898</v>
      </c>
      <c r="L10" s="94">
        <f t="shared" si="2"/>
        <v>181</v>
      </c>
      <c r="M10" s="95">
        <f t="shared" si="3"/>
        <v>1.0272385252069225</v>
      </c>
      <c r="O10" t="s">
        <v>104</v>
      </c>
    </row>
    <row r="11" spans="2:16" ht="20.100000000000001" customHeight="1" thickBot="1">
      <c r="B11" s="207" t="s">
        <v>20</v>
      </c>
      <c r="C11" s="209" t="s">
        <v>8</v>
      </c>
      <c r="D11" s="210"/>
      <c r="E11" s="102">
        <f>E12+E16</f>
        <v>116171568</v>
      </c>
      <c r="F11" s="102">
        <f>F12+F16</f>
        <v>9773236</v>
      </c>
      <c r="G11" s="102">
        <f>G12+G16</f>
        <v>116171568</v>
      </c>
      <c r="H11" s="102">
        <f>H12+H16</f>
        <v>10753014</v>
      </c>
      <c r="I11" s="102">
        <f>I12+I16</f>
        <v>116607017</v>
      </c>
      <c r="J11" s="102">
        <f t="shared" si="0"/>
        <v>979778</v>
      </c>
      <c r="K11" s="89">
        <f t="shared" si="1"/>
        <v>1.1002511348339485</v>
      </c>
      <c r="L11" s="103">
        <f>I11-G11</f>
        <v>435449</v>
      </c>
      <c r="M11" s="91">
        <f t="shared" si="3"/>
        <v>1.0037483267850873</v>
      </c>
    </row>
    <row r="12" spans="2:16" ht="20.100000000000001" customHeight="1">
      <c r="B12" s="208"/>
      <c r="C12" s="205" t="s">
        <v>1</v>
      </c>
      <c r="D12" s="96" t="s">
        <v>0</v>
      </c>
      <c r="E12" s="97">
        <f>SUM(E13:E15)</f>
        <v>104364741</v>
      </c>
      <c r="F12" s="97">
        <f>SUM(F13:F15)</f>
        <v>8851130</v>
      </c>
      <c r="G12" s="97">
        <f>SUM(G13:G15)</f>
        <v>104364741</v>
      </c>
      <c r="H12" s="97">
        <f>SUM(H13:H15)</f>
        <v>9752559</v>
      </c>
      <c r="I12" s="97">
        <f>SUM(I13:I15)</f>
        <v>105503891</v>
      </c>
      <c r="J12" s="98">
        <f t="shared" si="0"/>
        <v>901429</v>
      </c>
      <c r="K12" s="99">
        <f t="shared" si="1"/>
        <v>1.1018433804497278</v>
      </c>
      <c r="L12" s="100">
        <f>I12-G12</f>
        <v>1139150</v>
      </c>
      <c r="M12" s="101">
        <f t="shared" si="3"/>
        <v>1.0109150848177739</v>
      </c>
    </row>
    <row r="13" spans="2:16" ht="20.100000000000001" customHeight="1">
      <c r="B13" s="208"/>
      <c r="C13" s="206"/>
      <c r="D13" s="62" t="s">
        <v>5</v>
      </c>
      <c r="E13" s="190">
        <v>85042405</v>
      </c>
      <c r="F13" s="63">
        <v>7352026</v>
      </c>
      <c r="G13" s="63">
        <v>85042405</v>
      </c>
      <c r="H13" s="63">
        <v>7904905</v>
      </c>
      <c r="I13" s="63">
        <v>85548211</v>
      </c>
      <c r="J13" s="57">
        <f t="shared" si="0"/>
        <v>552879</v>
      </c>
      <c r="K13" s="54">
        <f t="shared" si="1"/>
        <v>1.0752009038052912</v>
      </c>
      <c r="L13" s="64">
        <f>I13-G13</f>
        <v>505806</v>
      </c>
      <c r="M13" s="68">
        <f t="shared" si="3"/>
        <v>1.0059476916251369</v>
      </c>
      <c r="O13" s="29"/>
    </row>
    <row r="14" spans="2:16" ht="20.100000000000001" customHeight="1">
      <c r="B14" s="208"/>
      <c r="C14" s="206"/>
      <c r="D14" s="62" t="s">
        <v>6</v>
      </c>
      <c r="E14" s="191">
        <v>15767102</v>
      </c>
      <c r="F14" s="63">
        <v>1249586</v>
      </c>
      <c r="G14" s="63">
        <v>15767102</v>
      </c>
      <c r="H14" s="63">
        <v>1621631</v>
      </c>
      <c r="I14" s="63">
        <v>17063258</v>
      </c>
      <c r="J14" s="57">
        <f t="shared" si="0"/>
        <v>372045</v>
      </c>
      <c r="K14" s="54">
        <f t="shared" si="1"/>
        <v>1.2977346097027336</v>
      </c>
      <c r="L14" s="64">
        <f t="shared" si="2"/>
        <v>1296156</v>
      </c>
      <c r="M14" s="68">
        <f t="shared" si="3"/>
        <v>1.0822063559936379</v>
      </c>
    </row>
    <row r="15" spans="2:16" ht="20.100000000000001" customHeight="1">
      <c r="B15" s="208"/>
      <c r="C15" s="206"/>
      <c r="D15" s="62" t="s">
        <v>13</v>
      </c>
      <c r="E15" s="191">
        <v>3555234</v>
      </c>
      <c r="F15" s="63">
        <v>249518</v>
      </c>
      <c r="G15" s="63">
        <v>3555234</v>
      </c>
      <c r="H15" s="63">
        <v>226023</v>
      </c>
      <c r="I15" s="63">
        <v>2892422</v>
      </c>
      <c r="J15" s="57">
        <f t="shared" si="0"/>
        <v>-23495</v>
      </c>
      <c r="K15" s="54">
        <f>H15/F15</f>
        <v>0.90583845654421724</v>
      </c>
      <c r="L15" s="64">
        <f t="shared" si="2"/>
        <v>-662812</v>
      </c>
      <c r="M15" s="68">
        <f t="shared" si="3"/>
        <v>0.81356726448948224</v>
      </c>
    </row>
    <row r="16" spans="2:16" ht="20.100000000000001" customHeight="1">
      <c r="B16" s="208"/>
      <c r="C16" s="206" t="s">
        <v>2</v>
      </c>
      <c r="D16" s="60" t="s">
        <v>0</v>
      </c>
      <c r="E16" s="59">
        <f>SUM(E17:E19)</f>
        <v>11806827</v>
      </c>
      <c r="F16" s="59">
        <f>SUM(F17:F19)</f>
        <v>922106</v>
      </c>
      <c r="G16" s="59">
        <f>SUM(G17:G19)</f>
        <v>11806827</v>
      </c>
      <c r="H16" s="59">
        <f>SUM(H17:H19)</f>
        <v>1000455</v>
      </c>
      <c r="I16" s="59">
        <f>SUM(I17:I19)</f>
        <v>11103126</v>
      </c>
      <c r="J16" s="52">
        <f t="shared" si="0"/>
        <v>78349</v>
      </c>
      <c r="K16" s="53">
        <f t="shared" si="1"/>
        <v>1.0849674549346822</v>
      </c>
      <c r="L16" s="61">
        <f t="shared" si="2"/>
        <v>-703701</v>
      </c>
      <c r="M16" s="69">
        <f t="shared" si="3"/>
        <v>0.9403988048609504</v>
      </c>
    </row>
    <row r="17" spans="2:13" ht="20.100000000000001" customHeight="1">
      <c r="B17" s="208"/>
      <c r="C17" s="206"/>
      <c r="D17" s="62" t="s">
        <v>3</v>
      </c>
      <c r="E17" s="193">
        <v>8236740</v>
      </c>
      <c r="F17" s="63">
        <v>632067</v>
      </c>
      <c r="G17" s="63">
        <v>8236740</v>
      </c>
      <c r="H17" s="63">
        <v>725313</v>
      </c>
      <c r="I17" s="63">
        <v>7713381</v>
      </c>
      <c r="J17" s="57">
        <f t="shared" si="0"/>
        <v>93246</v>
      </c>
      <c r="K17" s="54">
        <f t="shared" si="1"/>
        <v>1.1475254996701298</v>
      </c>
      <c r="L17" s="64">
        <f t="shared" si="2"/>
        <v>-523359</v>
      </c>
      <c r="M17" s="68">
        <f t="shared" si="3"/>
        <v>0.93646042002054208</v>
      </c>
    </row>
    <row r="18" spans="2:13" ht="20.100000000000001" customHeight="1">
      <c r="B18" s="208"/>
      <c r="C18" s="206"/>
      <c r="D18" s="62" t="s">
        <v>4</v>
      </c>
      <c r="E18" s="193">
        <v>3509290</v>
      </c>
      <c r="F18" s="63">
        <v>290039</v>
      </c>
      <c r="G18" s="63">
        <v>3509290</v>
      </c>
      <c r="H18" s="63">
        <v>275142</v>
      </c>
      <c r="I18" s="63">
        <v>3389745</v>
      </c>
      <c r="J18" s="57">
        <f t="shared" si="0"/>
        <v>-14897</v>
      </c>
      <c r="K18" s="54">
        <f t="shared" si="1"/>
        <v>0.9486379417940346</v>
      </c>
      <c r="L18" s="64">
        <f t="shared" si="2"/>
        <v>-119545</v>
      </c>
      <c r="M18" s="68">
        <f t="shared" si="3"/>
        <v>0.96593470474084497</v>
      </c>
    </row>
    <row r="19" spans="2:13" ht="20.100000000000001" customHeight="1">
      <c r="B19" s="208"/>
      <c r="C19" s="206"/>
      <c r="D19" s="62" t="s">
        <v>17</v>
      </c>
      <c r="E19" s="192">
        <v>60797</v>
      </c>
      <c r="F19" s="63">
        <v>0</v>
      </c>
      <c r="G19" s="63">
        <v>60797</v>
      </c>
      <c r="H19" s="63">
        <v>0</v>
      </c>
      <c r="I19" s="63">
        <v>0</v>
      </c>
      <c r="J19" s="65">
        <f t="shared" si="0"/>
        <v>0</v>
      </c>
      <c r="K19" s="66">
        <v>0</v>
      </c>
      <c r="L19" s="67">
        <f t="shared" si="2"/>
        <v>-60797</v>
      </c>
      <c r="M19" s="68" t="s">
        <v>75</v>
      </c>
    </row>
    <row r="20" spans="2:13" ht="20.100000000000001" customHeight="1" thickBot="1">
      <c r="B20" s="76"/>
      <c r="C20" s="104"/>
      <c r="D20" s="105"/>
      <c r="E20" s="106"/>
      <c r="F20" s="107"/>
      <c r="G20" s="107"/>
      <c r="H20" s="107"/>
      <c r="I20" s="106"/>
      <c r="J20" s="108"/>
      <c r="K20" s="219" t="s">
        <v>21</v>
      </c>
      <c r="L20" s="220"/>
      <c r="M20" s="221"/>
    </row>
    <row r="21" spans="2:13" ht="20.100000000000001" customHeight="1" thickBot="1">
      <c r="B21" s="222" t="s">
        <v>90</v>
      </c>
      <c r="C21" s="209" t="s">
        <v>8</v>
      </c>
      <c r="D21" s="210"/>
      <c r="E21" s="111">
        <f>SUM(E22,E26)</f>
        <v>852672</v>
      </c>
      <c r="F21" s="112">
        <f>SUM(F22,F26)</f>
        <v>61907</v>
      </c>
      <c r="G21" s="112">
        <f>SUM(G22,G26)</f>
        <v>852672</v>
      </c>
      <c r="H21" s="111">
        <f>SUM(H22,H26)</f>
        <v>70621</v>
      </c>
      <c r="I21" s="111">
        <f>SUM(I22,I26)</f>
        <v>820289</v>
      </c>
      <c r="J21" s="113">
        <f t="shared" si="0"/>
        <v>8714</v>
      </c>
      <c r="K21" s="114">
        <f t="shared" si="1"/>
        <v>1.1407595263863537</v>
      </c>
      <c r="L21" s="115">
        <f t="shared" si="2"/>
        <v>-32383</v>
      </c>
      <c r="M21" s="91">
        <f>I21/G21</f>
        <v>0.96202173872250996</v>
      </c>
    </row>
    <row r="22" spans="2:13" ht="20.100000000000001" customHeight="1">
      <c r="B22" s="208"/>
      <c r="C22" s="205" t="s">
        <v>1</v>
      </c>
      <c r="D22" s="96" t="s">
        <v>0</v>
      </c>
      <c r="E22" s="96">
        <f>SUM(E23:E25)</f>
        <v>852672</v>
      </c>
      <c r="F22" s="96">
        <f>SUM(F23:F25)</f>
        <v>61907</v>
      </c>
      <c r="G22" s="96">
        <f>SUM(G23:G25)</f>
        <v>852672</v>
      </c>
      <c r="H22" s="96">
        <f>SUM(H23:H25)</f>
        <v>70621</v>
      </c>
      <c r="I22" s="96">
        <f>SUM(I23:I25)</f>
        <v>820289</v>
      </c>
      <c r="J22" s="98">
        <f t="shared" si="0"/>
        <v>8714</v>
      </c>
      <c r="K22" s="109">
        <f t="shared" si="1"/>
        <v>1.1407595263863537</v>
      </c>
      <c r="L22" s="110">
        <f t="shared" si="2"/>
        <v>-32383</v>
      </c>
      <c r="M22" s="101">
        <f t="shared" si="3"/>
        <v>0.96202173872250996</v>
      </c>
    </row>
    <row r="23" spans="2:13" ht="20.100000000000001" customHeight="1">
      <c r="B23" s="208"/>
      <c r="C23" s="206"/>
      <c r="D23" s="71" t="s">
        <v>5</v>
      </c>
      <c r="E23" s="194">
        <v>416510</v>
      </c>
      <c r="F23" s="72">
        <v>31195</v>
      </c>
      <c r="G23" s="72">
        <v>416509</v>
      </c>
      <c r="H23" s="71">
        <v>34268</v>
      </c>
      <c r="I23" s="71">
        <v>406783</v>
      </c>
      <c r="J23" s="57">
        <f t="shared" si="0"/>
        <v>3073</v>
      </c>
      <c r="K23" s="56">
        <f t="shared" si="1"/>
        <v>1.0985093765026446</v>
      </c>
      <c r="L23" s="58">
        <f t="shared" si="2"/>
        <v>-9726</v>
      </c>
      <c r="M23" s="68">
        <f t="shared" si="3"/>
        <v>0.97664876389225685</v>
      </c>
    </row>
    <row r="24" spans="2:13" ht="20.100000000000001" customHeight="1">
      <c r="B24" s="208"/>
      <c r="C24" s="206"/>
      <c r="D24" s="70" t="s">
        <v>14</v>
      </c>
      <c r="E24" s="194">
        <v>418521</v>
      </c>
      <c r="F24" s="72">
        <v>30257</v>
      </c>
      <c r="G24" s="72">
        <v>418522</v>
      </c>
      <c r="H24" s="71">
        <v>35459</v>
      </c>
      <c r="I24" s="71">
        <v>405018</v>
      </c>
      <c r="J24" s="57">
        <f t="shared" si="0"/>
        <v>5202</v>
      </c>
      <c r="K24" s="56">
        <f t="shared" si="1"/>
        <v>1.1719271573520178</v>
      </c>
      <c r="L24" s="55">
        <f t="shared" si="2"/>
        <v>-13504</v>
      </c>
      <c r="M24" s="68">
        <f t="shared" si="3"/>
        <v>0.96773407371655495</v>
      </c>
    </row>
    <row r="25" spans="2:13" ht="20.100000000000001" customHeight="1">
      <c r="B25" s="208"/>
      <c r="C25" s="206"/>
      <c r="D25" s="70" t="s">
        <v>13</v>
      </c>
      <c r="E25" s="194">
        <v>17641</v>
      </c>
      <c r="F25" s="71">
        <v>455</v>
      </c>
      <c r="G25" s="73">
        <v>17641</v>
      </c>
      <c r="H25" s="71">
        <v>894</v>
      </c>
      <c r="I25" s="71">
        <v>8488</v>
      </c>
      <c r="J25" s="57">
        <f t="shared" si="0"/>
        <v>439</v>
      </c>
      <c r="K25" s="56">
        <f t="shared" si="1"/>
        <v>1.9648351648351647</v>
      </c>
      <c r="L25" s="55">
        <f t="shared" si="2"/>
        <v>-9153</v>
      </c>
      <c r="M25" s="68">
        <f t="shared" si="3"/>
        <v>0.48115186213933453</v>
      </c>
    </row>
    <row r="26" spans="2:13" ht="20.100000000000001" customHeight="1">
      <c r="B26" s="208"/>
      <c r="C26" s="206" t="s">
        <v>2</v>
      </c>
      <c r="D26" s="62" t="s">
        <v>49</v>
      </c>
      <c r="E26" s="66">
        <f>SUM(E27:E28)</f>
        <v>0</v>
      </c>
      <c r="F26" s="66">
        <f>SUM(F27:F28)</f>
        <v>0</v>
      </c>
      <c r="G26" s="66">
        <f>SUM(G27:G28)</f>
        <v>0</v>
      </c>
      <c r="H26" s="66">
        <v>0</v>
      </c>
      <c r="I26" s="66">
        <f>SUM(I27:I28)</f>
        <v>0</v>
      </c>
      <c r="J26" s="74">
        <f t="shared" si="0"/>
        <v>0</v>
      </c>
      <c r="K26" s="66">
        <v>0</v>
      </c>
      <c r="L26" s="55">
        <f t="shared" si="2"/>
        <v>0</v>
      </c>
      <c r="M26" s="77">
        <v>0</v>
      </c>
    </row>
    <row r="27" spans="2:13" ht="20.100000000000001" customHeight="1">
      <c r="B27" s="208"/>
      <c r="C27" s="206"/>
      <c r="D27" s="62" t="s">
        <v>49</v>
      </c>
      <c r="E27" s="71">
        <v>0</v>
      </c>
      <c r="F27" s="71">
        <v>0</v>
      </c>
      <c r="G27" s="71">
        <v>0</v>
      </c>
      <c r="H27" s="71">
        <v>0</v>
      </c>
      <c r="I27" s="71">
        <v>0</v>
      </c>
      <c r="J27" s="74">
        <f t="shared" si="0"/>
        <v>0</v>
      </c>
      <c r="K27" s="66">
        <v>0</v>
      </c>
      <c r="L27" s="55">
        <f t="shared" si="2"/>
        <v>0</v>
      </c>
      <c r="M27" s="77">
        <v>0</v>
      </c>
    </row>
    <row r="28" spans="2:13" ht="20.100000000000001" customHeight="1" thickBot="1">
      <c r="B28" s="208"/>
      <c r="C28" s="206"/>
      <c r="D28" s="62" t="s">
        <v>49</v>
      </c>
      <c r="E28" s="116">
        <v>0</v>
      </c>
      <c r="F28" s="116">
        <v>0</v>
      </c>
      <c r="G28" s="116">
        <v>0</v>
      </c>
      <c r="H28" s="116">
        <v>0</v>
      </c>
      <c r="I28" s="116">
        <v>0</v>
      </c>
      <c r="J28" s="117">
        <f t="shared" si="0"/>
        <v>0</v>
      </c>
      <c r="K28" s="118">
        <v>0</v>
      </c>
      <c r="L28" s="119">
        <f t="shared" si="2"/>
        <v>0</v>
      </c>
      <c r="M28" s="120">
        <v>0</v>
      </c>
    </row>
    <row r="29" spans="2:13" s="27" customFormat="1" ht="20.100000000000001" customHeight="1" thickBot="1">
      <c r="B29" s="216" t="s">
        <v>47</v>
      </c>
      <c r="C29" s="217"/>
      <c r="D29" s="218"/>
      <c r="E29" s="121">
        <v>1635790</v>
      </c>
      <c r="F29" s="122">
        <v>147955</v>
      </c>
      <c r="G29" s="122">
        <v>1635790</v>
      </c>
      <c r="H29" s="122">
        <v>138443</v>
      </c>
      <c r="I29" s="122">
        <v>1616558</v>
      </c>
      <c r="J29" s="113">
        <f t="shared" si="0"/>
        <v>-9512</v>
      </c>
      <c r="K29" s="89">
        <f t="shared" si="1"/>
        <v>0.93571018214997803</v>
      </c>
      <c r="L29" s="90">
        <f t="shared" si="2"/>
        <v>-19232</v>
      </c>
      <c r="M29" s="91">
        <f t="shared" si="3"/>
        <v>0.9882429896258077</v>
      </c>
    </row>
    <row r="30" spans="2:13" ht="12.75" customHeight="1">
      <c r="B30" s="5"/>
      <c r="C30" s="5"/>
      <c r="D30" s="5"/>
      <c r="E30" s="6"/>
      <c r="F30" s="7"/>
      <c r="G30" s="7"/>
      <c r="H30" s="7"/>
      <c r="I30" s="7"/>
      <c r="J30" s="6"/>
      <c r="K30" s="8"/>
      <c r="L30" s="9"/>
      <c r="M30" s="10"/>
    </row>
  </sheetData>
  <mergeCells count="20">
    <mergeCell ref="C26:C28"/>
    <mergeCell ref="B29:D29"/>
    <mergeCell ref="K20:M20"/>
    <mergeCell ref="H6:I6"/>
    <mergeCell ref="C16:C19"/>
    <mergeCell ref="B8:B10"/>
    <mergeCell ref="B21:B28"/>
    <mergeCell ref="C11:D11"/>
    <mergeCell ref="C8:D8"/>
    <mergeCell ref="J6:M6"/>
    <mergeCell ref="B6:D7"/>
    <mergeCell ref="C22:C25"/>
    <mergeCell ref="C9:D9"/>
    <mergeCell ref="C10:D10"/>
    <mergeCell ref="C12:C15"/>
    <mergeCell ref="B11:B19"/>
    <mergeCell ref="C21:D21"/>
    <mergeCell ref="B3:M3"/>
    <mergeCell ref="F6:G6"/>
    <mergeCell ref="K5:M5"/>
  </mergeCells>
  <phoneticPr fontId="8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61" orientation="landscape" verticalDpi="597" r:id="rId1"/>
  <headerFooter alignWithMargins="0"/>
  <ignoredErrors>
    <ignoredError sqref="E26:I26 H2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32"/>
  <sheetViews>
    <sheetView showGridLines="0" zoomScaleNormal="100" workbookViewId="0">
      <selection activeCell="Q2" sqref="Q2"/>
    </sheetView>
  </sheetViews>
  <sheetFormatPr defaultRowHeight="14.25"/>
  <cols>
    <col min="1" max="1" width="3.625" customWidth="1"/>
    <col min="2" max="8" width="10.125" customWidth="1"/>
    <col min="9" max="9" width="3.625" style="44" customWidth="1"/>
    <col min="10" max="16" width="10.125" customWidth="1"/>
    <col min="19" max="19" width="10.75" bestFit="1" customWidth="1"/>
  </cols>
  <sheetData>
    <row r="1" spans="2:29" ht="13.5" customHeight="1">
      <c r="L1" s="2"/>
      <c r="M1" s="1"/>
      <c r="N1" s="3"/>
      <c r="O1" s="4"/>
    </row>
    <row r="2" spans="2:29" ht="13.5" customHeight="1">
      <c r="C2" s="39"/>
      <c r="D2" s="39"/>
      <c r="E2" s="39"/>
      <c r="F2" s="39"/>
      <c r="G2" s="39"/>
      <c r="H2" s="39"/>
      <c r="I2" s="45"/>
      <c r="J2" s="39"/>
      <c r="K2" s="39"/>
      <c r="L2" s="39"/>
      <c r="M2" s="39"/>
      <c r="N2" s="39"/>
      <c r="O2" s="39"/>
      <c r="P2" s="39"/>
      <c r="Q2" s="39"/>
      <c r="R2" s="39"/>
    </row>
    <row r="3" spans="2:29" ht="42.95" customHeight="1">
      <c r="B3" s="228" t="s">
        <v>91</v>
      </c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39"/>
      <c r="R3" s="39"/>
    </row>
    <row r="4" spans="2:29" s="12" customFormat="1" ht="21" customHeight="1">
      <c r="B4" s="11"/>
      <c r="I4" s="46"/>
    </row>
    <row r="5" spans="2:29" s="12" customFormat="1" ht="21" customHeight="1" thickBot="1">
      <c r="B5"/>
      <c r="C5"/>
      <c r="D5"/>
      <c r="E5" s="42"/>
      <c r="F5" s="42"/>
      <c r="G5" s="231" t="s">
        <v>50</v>
      </c>
      <c r="H5" s="231"/>
      <c r="I5" s="43"/>
      <c r="J5"/>
      <c r="K5"/>
      <c r="L5"/>
      <c r="M5" s="42"/>
      <c r="N5" s="42"/>
      <c r="O5" s="231" t="s">
        <v>92</v>
      </c>
      <c r="P5" s="231"/>
    </row>
    <row r="6" spans="2:29" s="12" customFormat="1" ht="32.25" customHeight="1">
      <c r="B6" s="170" t="s">
        <v>98</v>
      </c>
      <c r="C6" s="171">
        <v>2018</v>
      </c>
      <c r="D6" s="171">
        <v>2019</v>
      </c>
      <c r="E6" s="171">
        <v>2020</v>
      </c>
      <c r="F6" s="171">
        <v>2021</v>
      </c>
      <c r="G6" s="178">
        <v>2022</v>
      </c>
      <c r="H6" s="180" t="s">
        <v>110</v>
      </c>
      <c r="I6" s="47"/>
      <c r="J6" s="170" t="s">
        <v>98</v>
      </c>
      <c r="K6" s="171">
        <v>2018</v>
      </c>
      <c r="L6" s="171">
        <v>2019</v>
      </c>
      <c r="M6" s="171">
        <v>2020</v>
      </c>
      <c r="N6" s="171">
        <v>2021</v>
      </c>
      <c r="O6" s="178">
        <v>2022</v>
      </c>
      <c r="P6" s="183" t="str">
        <f>$H$6</f>
        <v>2023.12.</v>
      </c>
    </row>
    <row r="7" spans="2:29" s="12" customFormat="1" ht="39.200000000000003" customHeight="1" thickBot="1">
      <c r="B7" s="172" t="s">
        <v>96</v>
      </c>
      <c r="C7" s="173">
        <v>18829</v>
      </c>
      <c r="D7" s="173">
        <v>18416</v>
      </c>
      <c r="E7" s="173">
        <v>17409</v>
      </c>
      <c r="F7" s="173">
        <v>16473</v>
      </c>
      <c r="G7" s="179">
        <v>16626</v>
      </c>
      <c r="H7" s="181">
        <f>통계요약!I8</f>
        <v>17324</v>
      </c>
      <c r="I7" s="48"/>
      <c r="J7" s="174" t="s">
        <v>95</v>
      </c>
      <c r="K7" s="175">
        <v>115146882</v>
      </c>
      <c r="L7" s="175">
        <v>113201331</v>
      </c>
      <c r="M7" s="175">
        <v>106847350</v>
      </c>
      <c r="N7" s="175">
        <v>116876152</v>
      </c>
      <c r="O7" s="182">
        <v>116171568</v>
      </c>
      <c r="P7" s="184">
        <f>통계요약!I11</f>
        <v>116607017</v>
      </c>
    </row>
    <row r="8" spans="2:29" s="12" customFormat="1" ht="21" customHeight="1" thickBot="1">
      <c r="B8"/>
      <c r="C8"/>
      <c r="D8"/>
      <c r="E8" s="42"/>
      <c r="F8" s="42"/>
      <c r="G8" s="231" t="s">
        <v>93</v>
      </c>
      <c r="H8" s="231"/>
      <c r="I8" s="43"/>
      <c r="J8" s="13"/>
      <c r="K8" s="14"/>
      <c r="L8" s="14"/>
      <c r="M8" s="42"/>
      <c r="N8" s="42"/>
      <c r="O8" s="231" t="s">
        <v>94</v>
      </c>
      <c r="P8" s="231"/>
    </row>
    <row r="9" spans="2:29" s="12" customFormat="1" ht="32.25" customHeight="1">
      <c r="B9" s="170" t="s">
        <v>98</v>
      </c>
      <c r="C9" s="171">
        <v>2018</v>
      </c>
      <c r="D9" s="171">
        <v>2019</v>
      </c>
      <c r="E9" s="171">
        <v>2020</v>
      </c>
      <c r="F9" s="171">
        <v>2021</v>
      </c>
      <c r="G9" s="178">
        <v>2022</v>
      </c>
      <c r="H9" s="183" t="str">
        <f>$H$6</f>
        <v>2023.12.</v>
      </c>
      <c r="I9" s="49"/>
      <c r="J9" s="170" t="s">
        <v>98</v>
      </c>
      <c r="K9" s="171">
        <v>2018</v>
      </c>
      <c r="L9" s="171">
        <v>2019</v>
      </c>
      <c r="M9" s="171">
        <v>2020</v>
      </c>
      <c r="N9" s="171">
        <v>2021</v>
      </c>
      <c r="O9" s="178">
        <v>2022</v>
      </c>
      <c r="P9" s="183" t="str">
        <f>$H$6</f>
        <v>2023.12.</v>
      </c>
    </row>
    <row r="10" spans="2:29" s="12" customFormat="1" ht="37.5" customHeight="1" thickBot="1">
      <c r="B10" s="176" t="s">
        <v>22</v>
      </c>
      <c r="C10" s="177">
        <v>689852</v>
      </c>
      <c r="D10" s="177">
        <v>725047</v>
      </c>
      <c r="E10" s="177">
        <v>792643</v>
      </c>
      <c r="F10" s="177">
        <v>936246</v>
      </c>
      <c r="G10" s="185">
        <v>851953</v>
      </c>
      <c r="H10" s="186">
        <f>통계요약!I21</f>
        <v>820289</v>
      </c>
      <c r="I10" s="50"/>
      <c r="J10" s="176" t="s">
        <v>97</v>
      </c>
      <c r="K10" s="173">
        <v>452480</v>
      </c>
      <c r="L10" s="173">
        <v>623733</v>
      </c>
      <c r="M10" s="173">
        <v>40267</v>
      </c>
      <c r="N10" s="173">
        <v>0</v>
      </c>
      <c r="O10" s="179">
        <v>0</v>
      </c>
      <c r="P10" s="186">
        <v>52855</v>
      </c>
      <c r="AC10" s="26"/>
    </row>
    <row r="11" spans="2:29" ht="21" customHeight="1"/>
    <row r="12" spans="2:29" s="19" customFormat="1" ht="21" customHeight="1">
      <c r="B12" s="230" t="s">
        <v>102</v>
      </c>
      <c r="C12" s="230"/>
      <c r="D12" s="230"/>
      <c r="I12" s="51"/>
    </row>
    <row r="13" spans="2:29" s="12" customFormat="1" ht="21" customHeight="1">
      <c r="B13" s="229" t="s">
        <v>99</v>
      </c>
      <c r="C13" s="229"/>
      <c r="I13" s="46"/>
      <c r="J13" s="229" t="s">
        <v>100</v>
      </c>
      <c r="K13" s="229"/>
      <c r="L13" s="16"/>
      <c r="M13" s="17"/>
      <c r="N13" s="18"/>
      <c r="O13" s="18"/>
      <c r="P13" s="18"/>
    </row>
    <row r="14" spans="2:29" s="12" customFormat="1" ht="21" customHeight="1">
      <c r="I14" s="46"/>
      <c r="K14" s="15"/>
      <c r="L14" s="16"/>
      <c r="M14" s="17"/>
      <c r="N14" s="18"/>
      <c r="O14" s="18"/>
      <c r="P14" s="18"/>
    </row>
    <row r="15" spans="2:29" s="12" customFormat="1" ht="21" customHeight="1">
      <c r="I15" s="46"/>
      <c r="K15" s="15"/>
      <c r="L15" s="16"/>
      <c r="M15" s="17"/>
      <c r="N15" s="18"/>
      <c r="O15" s="18"/>
      <c r="P15" s="18"/>
    </row>
    <row r="16" spans="2:29" s="12" customFormat="1" ht="21" customHeight="1">
      <c r="I16" s="46"/>
      <c r="K16" s="15"/>
      <c r="L16" s="16"/>
      <c r="M16" s="17"/>
      <c r="N16" s="18"/>
      <c r="O16" s="18"/>
      <c r="P16" s="18"/>
    </row>
    <row r="17" spans="2:16" s="12" customFormat="1" ht="21" customHeight="1">
      <c r="I17" s="46"/>
      <c r="K17" s="15"/>
      <c r="L17" s="16"/>
      <c r="M17" s="17"/>
      <c r="N17" s="18"/>
      <c r="O17" s="18"/>
      <c r="P17" s="18"/>
    </row>
    <row r="18" spans="2:16" s="12" customFormat="1" ht="21" customHeight="1">
      <c r="I18" s="46"/>
      <c r="K18" s="15"/>
      <c r="L18" s="16"/>
      <c r="M18" s="17"/>
      <c r="N18" s="18"/>
      <c r="O18" s="18"/>
      <c r="P18" s="18"/>
    </row>
    <row r="19" spans="2:16" s="12" customFormat="1" ht="21" customHeight="1">
      <c r="I19" s="46"/>
      <c r="K19" s="15"/>
      <c r="L19" s="16"/>
      <c r="M19" s="17"/>
      <c r="N19" s="18"/>
      <c r="O19" s="18"/>
      <c r="P19" s="18"/>
    </row>
    <row r="20" spans="2:16" s="12" customFormat="1" ht="21" customHeight="1">
      <c r="I20" s="46"/>
      <c r="K20" s="15"/>
      <c r="L20" s="16"/>
      <c r="M20" s="17"/>
      <c r="N20" s="18"/>
      <c r="O20" s="18"/>
      <c r="P20" s="18"/>
    </row>
    <row r="21" spans="2:16" s="12" customFormat="1" ht="21" customHeight="1">
      <c r="I21" s="46"/>
      <c r="K21" s="15"/>
      <c r="L21" s="16"/>
      <c r="M21" s="17"/>
      <c r="N21" s="18"/>
      <c r="O21" s="18"/>
      <c r="P21" s="18"/>
    </row>
    <row r="22" spans="2:16" s="12" customFormat="1" ht="21" customHeight="1">
      <c r="I22" s="46"/>
      <c r="K22" s="15"/>
      <c r="L22" s="16"/>
      <c r="M22" s="17"/>
      <c r="N22" s="18"/>
      <c r="O22" s="18"/>
      <c r="P22" s="18"/>
    </row>
    <row r="23" spans="2:16" s="12" customFormat="1" ht="21" customHeight="1">
      <c r="B23" s="229" t="s">
        <v>101</v>
      </c>
      <c r="C23" s="229"/>
      <c r="I23" s="46"/>
      <c r="J23" s="229" t="s">
        <v>103</v>
      </c>
      <c r="K23" s="229"/>
      <c r="L23" s="16"/>
      <c r="M23" s="17"/>
      <c r="N23" s="18"/>
      <c r="O23" s="18"/>
      <c r="P23" s="18"/>
    </row>
    <row r="24" spans="2:16" s="12" customFormat="1" ht="21" customHeight="1">
      <c r="I24" s="46"/>
      <c r="K24" s="15"/>
      <c r="L24" s="16"/>
      <c r="M24" s="17"/>
      <c r="N24" s="18"/>
      <c r="O24" s="18"/>
      <c r="P24" s="18"/>
    </row>
    <row r="25" spans="2:16" s="12" customFormat="1" ht="21" customHeight="1">
      <c r="I25" s="46"/>
      <c r="K25" s="15"/>
      <c r="L25" s="16"/>
      <c r="M25" s="17"/>
      <c r="N25" s="18"/>
      <c r="O25" s="18"/>
      <c r="P25" s="18"/>
    </row>
    <row r="26" spans="2:16" s="12" customFormat="1" ht="21" customHeight="1">
      <c r="I26" s="46"/>
      <c r="K26" s="15"/>
      <c r="L26" s="16"/>
      <c r="M26" s="17"/>
      <c r="N26" s="18"/>
      <c r="O26" s="18"/>
      <c r="P26" s="18"/>
    </row>
    <row r="27" spans="2:16" s="12" customFormat="1" ht="21" customHeight="1">
      <c r="I27" s="46"/>
      <c r="K27" s="15"/>
      <c r="L27" s="16"/>
      <c r="M27" s="17"/>
      <c r="N27" s="18"/>
      <c r="O27" s="18"/>
      <c r="P27" s="18"/>
    </row>
    <row r="28" spans="2:16" s="12" customFormat="1" ht="21" customHeight="1">
      <c r="I28" s="46"/>
      <c r="K28" s="15"/>
      <c r="L28" s="16"/>
      <c r="M28" s="17"/>
      <c r="N28" s="18"/>
      <c r="O28" s="18"/>
      <c r="P28" s="18"/>
    </row>
    <row r="29" spans="2:16" s="12" customFormat="1" ht="21" customHeight="1">
      <c r="I29" s="46"/>
      <c r="K29" s="15"/>
      <c r="L29" s="16"/>
      <c r="M29" s="17"/>
      <c r="N29" s="18"/>
      <c r="O29" s="18"/>
      <c r="P29" s="18"/>
    </row>
    <row r="30" spans="2:16" s="12" customFormat="1" ht="21" customHeight="1">
      <c r="I30" s="46"/>
      <c r="K30" s="15"/>
      <c r="L30" s="16"/>
      <c r="M30" s="17"/>
      <c r="N30" s="18"/>
      <c r="O30" s="18"/>
      <c r="P30" s="18"/>
    </row>
    <row r="31" spans="2:16" s="12" customFormat="1" ht="21" customHeight="1">
      <c r="I31" s="46"/>
      <c r="K31" s="15"/>
      <c r="L31" s="16"/>
      <c r="M31" s="17"/>
      <c r="N31" s="18"/>
      <c r="O31" s="18"/>
      <c r="P31" s="18"/>
    </row>
    <row r="32" spans="2:16" ht="21" customHeight="1"/>
  </sheetData>
  <mergeCells count="10">
    <mergeCell ref="B3:P3"/>
    <mergeCell ref="B13:C13"/>
    <mergeCell ref="J13:K13"/>
    <mergeCell ref="B23:C23"/>
    <mergeCell ref="B12:D12"/>
    <mergeCell ref="J23:K23"/>
    <mergeCell ref="G5:H5"/>
    <mergeCell ref="O5:P5"/>
    <mergeCell ref="G8:H8"/>
    <mergeCell ref="O8:P8"/>
  </mergeCells>
  <phoneticPr fontId="19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6"/>
  <sheetViews>
    <sheetView showGridLines="0" zoomScale="90" zoomScaleNormal="90" workbookViewId="0">
      <selection activeCell="B3" sqref="B3:L3"/>
    </sheetView>
  </sheetViews>
  <sheetFormatPr defaultColWidth="10" defaultRowHeight="13.5"/>
  <cols>
    <col min="1" max="1" width="3.625" style="20" customWidth="1"/>
    <col min="2" max="2" width="17.25" style="32" bestFit="1" customWidth="1"/>
    <col min="3" max="4" width="12.625" style="20" customWidth="1"/>
    <col min="5" max="5" width="12.625" style="32" customWidth="1"/>
    <col min="6" max="12" width="12.625" style="20" customWidth="1"/>
    <col min="13" max="14" width="10" style="20"/>
    <col min="15" max="15" width="0" style="20" hidden="1" customWidth="1"/>
    <col min="16" max="16" width="10.25" style="20" bestFit="1" customWidth="1"/>
    <col min="17" max="17" width="11.5" style="20" bestFit="1" customWidth="1"/>
    <col min="18" max="18" width="10.25" style="20" bestFit="1" customWidth="1"/>
    <col min="19" max="19" width="11.25" style="20" bestFit="1" customWidth="1"/>
    <col min="20" max="20" width="7.75" style="20" customWidth="1"/>
    <col min="21" max="21" width="6.875" style="20" customWidth="1"/>
    <col min="22" max="16384" width="10" style="20"/>
  </cols>
  <sheetData>
    <row r="1" spans="1:35" customFormat="1" ht="13.5" customHeight="1">
      <c r="B1" s="41"/>
      <c r="F1" s="2"/>
      <c r="G1" s="1"/>
      <c r="H1" s="3"/>
      <c r="I1" s="4"/>
    </row>
    <row r="2" spans="1:35" customFormat="1" ht="13.5" customHeight="1">
      <c r="B2" s="40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35" customFormat="1" ht="42.95" customHeight="1">
      <c r="B3" s="211" t="s">
        <v>111</v>
      </c>
      <c r="C3" s="212"/>
      <c r="D3" s="212"/>
      <c r="E3" s="212"/>
      <c r="F3" s="212"/>
      <c r="G3" s="212"/>
      <c r="H3" s="212"/>
      <c r="I3" s="212"/>
      <c r="J3" s="212"/>
      <c r="K3" s="212"/>
      <c r="L3" s="213"/>
    </row>
    <row r="4" spans="1:35" ht="13.5" customHeight="1">
      <c r="A4" s="25"/>
      <c r="C4" s="28"/>
      <c r="D4" s="28"/>
      <c r="E4" s="31"/>
      <c r="F4" s="21"/>
      <c r="G4" s="22"/>
      <c r="H4" s="23"/>
      <c r="I4" s="24"/>
    </row>
    <row r="5" spans="1:35" ht="13.5" customHeight="1">
      <c r="A5" s="25"/>
      <c r="C5" s="28"/>
      <c r="D5" s="28"/>
      <c r="E5" s="31"/>
      <c r="F5" s="21"/>
      <c r="G5" s="22"/>
      <c r="H5" s="23"/>
      <c r="I5" s="24"/>
    </row>
    <row r="6" spans="1:35" ht="21.95" customHeight="1">
      <c r="B6" s="232" t="s">
        <v>23</v>
      </c>
      <c r="C6" s="240" t="s">
        <v>24</v>
      </c>
      <c r="D6" s="238" t="s">
        <v>76</v>
      </c>
      <c r="E6" s="238"/>
      <c r="F6" s="238"/>
      <c r="G6" s="238" t="s">
        <v>78</v>
      </c>
      <c r="H6" s="238"/>
      <c r="I6" s="238" t="s">
        <v>25</v>
      </c>
      <c r="J6" s="238"/>
      <c r="K6" s="238"/>
      <c r="L6" s="239"/>
      <c r="X6" s="20" t="s">
        <v>88</v>
      </c>
    </row>
    <row r="7" spans="1:35" ht="21.95" customHeight="1" thickBot="1">
      <c r="B7" s="233"/>
      <c r="C7" s="241"/>
      <c r="D7" s="142" t="s">
        <v>26</v>
      </c>
      <c r="E7" s="142" t="str">
        <f>통계요약!F7</f>
        <v>12월(A)</v>
      </c>
      <c r="F7" s="142" t="str">
        <f>통계요약!G7</f>
        <v xml:space="preserve"> 12월누계(B) </v>
      </c>
      <c r="G7" s="143" t="str">
        <f>통계요약!H7</f>
        <v>12월(C)</v>
      </c>
      <c r="H7" s="142" t="str">
        <f>통계요약!I7</f>
        <v xml:space="preserve"> 12월누계(D) </v>
      </c>
      <c r="I7" s="142" t="s">
        <v>27</v>
      </c>
      <c r="J7" s="144" t="s">
        <v>28</v>
      </c>
      <c r="K7" s="145" t="s">
        <v>29</v>
      </c>
      <c r="L7" s="146" t="s">
        <v>28</v>
      </c>
    </row>
    <row r="8" spans="1:35" ht="21.95" customHeight="1">
      <c r="B8" s="234" t="s">
        <v>30</v>
      </c>
      <c r="C8" s="147" t="s">
        <v>31</v>
      </c>
      <c r="D8" s="148">
        <f>SUM(D10,D12,D14,D16,D18,D20,D22,D26,D24,D30,D32,D34,D36,D28,D38)</f>
        <v>852672</v>
      </c>
      <c r="E8" s="148">
        <f>SUM(E10,E12,E14,E16,E18,E20,E22,E26,E24,E30,E32,E34,E36,E28,E38)</f>
        <v>61907</v>
      </c>
      <c r="F8" s="148">
        <f>SUM(F10,F12,F14,F16,F18,F20,F22,F26,F24,F30,F32,F34,F36,F28,F38)</f>
        <v>852672</v>
      </c>
      <c r="G8" s="148">
        <f>SUM(G10,G12,G14,G16,G18,G20,G22,G26,G24,G30,G32,G34,G36,G28,)</f>
        <v>70621</v>
      </c>
      <c r="H8" s="149">
        <f>SUM(H10,H12,H14,H16,H18,H20,H22,H26,H24,H30,H32,H34,H36,H28,)</f>
        <v>820289</v>
      </c>
      <c r="I8" s="150">
        <f t="shared" ref="I8:I9" si="0">G8-E8</f>
        <v>8714</v>
      </c>
      <c r="J8" s="151">
        <f t="shared" ref="J8:J9" si="1">(G8/E8*100)-100</f>
        <v>14.075952638635371</v>
      </c>
      <c r="K8" s="152">
        <f t="shared" ref="K8:K9" si="2">H8-F8</f>
        <v>-32383</v>
      </c>
      <c r="L8" s="153">
        <f t="shared" ref="L8:L9" si="3">(H8/F8*100)-100</f>
        <v>-3.7978261277490049</v>
      </c>
    </row>
    <row r="9" spans="1:35" ht="21.95" customHeight="1" thickBot="1">
      <c r="B9" s="235"/>
      <c r="C9" s="154" t="s">
        <v>32</v>
      </c>
      <c r="D9" s="155">
        <f>SUM(D11,D13,D15,D17,D19,D21,D23,D25,D27,D31,D33,D35,D37,D29,D39)</f>
        <v>13157106</v>
      </c>
      <c r="E9" s="155">
        <f>SUM(E11,E13,E15,E17,E19,E21,E23,E25,E27,E31,E33,E35,E37,E29,E39)</f>
        <v>945421</v>
      </c>
      <c r="F9" s="155">
        <f>SUM(F11,F13,F15,F17,F19,F21,F23,F25,F27,F31,F33,F35,F37,F29,F39)</f>
        <v>13157106</v>
      </c>
      <c r="G9" s="155">
        <f>SUM(G11,G13,G15,G17,G19,G21,G23,G25,G27,G31,G33,G35,G37,G29)</f>
        <v>1043989</v>
      </c>
      <c r="H9" s="156">
        <f>SUM(H11,H13,H15,H17,H19,H21,H23,H25,H27,H31,H33,H35,H37,H29)</f>
        <v>12332332</v>
      </c>
      <c r="I9" s="157">
        <f t="shared" si="0"/>
        <v>98568</v>
      </c>
      <c r="J9" s="158">
        <f t="shared" si="1"/>
        <v>10.425831454981434</v>
      </c>
      <c r="K9" s="159">
        <f t="shared" si="2"/>
        <v>-824774</v>
      </c>
      <c r="L9" s="160">
        <f t="shared" si="3"/>
        <v>-6.2686581684452563</v>
      </c>
    </row>
    <row r="10" spans="1:35" ht="21.2" customHeight="1">
      <c r="B10" s="236" t="s">
        <v>33</v>
      </c>
      <c r="C10" s="195" t="s">
        <v>31</v>
      </c>
      <c r="D10" s="196">
        <v>56152</v>
      </c>
      <c r="E10" s="197">
        <v>4732</v>
      </c>
      <c r="F10" s="197">
        <v>56152</v>
      </c>
      <c r="G10" s="198">
        <v>4538</v>
      </c>
      <c r="H10" s="197">
        <v>55094</v>
      </c>
      <c r="I10" s="199">
        <f>IFERROR(G10-E10,"-")</f>
        <v>-194</v>
      </c>
      <c r="J10" s="200">
        <f>IFERROR((G10/E10*100)-100,"-")</f>
        <v>-4.0997464074387153</v>
      </c>
      <c r="K10" s="201">
        <f>IFERROR(H10-F10,"-")</f>
        <v>-1058</v>
      </c>
      <c r="L10" s="202">
        <f>IFERROR((H10/F10*100)-100,"-")</f>
        <v>-1.8841715344066046</v>
      </c>
      <c r="M10" s="30"/>
      <c r="O10" s="20" t="s">
        <v>51</v>
      </c>
      <c r="U10" s="187"/>
      <c r="V10" s="187"/>
    </row>
    <row r="11" spans="1:35" ht="21.2" customHeight="1">
      <c r="B11" s="237"/>
      <c r="C11" s="125" t="s">
        <v>32</v>
      </c>
      <c r="D11" s="126">
        <v>1063612</v>
      </c>
      <c r="E11" s="127">
        <v>91998</v>
      </c>
      <c r="F11" s="127">
        <v>1063612</v>
      </c>
      <c r="G11" s="128">
        <v>83378</v>
      </c>
      <c r="H11" s="127">
        <v>1043982</v>
      </c>
      <c r="I11" s="129">
        <f t="shared" ref="I11:I39" si="4">IFERROR(G11-E11,"-")</f>
        <v>-8620</v>
      </c>
      <c r="J11" s="130">
        <f t="shared" ref="J11:J39" si="5">IFERROR((G11/E11*100)-100,"-")</f>
        <v>-9.3697689080197364</v>
      </c>
      <c r="K11" s="131">
        <f t="shared" ref="K11:K39" si="6">IFERROR(H11-F11,"-")</f>
        <v>-19630</v>
      </c>
      <c r="L11" s="134">
        <f t="shared" ref="L11:L39" si="7">IFERROR((H11/F11*100)-100,"-")</f>
        <v>-1.8455978307879093</v>
      </c>
      <c r="O11" s="20" t="s">
        <v>51</v>
      </c>
      <c r="U11" s="187"/>
      <c r="V11" s="187"/>
    </row>
    <row r="12" spans="1:35" ht="21.2" customHeight="1">
      <c r="B12" s="237" t="s">
        <v>34</v>
      </c>
      <c r="C12" s="161" t="s">
        <v>31</v>
      </c>
      <c r="D12" s="162">
        <v>70331</v>
      </c>
      <c r="E12" s="163">
        <v>5099</v>
      </c>
      <c r="F12" s="163">
        <v>70331</v>
      </c>
      <c r="G12" s="164">
        <v>4033</v>
      </c>
      <c r="H12" s="163">
        <v>45643</v>
      </c>
      <c r="I12" s="165">
        <f t="shared" si="4"/>
        <v>-1066</v>
      </c>
      <c r="J12" s="166">
        <f t="shared" si="5"/>
        <v>-20.906060011767011</v>
      </c>
      <c r="K12" s="167">
        <f t="shared" si="6"/>
        <v>-24688</v>
      </c>
      <c r="L12" s="168">
        <f t="shared" si="7"/>
        <v>-35.102586341726976</v>
      </c>
      <c r="O12" s="20" t="s">
        <v>52</v>
      </c>
      <c r="U12" s="187"/>
      <c r="V12" s="187"/>
      <c r="AC12" s="34" t="s">
        <v>81</v>
      </c>
      <c r="AD12" s="34" t="s">
        <v>82</v>
      </c>
      <c r="AE12" s="34" t="s">
        <v>83</v>
      </c>
      <c r="AF12" s="34" t="s">
        <v>84</v>
      </c>
      <c r="AG12" s="34" t="s">
        <v>85</v>
      </c>
    </row>
    <row r="13" spans="1:35" ht="21.2" customHeight="1">
      <c r="B13" s="237"/>
      <c r="C13" s="125" t="s">
        <v>32</v>
      </c>
      <c r="D13" s="126">
        <v>1023659</v>
      </c>
      <c r="E13" s="127">
        <v>77218</v>
      </c>
      <c r="F13" s="127">
        <v>1023659</v>
      </c>
      <c r="G13" s="128">
        <v>56668</v>
      </c>
      <c r="H13" s="127">
        <v>634252</v>
      </c>
      <c r="I13" s="129">
        <f t="shared" si="4"/>
        <v>-20550</v>
      </c>
      <c r="J13" s="130">
        <f t="shared" si="5"/>
        <v>-26.612965888782398</v>
      </c>
      <c r="K13" s="131">
        <f t="shared" si="6"/>
        <v>-389407</v>
      </c>
      <c r="L13" s="134">
        <f t="shared" si="7"/>
        <v>-38.040695192442008</v>
      </c>
      <c r="O13" s="20" t="s">
        <v>52</v>
      </c>
      <c r="U13" s="187"/>
      <c r="V13" s="187"/>
      <c r="AC13" s="33" t="s">
        <v>86</v>
      </c>
      <c r="AD13" s="35">
        <f>E10+E12</f>
        <v>9831</v>
      </c>
      <c r="AE13" s="35">
        <f>F10+F12</f>
        <v>126483</v>
      </c>
      <c r="AF13" s="35">
        <f>G10+G12</f>
        <v>8571</v>
      </c>
      <c r="AG13" s="35">
        <f>H10+H12</f>
        <v>100737</v>
      </c>
      <c r="AH13" s="36">
        <f t="shared" ref="AH13:AI15" si="8">(AF13/AD13*100)-100</f>
        <v>-12.816600549282882</v>
      </c>
      <c r="AI13" s="36">
        <f t="shared" si="8"/>
        <v>-20.355304665449111</v>
      </c>
    </row>
    <row r="14" spans="1:35" ht="21.2" customHeight="1">
      <c r="B14" s="237" t="s">
        <v>72</v>
      </c>
      <c r="C14" s="161" t="s">
        <v>31</v>
      </c>
      <c r="D14" s="162">
        <v>11</v>
      </c>
      <c r="E14" s="169">
        <v>0</v>
      </c>
      <c r="F14" s="163">
        <v>11</v>
      </c>
      <c r="G14" s="169">
        <v>0</v>
      </c>
      <c r="H14" s="169">
        <v>0</v>
      </c>
      <c r="I14" s="165">
        <f t="shared" si="4"/>
        <v>0</v>
      </c>
      <c r="J14" s="166" t="str">
        <f t="shared" si="5"/>
        <v>-</v>
      </c>
      <c r="K14" s="167">
        <f t="shared" si="6"/>
        <v>-11</v>
      </c>
      <c r="L14" s="168">
        <f t="shared" si="7"/>
        <v>-100</v>
      </c>
      <c r="O14" s="20" t="s">
        <v>73</v>
      </c>
      <c r="U14" s="187"/>
      <c r="V14" s="187"/>
      <c r="AC14" s="33" t="s">
        <v>87</v>
      </c>
      <c r="AD14" s="35">
        <f>E18+E20+E22</f>
        <v>31624</v>
      </c>
      <c r="AE14" s="35">
        <f>F18+F20+F22</f>
        <v>455583</v>
      </c>
      <c r="AF14" s="35">
        <f>G18+G20+G22</f>
        <v>43373</v>
      </c>
      <c r="AG14" s="35">
        <f>H18+H20+H22</f>
        <v>495702</v>
      </c>
      <c r="AH14" s="36">
        <f t="shared" si="8"/>
        <v>37.152162914242354</v>
      </c>
      <c r="AI14" s="36">
        <f t="shared" si="8"/>
        <v>8.8060792435187523</v>
      </c>
    </row>
    <row r="15" spans="1:35" ht="21.2" customHeight="1">
      <c r="B15" s="237"/>
      <c r="C15" s="125" t="s">
        <v>32</v>
      </c>
      <c r="D15" s="126">
        <v>39</v>
      </c>
      <c r="E15" s="132">
        <v>0</v>
      </c>
      <c r="F15" s="127">
        <v>39</v>
      </c>
      <c r="G15" s="132">
        <v>0</v>
      </c>
      <c r="H15" s="132">
        <v>0</v>
      </c>
      <c r="I15" s="129">
        <f t="shared" si="4"/>
        <v>0</v>
      </c>
      <c r="J15" s="130" t="str">
        <f t="shared" si="5"/>
        <v>-</v>
      </c>
      <c r="K15" s="131">
        <f t="shared" si="6"/>
        <v>-39</v>
      </c>
      <c r="L15" s="134">
        <f t="shared" si="7"/>
        <v>-100</v>
      </c>
      <c r="O15" s="20" t="s">
        <v>73</v>
      </c>
      <c r="AC15" s="33" t="s">
        <v>80</v>
      </c>
      <c r="AD15" s="35">
        <f>E32+E34+E36</f>
        <v>20452</v>
      </c>
      <c r="AE15" s="35">
        <f>F32+F34+F36</f>
        <v>270196</v>
      </c>
      <c r="AF15" s="35">
        <f>G32+G34+G36</f>
        <v>18677</v>
      </c>
      <c r="AG15" s="35">
        <f>H32+H34+H36</f>
        <v>223850</v>
      </c>
      <c r="AH15" s="36">
        <f t="shared" si="8"/>
        <v>-8.6788578134167835</v>
      </c>
      <c r="AI15" s="36">
        <f t="shared" si="8"/>
        <v>-17.152733571185365</v>
      </c>
    </row>
    <row r="16" spans="1:35" ht="21.2" customHeight="1">
      <c r="B16" s="237" t="s">
        <v>46</v>
      </c>
      <c r="C16" s="161" t="s">
        <v>31</v>
      </c>
      <c r="D16" s="169">
        <v>0</v>
      </c>
      <c r="E16" s="169">
        <v>0</v>
      </c>
      <c r="F16" s="169">
        <v>0</v>
      </c>
      <c r="G16" s="169">
        <v>0</v>
      </c>
      <c r="H16" s="169">
        <v>0</v>
      </c>
      <c r="I16" s="165">
        <f t="shared" si="4"/>
        <v>0</v>
      </c>
      <c r="J16" s="166" t="str">
        <f t="shared" si="5"/>
        <v>-</v>
      </c>
      <c r="K16" s="167">
        <f t="shared" si="6"/>
        <v>0</v>
      </c>
      <c r="L16" s="168" t="str">
        <f t="shared" si="7"/>
        <v>-</v>
      </c>
      <c r="O16" s="20" t="s">
        <v>53</v>
      </c>
    </row>
    <row r="17" spans="2:15" ht="21.2" customHeight="1">
      <c r="B17" s="237"/>
      <c r="C17" s="125" t="s">
        <v>45</v>
      </c>
      <c r="D17" s="132">
        <v>0</v>
      </c>
      <c r="E17" s="132">
        <v>0</v>
      </c>
      <c r="F17" s="132">
        <v>0</v>
      </c>
      <c r="G17" s="132">
        <v>0</v>
      </c>
      <c r="H17" s="132">
        <v>0</v>
      </c>
      <c r="I17" s="129">
        <f t="shared" si="4"/>
        <v>0</v>
      </c>
      <c r="J17" s="130" t="str">
        <f t="shared" si="5"/>
        <v>-</v>
      </c>
      <c r="K17" s="131">
        <f t="shared" si="6"/>
        <v>0</v>
      </c>
      <c r="L17" s="134" t="str">
        <f t="shared" si="7"/>
        <v>-</v>
      </c>
      <c r="O17" s="20" t="s">
        <v>53</v>
      </c>
    </row>
    <row r="18" spans="2:15" ht="21.2" customHeight="1">
      <c r="B18" s="237" t="s">
        <v>35</v>
      </c>
      <c r="C18" s="161" t="s">
        <v>31</v>
      </c>
      <c r="D18" s="162">
        <v>128115</v>
      </c>
      <c r="E18" s="163">
        <v>8936</v>
      </c>
      <c r="F18" s="163">
        <v>128115</v>
      </c>
      <c r="G18" s="164">
        <v>12929</v>
      </c>
      <c r="H18" s="163">
        <v>128500</v>
      </c>
      <c r="I18" s="165">
        <f t="shared" si="4"/>
        <v>3993</v>
      </c>
      <c r="J18" s="166">
        <f t="shared" si="5"/>
        <v>44.684422560429738</v>
      </c>
      <c r="K18" s="167">
        <f t="shared" si="6"/>
        <v>385</v>
      </c>
      <c r="L18" s="168">
        <f t="shared" si="7"/>
        <v>0.30051125941537293</v>
      </c>
      <c r="M18" s="30"/>
      <c r="O18" s="20" t="s">
        <v>54</v>
      </c>
    </row>
    <row r="19" spans="2:15" ht="21.2" customHeight="1">
      <c r="B19" s="237"/>
      <c r="C19" s="125" t="s">
        <v>32</v>
      </c>
      <c r="D19" s="126">
        <v>2032503</v>
      </c>
      <c r="E19" s="127">
        <v>136213</v>
      </c>
      <c r="F19" s="127">
        <v>2032503</v>
      </c>
      <c r="G19" s="128">
        <v>204924</v>
      </c>
      <c r="H19" s="127">
        <v>2073957</v>
      </c>
      <c r="I19" s="129">
        <f t="shared" si="4"/>
        <v>68711</v>
      </c>
      <c r="J19" s="130">
        <f t="shared" si="5"/>
        <v>50.443790240285438</v>
      </c>
      <c r="K19" s="131">
        <f t="shared" si="6"/>
        <v>41454</v>
      </c>
      <c r="L19" s="134">
        <f t="shared" si="7"/>
        <v>2.039554185159858</v>
      </c>
      <c r="O19" s="20" t="s">
        <v>55</v>
      </c>
    </row>
    <row r="20" spans="2:15" ht="21.2" customHeight="1">
      <c r="B20" s="237" t="s">
        <v>42</v>
      </c>
      <c r="C20" s="161" t="s">
        <v>31</v>
      </c>
      <c r="D20" s="162">
        <v>206399</v>
      </c>
      <c r="E20" s="163">
        <v>16547</v>
      </c>
      <c r="F20" s="163">
        <v>206399</v>
      </c>
      <c r="G20" s="164">
        <v>19780</v>
      </c>
      <c r="H20" s="163">
        <v>206337</v>
      </c>
      <c r="I20" s="165">
        <f t="shared" si="4"/>
        <v>3233</v>
      </c>
      <c r="J20" s="166">
        <f t="shared" si="5"/>
        <v>19.538284885477736</v>
      </c>
      <c r="K20" s="167">
        <f t="shared" si="6"/>
        <v>-62</v>
      </c>
      <c r="L20" s="168">
        <f t="shared" si="7"/>
        <v>-3.0038905227257828E-2</v>
      </c>
      <c r="O20" s="20" t="s">
        <v>56</v>
      </c>
    </row>
    <row r="21" spans="2:15" ht="21.2" customHeight="1">
      <c r="B21" s="237"/>
      <c r="C21" s="125" t="s">
        <v>32</v>
      </c>
      <c r="D21" s="126">
        <v>2901285</v>
      </c>
      <c r="E21" s="127">
        <v>241423</v>
      </c>
      <c r="F21" s="127">
        <v>2901285</v>
      </c>
      <c r="G21" s="128">
        <v>278432</v>
      </c>
      <c r="H21" s="127">
        <v>2793148</v>
      </c>
      <c r="I21" s="129">
        <f t="shared" si="4"/>
        <v>37009</v>
      </c>
      <c r="J21" s="130">
        <f t="shared" si="5"/>
        <v>15.32952535591059</v>
      </c>
      <c r="K21" s="131">
        <f t="shared" si="6"/>
        <v>-108137</v>
      </c>
      <c r="L21" s="134">
        <f t="shared" si="7"/>
        <v>-3.7272105291276176</v>
      </c>
      <c r="O21" s="20" t="s">
        <v>57</v>
      </c>
    </row>
    <row r="22" spans="2:15" ht="21.2" customHeight="1">
      <c r="B22" s="237" t="s">
        <v>36</v>
      </c>
      <c r="C22" s="161" t="s">
        <v>31</v>
      </c>
      <c r="D22" s="162">
        <v>121069</v>
      </c>
      <c r="E22" s="163">
        <v>6141</v>
      </c>
      <c r="F22" s="163">
        <v>121069</v>
      </c>
      <c r="G22" s="164">
        <v>10664</v>
      </c>
      <c r="H22" s="163">
        <v>160865</v>
      </c>
      <c r="I22" s="165">
        <f t="shared" si="4"/>
        <v>4523</v>
      </c>
      <c r="J22" s="166">
        <f t="shared" si="5"/>
        <v>73.652499592900199</v>
      </c>
      <c r="K22" s="167">
        <f t="shared" si="6"/>
        <v>39796</v>
      </c>
      <c r="L22" s="168">
        <f t="shared" si="7"/>
        <v>32.870511856874998</v>
      </c>
      <c r="O22" s="20" t="s">
        <v>58</v>
      </c>
    </row>
    <row r="23" spans="2:15" ht="21.2" customHeight="1">
      <c r="B23" s="237"/>
      <c r="C23" s="125" t="s">
        <v>32</v>
      </c>
      <c r="D23" s="126">
        <v>1945176</v>
      </c>
      <c r="E23" s="132">
        <v>94528</v>
      </c>
      <c r="F23" s="127">
        <v>1945176</v>
      </c>
      <c r="G23" s="128">
        <v>140632</v>
      </c>
      <c r="H23" s="127">
        <v>2398781</v>
      </c>
      <c r="I23" s="129">
        <f t="shared" si="4"/>
        <v>46104</v>
      </c>
      <c r="J23" s="130">
        <f t="shared" si="5"/>
        <v>48.772850372376439</v>
      </c>
      <c r="K23" s="131">
        <f t="shared" si="6"/>
        <v>453605</v>
      </c>
      <c r="L23" s="134">
        <f t="shared" si="7"/>
        <v>23.31948368682319</v>
      </c>
      <c r="O23" s="20" t="s">
        <v>59</v>
      </c>
    </row>
    <row r="24" spans="2:15" ht="21.2" customHeight="1">
      <c r="B24" s="237" t="s">
        <v>48</v>
      </c>
      <c r="C24" s="161" t="s">
        <v>31</v>
      </c>
      <c r="D24" s="169">
        <v>0</v>
      </c>
      <c r="E24" s="169">
        <v>0</v>
      </c>
      <c r="F24" s="169">
        <v>0</v>
      </c>
      <c r="G24" s="169">
        <v>0</v>
      </c>
      <c r="H24" s="169">
        <v>0</v>
      </c>
      <c r="I24" s="165">
        <f t="shared" si="4"/>
        <v>0</v>
      </c>
      <c r="J24" s="166" t="str">
        <f t="shared" si="5"/>
        <v>-</v>
      </c>
      <c r="K24" s="167">
        <f t="shared" si="6"/>
        <v>0</v>
      </c>
      <c r="L24" s="168" t="str">
        <f t="shared" si="7"/>
        <v>-</v>
      </c>
      <c r="O24" s="20" t="s">
        <v>60</v>
      </c>
    </row>
    <row r="25" spans="2:15" ht="21.2" customHeight="1">
      <c r="B25" s="237"/>
      <c r="C25" s="133" t="s">
        <v>32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29">
        <f t="shared" si="4"/>
        <v>0</v>
      </c>
      <c r="J25" s="130" t="str">
        <f t="shared" si="5"/>
        <v>-</v>
      </c>
      <c r="K25" s="131">
        <f t="shared" si="6"/>
        <v>0</v>
      </c>
      <c r="L25" s="134" t="str">
        <f t="shared" si="7"/>
        <v>-</v>
      </c>
      <c r="O25" s="20" t="s">
        <v>61</v>
      </c>
    </row>
    <row r="26" spans="2:15" ht="21.2" customHeight="1">
      <c r="B26" s="237" t="s">
        <v>71</v>
      </c>
      <c r="C26" s="161" t="s">
        <v>31</v>
      </c>
      <c r="D26" s="169">
        <v>0</v>
      </c>
      <c r="E26" s="169">
        <v>0</v>
      </c>
      <c r="F26" s="169">
        <v>0</v>
      </c>
      <c r="G26" s="169">
        <v>0</v>
      </c>
      <c r="H26" s="169">
        <v>0</v>
      </c>
      <c r="I26" s="165">
        <f t="shared" si="4"/>
        <v>0</v>
      </c>
      <c r="J26" s="166" t="str">
        <f t="shared" si="5"/>
        <v>-</v>
      </c>
      <c r="K26" s="167">
        <f t="shared" si="6"/>
        <v>0</v>
      </c>
      <c r="L26" s="168" t="str">
        <f t="shared" si="7"/>
        <v>-</v>
      </c>
      <c r="O26" s="20" t="s">
        <v>74</v>
      </c>
    </row>
    <row r="27" spans="2:15" ht="21.2" customHeight="1">
      <c r="B27" s="237"/>
      <c r="C27" s="125" t="s">
        <v>32</v>
      </c>
      <c r="D27" s="132">
        <v>0</v>
      </c>
      <c r="E27" s="132">
        <v>0</v>
      </c>
      <c r="F27" s="132">
        <v>0</v>
      </c>
      <c r="G27" s="132">
        <v>0</v>
      </c>
      <c r="H27" s="132">
        <v>0</v>
      </c>
      <c r="I27" s="129">
        <f t="shared" si="4"/>
        <v>0</v>
      </c>
      <c r="J27" s="130" t="str">
        <f t="shared" si="5"/>
        <v>-</v>
      </c>
      <c r="K27" s="131">
        <f t="shared" si="6"/>
        <v>0</v>
      </c>
      <c r="L27" s="134" t="str">
        <f t="shared" si="7"/>
        <v>-</v>
      </c>
      <c r="O27" s="20" t="s">
        <v>74</v>
      </c>
    </row>
    <row r="28" spans="2:15" ht="21.2" customHeight="1">
      <c r="B28" s="237" t="s">
        <v>43</v>
      </c>
      <c r="C28" s="161" t="s">
        <v>44</v>
      </c>
      <c r="D28" s="162">
        <v>107</v>
      </c>
      <c r="E28" s="169">
        <v>0</v>
      </c>
      <c r="F28" s="163">
        <v>107</v>
      </c>
      <c r="G28" s="169">
        <v>0</v>
      </c>
      <c r="H28" s="169">
        <v>0</v>
      </c>
      <c r="I28" s="165">
        <f t="shared" si="4"/>
        <v>0</v>
      </c>
      <c r="J28" s="166" t="str">
        <f t="shared" si="5"/>
        <v>-</v>
      </c>
      <c r="K28" s="167">
        <f t="shared" si="6"/>
        <v>-107</v>
      </c>
      <c r="L28" s="168">
        <f t="shared" si="7"/>
        <v>-100</v>
      </c>
      <c r="O28" s="20" t="s">
        <v>62</v>
      </c>
    </row>
    <row r="29" spans="2:15" ht="21.2" customHeight="1">
      <c r="B29" s="237"/>
      <c r="C29" s="125" t="s">
        <v>45</v>
      </c>
      <c r="D29" s="126">
        <v>244</v>
      </c>
      <c r="E29" s="132">
        <v>0</v>
      </c>
      <c r="F29" s="127">
        <v>244</v>
      </c>
      <c r="G29" s="132">
        <v>0</v>
      </c>
      <c r="H29" s="132">
        <v>0</v>
      </c>
      <c r="I29" s="129">
        <f t="shared" si="4"/>
        <v>0</v>
      </c>
      <c r="J29" s="130" t="str">
        <f t="shared" si="5"/>
        <v>-</v>
      </c>
      <c r="K29" s="131">
        <f t="shared" si="6"/>
        <v>-244</v>
      </c>
      <c r="L29" s="134">
        <f t="shared" si="7"/>
        <v>-100</v>
      </c>
      <c r="O29" s="20" t="s">
        <v>62</v>
      </c>
    </row>
    <row r="30" spans="2:15" ht="21.2" customHeight="1">
      <c r="B30" s="237" t="s">
        <v>38</v>
      </c>
      <c r="C30" s="161" t="s">
        <v>31</v>
      </c>
      <c r="D30" s="162">
        <v>212</v>
      </c>
      <c r="E30" s="169">
        <v>0</v>
      </c>
      <c r="F30" s="163">
        <v>212</v>
      </c>
      <c r="G30" s="169">
        <v>0</v>
      </c>
      <c r="H30" s="169">
        <v>0</v>
      </c>
      <c r="I30" s="165">
        <f t="shared" si="4"/>
        <v>0</v>
      </c>
      <c r="J30" s="166" t="str">
        <f t="shared" si="5"/>
        <v>-</v>
      </c>
      <c r="K30" s="167">
        <f t="shared" si="6"/>
        <v>-212</v>
      </c>
      <c r="L30" s="168">
        <f t="shared" si="7"/>
        <v>-100</v>
      </c>
      <c r="O30" s="20" t="s">
        <v>63</v>
      </c>
    </row>
    <row r="31" spans="2:15" ht="21.2" customHeight="1">
      <c r="B31" s="237"/>
      <c r="C31" s="125" t="s">
        <v>32</v>
      </c>
      <c r="D31" s="126">
        <v>1888</v>
      </c>
      <c r="E31" s="132">
        <v>0</v>
      </c>
      <c r="F31" s="127">
        <v>1888</v>
      </c>
      <c r="G31" s="132">
        <v>0</v>
      </c>
      <c r="H31" s="132">
        <v>0</v>
      </c>
      <c r="I31" s="129">
        <f t="shared" si="4"/>
        <v>0</v>
      </c>
      <c r="J31" s="130" t="str">
        <f t="shared" si="5"/>
        <v>-</v>
      </c>
      <c r="K31" s="131">
        <f t="shared" si="6"/>
        <v>-1888</v>
      </c>
      <c r="L31" s="134">
        <f t="shared" si="7"/>
        <v>-100</v>
      </c>
      <c r="O31" s="20" t="s">
        <v>64</v>
      </c>
    </row>
    <row r="32" spans="2:15" ht="21.2" customHeight="1">
      <c r="B32" s="237" t="s">
        <v>39</v>
      </c>
      <c r="C32" s="161" t="s">
        <v>31</v>
      </c>
      <c r="D32" s="162">
        <v>87855</v>
      </c>
      <c r="E32" s="163">
        <v>5735</v>
      </c>
      <c r="F32" s="163">
        <v>87855</v>
      </c>
      <c r="G32" s="164">
        <v>4202</v>
      </c>
      <c r="H32" s="163">
        <v>53812</v>
      </c>
      <c r="I32" s="165">
        <f t="shared" si="4"/>
        <v>-1533</v>
      </c>
      <c r="J32" s="166">
        <f t="shared" si="5"/>
        <v>-26.730601569311247</v>
      </c>
      <c r="K32" s="167">
        <f t="shared" si="6"/>
        <v>-34043</v>
      </c>
      <c r="L32" s="168">
        <f t="shared" si="7"/>
        <v>-38.749075180695471</v>
      </c>
      <c r="O32" s="20" t="s">
        <v>65</v>
      </c>
    </row>
    <row r="33" spans="2:15" ht="21.2" customHeight="1">
      <c r="B33" s="237"/>
      <c r="C33" s="125" t="s">
        <v>32</v>
      </c>
      <c r="D33" s="126">
        <v>1481921</v>
      </c>
      <c r="E33" s="127">
        <v>93299</v>
      </c>
      <c r="F33" s="127">
        <v>1481921</v>
      </c>
      <c r="G33" s="128">
        <v>69834</v>
      </c>
      <c r="H33" s="127">
        <v>904930</v>
      </c>
      <c r="I33" s="129">
        <f t="shared" si="4"/>
        <v>-23465</v>
      </c>
      <c r="J33" s="130">
        <f t="shared" si="5"/>
        <v>-25.150323154589003</v>
      </c>
      <c r="K33" s="131">
        <f t="shared" si="6"/>
        <v>-576991</v>
      </c>
      <c r="L33" s="134">
        <f t="shared" si="7"/>
        <v>-38.935341357602738</v>
      </c>
      <c r="O33" s="20" t="s">
        <v>66</v>
      </c>
    </row>
    <row r="34" spans="2:15" ht="21.2" customHeight="1">
      <c r="B34" s="237" t="s">
        <v>40</v>
      </c>
      <c r="C34" s="161" t="s">
        <v>31</v>
      </c>
      <c r="D34" s="162">
        <v>136389</v>
      </c>
      <c r="E34" s="163">
        <v>10922</v>
      </c>
      <c r="F34" s="163">
        <v>136389</v>
      </c>
      <c r="G34" s="164">
        <v>10921</v>
      </c>
      <c r="H34" s="163">
        <v>123326</v>
      </c>
      <c r="I34" s="165">
        <f t="shared" si="4"/>
        <v>-1</v>
      </c>
      <c r="J34" s="166">
        <f t="shared" si="5"/>
        <v>-9.1558322651508206E-3</v>
      </c>
      <c r="K34" s="167">
        <f t="shared" si="6"/>
        <v>-13063</v>
      </c>
      <c r="L34" s="168">
        <f t="shared" si="7"/>
        <v>-9.5777518714852476</v>
      </c>
      <c r="O34" s="20" t="s">
        <v>67</v>
      </c>
    </row>
    <row r="35" spans="2:15" ht="21.2" customHeight="1">
      <c r="B35" s="237"/>
      <c r="C35" s="125" t="s">
        <v>32</v>
      </c>
      <c r="D35" s="126">
        <v>1982852</v>
      </c>
      <c r="E35" s="127">
        <v>153423</v>
      </c>
      <c r="F35" s="127">
        <v>1982852</v>
      </c>
      <c r="G35" s="128">
        <v>157941</v>
      </c>
      <c r="H35" s="127">
        <v>1781224</v>
      </c>
      <c r="I35" s="129">
        <f t="shared" si="4"/>
        <v>4518</v>
      </c>
      <c r="J35" s="130">
        <f t="shared" si="5"/>
        <v>2.9447996714964546</v>
      </c>
      <c r="K35" s="131">
        <f t="shared" si="6"/>
        <v>-201628</v>
      </c>
      <c r="L35" s="134">
        <f t="shared" si="7"/>
        <v>-10.168585451662565</v>
      </c>
      <c r="O35" s="20" t="s">
        <v>68</v>
      </c>
    </row>
    <row r="36" spans="2:15" ht="21.2" customHeight="1">
      <c r="B36" s="237" t="s">
        <v>41</v>
      </c>
      <c r="C36" s="161" t="s">
        <v>31</v>
      </c>
      <c r="D36" s="162">
        <v>45952</v>
      </c>
      <c r="E36" s="163">
        <v>3795</v>
      </c>
      <c r="F36" s="163">
        <v>45952</v>
      </c>
      <c r="G36" s="164">
        <v>3554</v>
      </c>
      <c r="H36" s="163">
        <v>46712</v>
      </c>
      <c r="I36" s="165">
        <f t="shared" si="4"/>
        <v>-241</v>
      </c>
      <c r="J36" s="166">
        <f t="shared" si="5"/>
        <v>-6.3504611330698282</v>
      </c>
      <c r="K36" s="167">
        <f t="shared" si="6"/>
        <v>760</v>
      </c>
      <c r="L36" s="168">
        <f t="shared" si="7"/>
        <v>1.6538997214484681</v>
      </c>
      <c r="O36" s="20" t="s">
        <v>69</v>
      </c>
    </row>
    <row r="37" spans="2:15" ht="21.2" customHeight="1">
      <c r="B37" s="237"/>
      <c r="C37" s="125" t="s">
        <v>32</v>
      </c>
      <c r="D37" s="126">
        <v>722543</v>
      </c>
      <c r="E37" s="127">
        <v>57319</v>
      </c>
      <c r="F37" s="127">
        <v>722543</v>
      </c>
      <c r="G37" s="128">
        <v>52180</v>
      </c>
      <c r="H37" s="127">
        <v>702058</v>
      </c>
      <c r="I37" s="129">
        <f t="shared" si="4"/>
        <v>-5139</v>
      </c>
      <c r="J37" s="130">
        <f t="shared" si="5"/>
        <v>-8.9656134963973528</v>
      </c>
      <c r="K37" s="131">
        <f t="shared" si="6"/>
        <v>-20485</v>
      </c>
      <c r="L37" s="134">
        <f t="shared" si="7"/>
        <v>-2.8351253835411967</v>
      </c>
      <c r="O37" s="20" t="s">
        <v>70</v>
      </c>
    </row>
    <row r="38" spans="2:15" ht="21.2" customHeight="1">
      <c r="B38" s="237" t="s">
        <v>79</v>
      </c>
      <c r="C38" s="161" t="s">
        <v>31</v>
      </c>
      <c r="D38" s="162">
        <v>80</v>
      </c>
      <c r="E38" s="169">
        <v>0</v>
      </c>
      <c r="F38" s="163">
        <v>80</v>
      </c>
      <c r="G38" s="169">
        <v>0</v>
      </c>
      <c r="H38" s="169">
        <v>0</v>
      </c>
      <c r="I38" s="165">
        <f t="shared" si="4"/>
        <v>0</v>
      </c>
      <c r="J38" s="166" t="str">
        <f t="shared" si="5"/>
        <v>-</v>
      </c>
      <c r="K38" s="167">
        <f t="shared" si="6"/>
        <v>-80</v>
      </c>
      <c r="L38" s="168">
        <f t="shared" si="7"/>
        <v>-100</v>
      </c>
    </row>
    <row r="39" spans="2:15" ht="21.2" customHeight="1">
      <c r="B39" s="242"/>
      <c r="C39" s="135" t="s">
        <v>32</v>
      </c>
      <c r="D39" s="136">
        <v>1384</v>
      </c>
      <c r="E39" s="203">
        <v>0</v>
      </c>
      <c r="F39" s="137">
        <v>1384</v>
      </c>
      <c r="G39" s="203">
        <v>0</v>
      </c>
      <c r="H39" s="203">
        <v>0</v>
      </c>
      <c r="I39" s="138">
        <f t="shared" si="4"/>
        <v>0</v>
      </c>
      <c r="J39" s="139" t="str">
        <f t="shared" si="5"/>
        <v>-</v>
      </c>
      <c r="K39" s="140">
        <f t="shared" si="6"/>
        <v>-1384</v>
      </c>
      <c r="L39" s="141">
        <f t="shared" si="7"/>
        <v>-100</v>
      </c>
    </row>
    <row r="40" spans="2:15">
      <c r="E40" s="20"/>
      <c r="H40" s="32"/>
    </row>
    <row r="41" spans="2:15">
      <c r="E41" s="20"/>
      <c r="H41" s="32"/>
    </row>
    <row r="42" spans="2:15">
      <c r="E42" s="20"/>
      <c r="H42" s="32"/>
    </row>
    <row r="43" spans="2:15">
      <c r="E43" s="20"/>
      <c r="H43" s="32"/>
    </row>
    <row r="44" spans="2:15">
      <c r="E44" s="20"/>
      <c r="H44" s="32"/>
    </row>
    <row r="45" spans="2:15">
      <c r="E45" s="20"/>
      <c r="H45" s="32"/>
    </row>
    <row r="46" spans="2:15">
      <c r="E46" s="20"/>
      <c r="H46" s="32"/>
    </row>
  </sheetData>
  <mergeCells count="22">
    <mergeCell ref="B38:B39"/>
    <mergeCell ref="D6:F6"/>
    <mergeCell ref="B28:B29"/>
    <mergeCell ref="B30:B31"/>
    <mergeCell ref="B32:B33"/>
    <mergeCell ref="B34:B35"/>
    <mergeCell ref="B36:B37"/>
    <mergeCell ref="B12:B13"/>
    <mergeCell ref="B14:B15"/>
    <mergeCell ref="B16:B17"/>
    <mergeCell ref="B18:B19"/>
    <mergeCell ref="B20:B21"/>
    <mergeCell ref="B22:B23"/>
    <mergeCell ref="B24:B25"/>
    <mergeCell ref="B26:B27"/>
    <mergeCell ref="B3:L3"/>
    <mergeCell ref="B6:B7"/>
    <mergeCell ref="B8:B9"/>
    <mergeCell ref="B10:B11"/>
    <mergeCell ref="I6:L6"/>
    <mergeCell ref="C6:C7"/>
    <mergeCell ref="G6:H6"/>
  </mergeCells>
  <phoneticPr fontId="20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2023-11-01T07:56:07Z</cp:lastPrinted>
  <dcterms:created xsi:type="dcterms:W3CDTF">1998-03-31T03:01:22Z</dcterms:created>
  <dcterms:modified xsi:type="dcterms:W3CDTF">2024-01-28T08:19:06Z</dcterms:modified>
</cp:coreProperties>
</file>