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H16" i="21" l="1"/>
  <c r="I18" i="21" l="1"/>
  <c r="I17" i="21"/>
  <c r="I15" i="21"/>
  <c r="I13" i="21"/>
  <c r="I14" i="21"/>
  <c r="I22" i="21" l="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1" i="2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<sst xmlns="http://schemas.openxmlformats.org/spreadsheetml/2006/main" count="159" uniqueCount="112">
  <si>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</si>
  <si>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</si>
  <si>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</si>
  <si>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</si>
  <si>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</si>
  <si>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</si>
  <si>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</si>
  <si>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</si>
  <si>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</si>
  <si>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</si>
  <si>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</si>
  <si>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</si>
  <si>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</si>
  <si>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</si>
  <si>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</si>
  <si>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</si>
  <si>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</si>
  <si>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</si>
  <si>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</si>
  <si>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</si>
  <si>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</si>
  <si>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</si>
  <si>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</si>
  <si>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</si>
  <si>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</si>
  <si>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</si>
  <si>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</si>
  <si>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</si>
  <si>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</si>
  <si>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</si>
  <si>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</si>
  <si>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</si>
  <si>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</si>
  <si>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</si>
  <si>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</si>
  <si>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</si>
  <si>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</si>
  <si>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</si>
  <si>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</si>
  <si>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</si>
  <si>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</si>
  <si>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</si>
  <si>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</si>
  <si>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</si>
  <si>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</si>
  <si>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</si>
  <si>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</si>
  <si>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</si>
  <si>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</si>
  <si>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</si>
  <si>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</si>
  <si>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</si>
  <si>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</si>
  <si>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</si>
  <si>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</si>
  <si>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</si>
  <si>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</si>
  <si>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</si>
  <si>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</si>
  <si>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</si>
  <si>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</si>
  <si>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</si>
  <si>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</si>
  <si>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</si>
  <si>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</si>
  <si>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</si>
  <si>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</si>
  <si>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</si>
  <si>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</si>
  <si>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</si>
  <si>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</si>
  <si>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</si>
  <si>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</si>
  <si>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</si>
  <si>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</si>
  <si>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</si>
  <si>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</si>
  <si>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</si>
  <si>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</si>
  <si>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</si>
  <si>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</si>
  <si>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</si>
  <si>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</si>
  <si>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</si>
  <si>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</si>
  <si>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</si>
  <si>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</si>
  <si>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</si>
  <si>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</si>
  <si>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</si>
  <si>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</si>
  <si>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</si>
  <si>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</si>
  <si>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</si>
  <si>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</si>
  <si>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</si>
  <si>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</si>
  <si>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</si>
  <si>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</si>
  <si>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</si>
  <si>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</si>
  <si>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2024년도</t>
    <phoneticPr fontId="9" type="noConversion"/>
  </si>
  <si>
    <t xml:space="preserve"> </t>
    <phoneticPr fontId="20" type="noConversion"/>
  </si>
  <si>
    <t>항만운영통계(6월)</t>
    <phoneticPr fontId="9" type="noConversion"/>
  </si>
  <si>
    <t>6월(A)</t>
    <phoneticPr fontId="9" type="noConversion"/>
  </si>
  <si>
    <t xml:space="preserve"> 6월누계(B) </t>
    <phoneticPr fontId="9" type="noConversion"/>
  </si>
  <si>
    <t>6월(C)</t>
    <phoneticPr fontId="9" type="noConversion"/>
  </si>
  <si>
    <t xml:space="preserve"> 6월누계(D) </t>
    <phoneticPr fontId="9" type="noConversion"/>
  </si>
  <si>
    <t>부두별 컨테이너 물동량(6월)</t>
    <phoneticPr fontId="21" type="noConversion"/>
  </si>
  <si>
    <t>2024년도</t>
    <phoneticPr fontId="9" type="noConversion"/>
  </si>
  <si>
    <t>2025년도</t>
    <phoneticPr fontId="9" type="noConversion"/>
  </si>
  <si>
    <t>2025.6.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</si>
</sst>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60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</cellStyleXfs>
  <cellXfs count="273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8" fillId="0" borderId="0" xfId="17" applyFont="1" applyAlignment="1">
      <alignment horizontal="right" vertical="center"/>
    </xf>
    <xf numFmtId="180" fontId="8" fillId="0" borderId="0" xfId="17" applyNumberFormat="1" applyFont="1" applyAlignment="1">
      <alignment horizontal="right"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90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176" fontId="8" fillId="4" borderId="6" xfId="0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81" fontId="17" fillId="8" borderId="6" xfId="0" applyNumberFormat="1" applyFont="1" applyFill="1" applyBorder="1" applyAlignment="1">
      <alignment horizontal="right" vertical="center"/>
    </xf>
    <xf numFmtId="176" fontId="14" fillId="4" borderId="6" xfId="0" applyNumberFormat="1" applyFont="1" applyFill="1" applyBorder="1" applyAlignment="1">
      <alignment horizontal="center" vertical="center"/>
    </xf>
    <xf numFmtId="182" fontId="14" fillId="0" borderId="6" xfId="0" applyNumberFormat="1" applyFont="1" applyBorder="1" applyAlignment="1">
      <alignment horizontal="right" vertical="center"/>
    </xf>
    <xf numFmtId="182" fontId="14" fillId="0" borderId="6" xfId="0" applyNumberFormat="1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center" vertical="center"/>
    </xf>
    <xf numFmtId="182" fontId="8" fillId="4" borderId="6" xfId="0" applyNumberFormat="1" applyFont="1" applyFill="1" applyBorder="1" applyAlignment="1">
      <alignment horizontal="right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right" vertical="center"/>
    </xf>
    <xf numFmtId="176" fontId="15" fillId="6" borderId="8" xfId="0" quotePrefix="1" applyNumberFormat="1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182" fontId="15" fillId="8" borderId="23" xfId="0" applyNumberFormat="1" applyFont="1" applyFill="1" applyBorder="1" applyAlignment="1">
      <alignment horizontal="right" vertical="center"/>
    </xf>
    <xf numFmtId="182" fontId="17" fillId="8" borderId="23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right" vertical="center"/>
    </xf>
    <xf numFmtId="176" fontId="28" fillId="4" borderId="19" xfId="0" applyNumberFormat="1" applyFont="1" applyFill="1" applyBorder="1" applyAlignment="1">
      <alignment horizontal="center" vertical="center"/>
    </xf>
    <xf numFmtId="181" fontId="15" fillId="8" borderId="23" xfId="0" applyNumberFormat="1" applyFont="1" applyFill="1" applyBorder="1" applyAlignment="1">
      <alignment horizontal="right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176" fontId="30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41" fontId="22" fillId="8" borderId="28" xfId="15" applyNumberFormat="1" applyFont="1" applyFill="1" applyBorder="1" applyAlignment="1">
      <alignment horizontal="center"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41" fontId="22" fillId="8" borderId="15" xfId="15" applyNumberFormat="1" applyFont="1" applyFill="1" applyBorder="1" applyAlignment="1">
      <alignment horizontal="center"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9" fontId="32" fillId="5" borderId="20" xfId="86" applyNumberFormat="1" applyFont="1" applyFill="1" applyBorder="1" applyAlignment="1">
      <alignment horizontal="right" vertical="center"/>
    </xf>
    <xf numFmtId="189" fontId="32" fillId="5" borderId="18" xfId="86" applyNumberFormat="1" applyFont="1" applyFill="1" applyBorder="1" applyAlignment="1">
      <alignment horizontal="right" vertical="center"/>
    </xf>
    <xf numFmtId="182" fontId="33" fillId="5" borderId="6" xfId="87" applyNumberFormat="1" applyFont="1" applyFill="1" applyBorder="1" applyAlignment="1">
      <alignment horizontal="right" vertical="center"/>
    </xf>
    <xf numFmtId="182" fontId="33" fillId="5" borderId="6" xfId="101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182" fontId="33" fillId="5" borderId="6" xfId="101" applyNumberFormat="1" applyFont="1" applyFill="1" applyBorder="1" applyAlignment="1">
      <alignment horizontal="right" vertical="center"/>
    </xf>
    <xf numFmtId="189" fontId="23" fillId="5" borderId="6" xfId="101" applyNumberFormat="1" applyFont="1" applyFill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9" fontId="23" fillId="0" borderId="6" xfId="101" applyNumberFormat="1" applyFont="1" applyFill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185" fontId="15" fillId="4" borderId="37" xfId="17" applyNumberFormat="1" applyFont="1" applyFill="1" applyBorder="1" applyAlignment="1">
      <alignment horizontal="right" vertical="center" shrinkToFit="1"/>
    </xf>
    <xf numFmtId="185" fontId="15" fillId="4" borderId="38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188" fontId="23" fillId="0" borderId="13" xfId="0" applyNumberFormat="1" applyFont="1" applyBorder="1" applyAlignment="1">
      <alignment horizontal="center" vertical="center"/>
    </xf>
    <xf numFmtId="180" fontId="22" fillId="6" borderId="31" xfId="0" quotePrefix="1" applyNumberFormat="1" applyFont="1" applyFill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41" fontId="23" fillId="0" borderId="6" xfId="23" applyFont="1" applyFill="1" applyBorder="1" applyAlignment="1">
      <alignment horizontal="right" vertical="center"/>
    </xf>
    <xf numFmtId="3" fontId="23" fillId="9" borderId="6" xfId="0" applyNumberFormat="1" applyFont="1" applyFill="1" applyBorder="1" applyAlignment="1">
      <alignment horizontal="right" vertical="center"/>
    </xf>
    <xf numFmtId="41" fontId="23" fillId="9" borderId="6" xfId="23" applyFont="1" applyFill="1" applyBorder="1" applyAlignment="1">
      <alignment horizontal="right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5" borderId="13" xfId="0" applyNumberFormat="1" applyFont="1" applyFill="1" applyBorder="1" applyAlignment="1">
      <alignment horizontal="right" vertical="center"/>
    </xf>
    <xf numFmtId="182" fontId="14" fillId="0" borderId="6" xfId="0" applyNumberFormat="1" applyFont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181" fontId="15" fillId="8" borderId="23" xfId="0" applyNumberFormat="1" applyFont="1" applyFill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41" fontId="23" fillId="9" borderId="28" xfId="40" applyNumberFormat="1" applyFont="1" applyFill="1" applyBorder="1" applyAlignment="1">
      <alignment horizontal="center" vertical="center"/>
    </xf>
    <xf numFmtId="41" fontId="23" fillId="5" borderId="6" xfId="40" applyNumberFormat="1" applyFont="1" applyFill="1" applyBorder="1" applyAlignment="1">
      <alignment horizontal="center" vertical="center"/>
    </xf>
    <xf numFmtId="41" fontId="23" fillId="9" borderId="6" xfId="40" applyNumberFormat="1" applyFont="1" applyFill="1" applyBorder="1" applyAlignment="1">
      <alignment horizontal="center" vertical="center"/>
    </xf>
    <xf numFmtId="41" fontId="23" fillId="9" borderId="6" xfId="23" applyNumberFormat="1" applyFont="1" applyFill="1" applyBorder="1" applyAlignment="1">
      <alignment horizontal="right" vertical="center"/>
    </xf>
    <xf numFmtId="41" fontId="23" fillId="0" borderId="6" xfId="23" applyNumberFormat="1" applyFont="1" applyFill="1" applyBorder="1" applyAlignment="1">
      <alignment horizontal="right" vertical="center"/>
    </xf>
    <xf numFmtId="41" fontId="23" fillId="5" borderId="13" xfId="40" applyNumberFormat="1" applyFont="1" applyFill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82" fontId="32" fillId="0" borderId="6" xfId="22" applyNumberFormat="1" applyFont="1" applyBorder="1" applyAlignment="1">
      <alignment horizontal="right" vertical="center"/>
    </xf>
    <xf numFmtId="181" fontId="15" fillId="8" borderId="22" xfId="0" applyNumberFormat="1" applyFont="1" applyFill="1" applyBorder="1" applyAlignment="1">
      <alignment horizontal="right" vertical="center"/>
    </xf>
    <xf numFmtId="3" fontId="23" fillId="9" borderId="6" xfId="0" applyNumberFormat="1" applyFont="1" applyFill="1" applyBorder="1" applyAlignment="1">
      <alignment horizontal="right" vertical="center"/>
    </xf>
    <xf numFmtId="3" fontId="23" fillId="9" borderId="28" xfId="0" applyNumberFormat="1" applyFont="1" applyFill="1" applyBorder="1" applyAlignment="1">
      <alignment horizontal="right" vertical="center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5" borderId="13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center" vertical="center"/>
    </xf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360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3 4" xfId="359"/>
    <cellStyle name="쉼표 [0] 4" xfId="40"/>
    <cellStyle name="쉼표 [0] 5" xfId="56"/>
    <cellStyle name="쉼표 [0] 5 2" xfId="102"/>
    <cellStyle name="쉼표 [0] 5 2 2" xfId="294"/>
    <cellStyle name="쉼표 [0] 5 2 3" xfId="358"/>
    <cellStyle name="쉼표 [0] 5 2 4" xfId="230"/>
    <cellStyle name="쉼표 [0] 5 2 5" xfId="166"/>
    <cellStyle name="쉼표 [0] 5 3" xfId="262"/>
    <cellStyle name="쉼표 [0] 5 4" xfId="326"/>
    <cellStyle name="쉼표 [0] 5 5" xfId="198"/>
    <cellStyle name="쉼표 [0] 5 6" xfId="134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63"/>
    <cellStyle name="표준 3 10 3" xfId="327"/>
    <cellStyle name="표준 3 10 4" xfId="199"/>
    <cellStyle name="표준 3 10 5" xfId="135"/>
    <cellStyle name="표준 3 11" xfId="231"/>
    <cellStyle name="표준 3 12" xfId="295"/>
    <cellStyle name="표준 3 13" xfId="167"/>
    <cellStyle name="표준 3 14" xfId="103"/>
    <cellStyle name="표준 3 2" xfId="21"/>
    <cellStyle name="표준 3 2 10" xfId="168"/>
    <cellStyle name="표준 3 2 11" xfId="104"/>
    <cellStyle name="표준 3 2 2" xfId="29"/>
    <cellStyle name="표준 3 2 2 2" xfId="39"/>
    <cellStyle name="표준 3 2 2 2 2" xfId="55"/>
    <cellStyle name="표준 3 2 2 2 2 2" xfId="101"/>
    <cellStyle name="표준 3 2 2 2 2 2 2" xfId="293"/>
    <cellStyle name="표준 3 2 2 2 2 2 3" xfId="357"/>
    <cellStyle name="표준 3 2 2 2 2 2 4" xfId="229"/>
    <cellStyle name="표준 3 2 2 2 2 2 5" xfId="165"/>
    <cellStyle name="표준 3 2 2 2 2 3" xfId="261"/>
    <cellStyle name="표준 3 2 2 2 2 4" xfId="325"/>
    <cellStyle name="표준 3 2 2 2 2 5" xfId="197"/>
    <cellStyle name="표준 3 2 2 2 2 6" xfId="133"/>
    <cellStyle name="표준 3 2 2 2 3" xfId="86"/>
    <cellStyle name="표준 3 2 2 2 3 2" xfId="278"/>
    <cellStyle name="표준 3 2 2 2 3 3" xfId="342"/>
    <cellStyle name="표준 3 2 2 2 3 4" xfId="214"/>
    <cellStyle name="표준 3 2 2 2 3 5" xfId="150"/>
    <cellStyle name="표준 3 2 2 2 4" xfId="246"/>
    <cellStyle name="표준 3 2 2 2 5" xfId="310"/>
    <cellStyle name="표준 3 2 2 2 6" xfId="182"/>
    <cellStyle name="표준 3 2 2 2 7" xfId="118"/>
    <cellStyle name="표준 3 2 2 3" xfId="47"/>
    <cellStyle name="표준 3 2 2 3 2" xfId="93"/>
    <cellStyle name="표준 3 2 2 3 2 2" xfId="285"/>
    <cellStyle name="표준 3 2 2 3 2 3" xfId="349"/>
    <cellStyle name="표준 3 2 2 3 2 4" xfId="221"/>
    <cellStyle name="표준 3 2 2 3 2 5" xfId="157"/>
    <cellStyle name="표준 3 2 2 3 3" xfId="253"/>
    <cellStyle name="표준 3 2 2 3 4" xfId="317"/>
    <cellStyle name="표준 3 2 2 3 5" xfId="189"/>
    <cellStyle name="표준 3 2 2 3 6" xfId="125"/>
    <cellStyle name="표준 3 2 2 4" xfId="78"/>
    <cellStyle name="표준 3 2 2 4 2" xfId="270"/>
    <cellStyle name="표준 3 2 2 4 3" xfId="334"/>
    <cellStyle name="표준 3 2 2 4 4" xfId="206"/>
    <cellStyle name="표준 3 2 2 4 5" xfId="142"/>
    <cellStyle name="표준 3 2 2 5" xfId="238"/>
    <cellStyle name="표준 3 2 2 6" xfId="302"/>
    <cellStyle name="표준 3 2 2 7" xfId="174"/>
    <cellStyle name="표준 3 2 2 8" xfId="110"/>
    <cellStyle name="표준 3 2 3" xfId="27"/>
    <cellStyle name="표준 3 2 3 2" xfId="37"/>
    <cellStyle name="표준 3 2 3 2 2" xfId="53"/>
    <cellStyle name="표준 3 2 3 2 2 2" xfId="99"/>
    <cellStyle name="표준 3 2 3 2 2 2 2" xfId="291"/>
    <cellStyle name="표준 3 2 3 2 2 2 3" xfId="355"/>
    <cellStyle name="표준 3 2 3 2 2 2 4" xfId="227"/>
    <cellStyle name="표준 3 2 3 2 2 2 5" xfId="163"/>
    <cellStyle name="표준 3 2 3 2 2 3" xfId="259"/>
    <cellStyle name="표준 3 2 3 2 2 4" xfId="323"/>
    <cellStyle name="표준 3 2 3 2 2 5" xfId="195"/>
    <cellStyle name="표준 3 2 3 2 2 6" xfId="131"/>
    <cellStyle name="표준 3 2 3 2 3" xfId="84"/>
    <cellStyle name="표준 3 2 3 2 3 2" xfId="276"/>
    <cellStyle name="표준 3 2 3 2 3 3" xfId="340"/>
    <cellStyle name="표준 3 2 3 2 3 4" xfId="212"/>
    <cellStyle name="표준 3 2 3 2 3 5" xfId="148"/>
    <cellStyle name="표준 3 2 3 2 4" xfId="244"/>
    <cellStyle name="표준 3 2 3 2 5" xfId="308"/>
    <cellStyle name="표준 3 2 3 2 6" xfId="180"/>
    <cellStyle name="표준 3 2 3 2 7" xfId="116"/>
    <cellStyle name="표준 3 2 3 3" xfId="45"/>
    <cellStyle name="표준 3 2 3 3 2" xfId="91"/>
    <cellStyle name="표준 3 2 3 3 2 2" xfId="283"/>
    <cellStyle name="표준 3 2 3 3 2 3" xfId="347"/>
    <cellStyle name="표준 3 2 3 3 2 4" xfId="219"/>
    <cellStyle name="표준 3 2 3 3 2 5" xfId="155"/>
    <cellStyle name="표준 3 2 3 3 3" xfId="251"/>
    <cellStyle name="표준 3 2 3 3 4" xfId="315"/>
    <cellStyle name="표준 3 2 3 3 5" xfId="187"/>
    <cellStyle name="표준 3 2 3 3 6" xfId="123"/>
    <cellStyle name="표준 3 2 3 4" xfId="76"/>
    <cellStyle name="표준 3 2 3 4 2" xfId="268"/>
    <cellStyle name="표준 3 2 3 4 3" xfId="332"/>
    <cellStyle name="표준 3 2 3 4 4" xfId="204"/>
    <cellStyle name="표준 3 2 3 4 5" xfId="140"/>
    <cellStyle name="표준 3 2 3 5" xfId="236"/>
    <cellStyle name="표준 3 2 3 6" xfId="300"/>
    <cellStyle name="표준 3 2 3 7" xfId="172"/>
    <cellStyle name="표준 3 2 3 8" xfId="108"/>
    <cellStyle name="표준 3 2 4" xfId="35"/>
    <cellStyle name="표준 3 2 4 2" xfId="51"/>
    <cellStyle name="표준 3 2 4 2 2" xfId="97"/>
    <cellStyle name="표준 3 2 4 2 2 2" xfId="289"/>
    <cellStyle name="표준 3 2 4 2 2 3" xfId="353"/>
    <cellStyle name="표준 3 2 4 2 2 4" xfId="225"/>
    <cellStyle name="표준 3 2 4 2 2 5" xfId="161"/>
    <cellStyle name="표준 3 2 4 2 3" xfId="257"/>
    <cellStyle name="표준 3 2 4 2 4" xfId="321"/>
    <cellStyle name="표준 3 2 4 2 5" xfId="193"/>
    <cellStyle name="표준 3 2 4 2 6" xfId="129"/>
    <cellStyle name="표준 3 2 4 3" xfId="82"/>
    <cellStyle name="표준 3 2 4 3 2" xfId="274"/>
    <cellStyle name="표준 3 2 4 3 3" xfId="338"/>
    <cellStyle name="표준 3 2 4 3 4" xfId="210"/>
    <cellStyle name="표준 3 2 4 3 5" xfId="146"/>
    <cellStyle name="표준 3 2 4 4" xfId="242"/>
    <cellStyle name="표준 3 2 4 5" xfId="306"/>
    <cellStyle name="표준 3 2 4 6" xfId="178"/>
    <cellStyle name="표준 3 2 4 7" xfId="114"/>
    <cellStyle name="표준 3 2 5" xfId="43"/>
    <cellStyle name="표준 3 2 5 2" xfId="89"/>
    <cellStyle name="표준 3 2 5 2 2" xfId="281"/>
    <cellStyle name="표준 3 2 5 2 3" xfId="345"/>
    <cellStyle name="표준 3 2 5 2 4" xfId="217"/>
    <cellStyle name="표준 3 2 5 2 5" xfId="153"/>
    <cellStyle name="표준 3 2 5 3" xfId="249"/>
    <cellStyle name="표준 3 2 5 4" xfId="313"/>
    <cellStyle name="표준 3 2 5 5" xfId="185"/>
    <cellStyle name="표준 3 2 5 6" xfId="121"/>
    <cellStyle name="표준 3 2 6" xfId="25"/>
    <cellStyle name="표준 3 2 6 2" xfId="74"/>
    <cellStyle name="표준 3 2 6 2 2" xfId="266"/>
    <cellStyle name="표준 3 2 6 2 3" xfId="330"/>
    <cellStyle name="표준 3 2 6 2 4" xfId="202"/>
    <cellStyle name="표준 3 2 6 2 5" xfId="138"/>
    <cellStyle name="표준 3 2 6 3" xfId="234"/>
    <cellStyle name="표준 3 2 6 4" xfId="298"/>
    <cellStyle name="표준 3 2 6 5" xfId="170"/>
    <cellStyle name="표준 3 2 6 6" xfId="106"/>
    <cellStyle name="표준 3 2 7" xfId="72"/>
    <cellStyle name="표준 3 2 7 2" xfId="264"/>
    <cellStyle name="표준 3 2 7 3" xfId="328"/>
    <cellStyle name="표준 3 2 7 4" xfId="200"/>
    <cellStyle name="표준 3 2 7 5" xfId="136"/>
    <cellStyle name="표준 3 2 8" xfId="232"/>
    <cellStyle name="표준 3 2 9" xfId="296"/>
    <cellStyle name="표준 3 3" xfId="28"/>
    <cellStyle name="표준 3 3 2" xfId="38"/>
    <cellStyle name="표준 3 3 2 2" xfId="54"/>
    <cellStyle name="표준 3 3 2 2 2" xfId="100"/>
    <cellStyle name="표준 3 3 2 2 2 2" xfId="292"/>
    <cellStyle name="표준 3 3 2 2 2 3" xfId="356"/>
    <cellStyle name="표준 3 3 2 2 2 4" xfId="228"/>
    <cellStyle name="표준 3 3 2 2 2 5" xfId="164"/>
    <cellStyle name="표준 3 3 2 2 3" xfId="260"/>
    <cellStyle name="표준 3 3 2 2 4" xfId="324"/>
    <cellStyle name="표준 3 3 2 2 5" xfId="196"/>
    <cellStyle name="표준 3 3 2 2 6" xfId="132"/>
    <cellStyle name="표준 3 3 2 3" xfId="85"/>
    <cellStyle name="표준 3 3 2 3 2" xfId="277"/>
    <cellStyle name="표준 3 3 2 3 3" xfId="341"/>
    <cellStyle name="표준 3 3 2 3 4" xfId="213"/>
    <cellStyle name="표준 3 3 2 3 5" xfId="149"/>
    <cellStyle name="표준 3 3 2 4" xfId="245"/>
    <cellStyle name="표준 3 3 2 5" xfId="309"/>
    <cellStyle name="표준 3 3 2 6" xfId="181"/>
    <cellStyle name="표준 3 3 2 7" xfId="117"/>
    <cellStyle name="표준 3 3 3" xfId="46"/>
    <cellStyle name="표준 3 3 3 2" xfId="92"/>
    <cellStyle name="표준 3 3 3 2 2" xfId="284"/>
    <cellStyle name="표준 3 3 3 2 3" xfId="348"/>
    <cellStyle name="표준 3 3 3 2 4" xfId="220"/>
    <cellStyle name="표준 3 3 3 2 5" xfId="156"/>
    <cellStyle name="표준 3 3 3 3" xfId="252"/>
    <cellStyle name="표준 3 3 3 4" xfId="316"/>
    <cellStyle name="표준 3 3 3 5" xfId="188"/>
    <cellStyle name="표준 3 3 3 6" xfId="124"/>
    <cellStyle name="표준 3 3 4" xfId="77"/>
    <cellStyle name="표준 3 3 4 2" xfId="269"/>
    <cellStyle name="표준 3 3 4 3" xfId="333"/>
    <cellStyle name="표준 3 3 4 4" xfId="205"/>
    <cellStyle name="표준 3 3 4 5" xfId="141"/>
    <cellStyle name="표준 3 3 5" xfId="237"/>
    <cellStyle name="표준 3 3 6" xfId="301"/>
    <cellStyle name="표준 3 3 7" xfId="173"/>
    <cellStyle name="표준 3 3 8" xfId="109"/>
    <cellStyle name="표준 3 4" xfId="26"/>
    <cellStyle name="표준 3 4 2" xfId="36"/>
    <cellStyle name="표준 3 4 2 2" xfId="52"/>
    <cellStyle name="표준 3 4 2 2 2" xfId="98"/>
    <cellStyle name="표준 3 4 2 2 2 2" xfId="290"/>
    <cellStyle name="표준 3 4 2 2 2 3" xfId="354"/>
    <cellStyle name="표준 3 4 2 2 2 4" xfId="226"/>
    <cellStyle name="표준 3 4 2 2 2 5" xfId="162"/>
    <cellStyle name="표준 3 4 2 2 3" xfId="258"/>
    <cellStyle name="표준 3 4 2 2 4" xfId="322"/>
    <cellStyle name="표준 3 4 2 2 5" xfId="194"/>
    <cellStyle name="표준 3 4 2 2 6" xfId="130"/>
    <cellStyle name="표준 3 4 2 3" xfId="83"/>
    <cellStyle name="표준 3 4 2 3 2" xfId="275"/>
    <cellStyle name="표준 3 4 2 3 3" xfId="339"/>
    <cellStyle name="표준 3 4 2 3 4" xfId="211"/>
    <cellStyle name="표준 3 4 2 3 5" xfId="147"/>
    <cellStyle name="표준 3 4 2 4" xfId="243"/>
    <cellStyle name="표준 3 4 2 5" xfId="307"/>
    <cellStyle name="표준 3 4 2 6" xfId="179"/>
    <cellStyle name="표준 3 4 2 7" xfId="115"/>
    <cellStyle name="표준 3 4 3" xfId="44"/>
    <cellStyle name="표준 3 4 3 2" xfId="90"/>
    <cellStyle name="표준 3 4 3 2 2" xfId="282"/>
    <cellStyle name="표준 3 4 3 2 3" xfId="346"/>
    <cellStyle name="표준 3 4 3 2 4" xfId="218"/>
    <cellStyle name="표준 3 4 3 2 5" xfId="154"/>
    <cellStyle name="표준 3 4 3 3" xfId="250"/>
    <cellStyle name="표준 3 4 3 4" xfId="314"/>
    <cellStyle name="표준 3 4 3 5" xfId="186"/>
    <cellStyle name="표준 3 4 3 6" xfId="122"/>
    <cellStyle name="표준 3 4 4" xfId="75"/>
    <cellStyle name="표준 3 4 4 2" xfId="267"/>
    <cellStyle name="표준 3 4 4 3" xfId="331"/>
    <cellStyle name="표준 3 4 4 4" xfId="203"/>
    <cellStyle name="표준 3 4 4 5" xfId="139"/>
    <cellStyle name="표준 3 4 5" xfId="235"/>
    <cellStyle name="표준 3 4 6" xfId="299"/>
    <cellStyle name="표준 3 4 7" xfId="171"/>
    <cellStyle name="표준 3 4 8" xfId="107"/>
    <cellStyle name="표준 3 5" xfId="30"/>
    <cellStyle name="표준 3 5 2" xfId="48"/>
    <cellStyle name="표준 3 5 2 2" xfId="94"/>
    <cellStyle name="표준 3 5 2 2 2" xfId="286"/>
    <cellStyle name="표준 3 5 2 2 3" xfId="350"/>
    <cellStyle name="표준 3 5 2 2 4" xfId="222"/>
    <cellStyle name="표준 3 5 2 2 5" xfId="158"/>
    <cellStyle name="표준 3 5 2 3" xfId="254"/>
    <cellStyle name="표준 3 5 2 4" xfId="318"/>
    <cellStyle name="표준 3 5 2 5" xfId="190"/>
    <cellStyle name="표준 3 5 2 6" xfId="126"/>
    <cellStyle name="표준 3 5 3" xfId="79"/>
    <cellStyle name="표준 3 5 3 2" xfId="271"/>
    <cellStyle name="표준 3 5 3 3" xfId="335"/>
    <cellStyle name="표준 3 5 3 4" xfId="207"/>
    <cellStyle name="표준 3 5 3 5" xfId="143"/>
    <cellStyle name="표준 3 5 4" xfId="239"/>
    <cellStyle name="표준 3 5 5" xfId="303"/>
    <cellStyle name="표준 3 5 6" xfId="175"/>
    <cellStyle name="표준 3 5 7" xfId="111"/>
    <cellStyle name="표준 3 6" xfId="34"/>
    <cellStyle name="표준 3 6 2" xfId="50"/>
    <cellStyle name="표준 3 6 2 2" xfId="96"/>
    <cellStyle name="표준 3 6 2 2 2" xfId="288"/>
    <cellStyle name="표준 3 6 2 2 3" xfId="352"/>
    <cellStyle name="표준 3 6 2 2 4" xfId="224"/>
    <cellStyle name="표준 3 6 2 2 5" xfId="160"/>
    <cellStyle name="표준 3 6 2 3" xfId="256"/>
    <cellStyle name="표준 3 6 2 4" xfId="320"/>
    <cellStyle name="표준 3 6 2 5" xfId="192"/>
    <cellStyle name="표준 3 6 2 6" xfId="128"/>
    <cellStyle name="표준 3 6 3" xfId="81"/>
    <cellStyle name="표준 3 6 3 2" xfId="273"/>
    <cellStyle name="표준 3 6 3 3" xfId="337"/>
    <cellStyle name="표준 3 6 3 4" xfId="209"/>
    <cellStyle name="표준 3 6 3 5" xfId="145"/>
    <cellStyle name="표준 3 6 4" xfId="241"/>
    <cellStyle name="표준 3 6 5" xfId="305"/>
    <cellStyle name="표준 3 6 6" xfId="177"/>
    <cellStyle name="표준 3 6 7" xfId="113"/>
    <cellStyle name="표준 3 7" xfId="42"/>
    <cellStyle name="표준 3 7 2" xfId="88"/>
    <cellStyle name="표준 3 7 2 2" xfId="280"/>
    <cellStyle name="표준 3 7 2 3" xfId="344"/>
    <cellStyle name="표준 3 7 2 4" xfId="216"/>
    <cellStyle name="표준 3 7 2 5" xfId="152"/>
    <cellStyle name="표준 3 7 3" xfId="248"/>
    <cellStyle name="표준 3 7 4" xfId="312"/>
    <cellStyle name="표준 3 7 5" xfId="184"/>
    <cellStyle name="표준 3 7 6" xfId="120"/>
    <cellStyle name="표준 3 8" xfId="24"/>
    <cellStyle name="표준 3 8 2" xfId="73"/>
    <cellStyle name="표준 3 8 2 2" xfId="265"/>
    <cellStyle name="표준 3 8 2 3" xfId="329"/>
    <cellStyle name="표준 3 8 2 4" xfId="201"/>
    <cellStyle name="표준 3 8 2 5" xfId="137"/>
    <cellStyle name="표준 3 8 3" xfId="233"/>
    <cellStyle name="표준 3 8 4" xfId="297"/>
    <cellStyle name="표준 3 8 5" xfId="169"/>
    <cellStyle name="표준 3 8 6" xfId="105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87"/>
    <cellStyle name="표준 6 2 2 3" xfId="351"/>
    <cellStyle name="표준 6 2 2 4" xfId="223"/>
    <cellStyle name="표준 6 2 2 5" xfId="159"/>
    <cellStyle name="표준 6 2 3" xfId="255"/>
    <cellStyle name="표준 6 2 4" xfId="319"/>
    <cellStyle name="표준 6 2 5" xfId="191"/>
    <cellStyle name="표준 6 2 6" xfId="127"/>
    <cellStyle name="표준 6 3" xfId="68"/>
    <cellStyle name="표준 6 4" xfId="80"/>
    <cellStyle name="표준 6 4 2" xfId="272"/>
    <cellStyle name="표준 6 4 3" xfId="336"/>
    <cellStyle name="표준 6 4 4" xfId="208"/>
    <cellStyle name="표준 6 4 5" xfId="144"/>
    <cellStyle name="표준 6 5" xfId="240"/>
    <cellStyle name="표준 6 6" xfId="304"/>
    <cellStyle name="표준 6 7" xfId="176"/>
    <cellStyle name="표준 6 8" xfId="112"/>
    <cellStyle name="표준 7" xfId="41"/>
    <cellStyle name="표준 7 2" xfId="69"/>
    <cellStyle name="표준 7 3" xfId="87"/>
    <cellStyle name="표준 7 3 2" xfId="279"/>
    <cellStyle name="표준 7 3 3" xfId="343"/>
    <cellStyle name="표준 7 3 4" xfId="215"/>
    <cellStyle name="표준 7 3 5" xfId="151"/>
    <cellStyle name="표준 7 4" xfId="247"/>
    <cellStyle name="표준 7 5" xfId="311"/>
    <cellStyle name="표준 7 6" xfId="183"/>
    <cellStyle name="표준 7 7" xfId="119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2025.6.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56635328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751232"/>
        <c:axId val="226753536"/>
      </c:lineChart>
      <c:catAx>
        <c:axId val="22675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7535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67535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7512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2025.6.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458752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109696"/>
        <c:axId val="226111872"/>
      </c:lineChart>
      <c:catAx>
        <c:axId val="226109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111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61118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10969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2025.6.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124160"/>
        <c:axId val="226126080"/>
      </c:lineChart>
      <c:catAx>
        <c:axId val="22612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126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61260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1241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2025.6.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8892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689024"/>
        <c:axId val="226690944"/>
      </c:lineChart>
      <c:catAx>
        <c:axId val="22668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690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6690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266890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opLeftCell="A4" zoomScaleNormal="100" zoomScaleSheetLayoutView="110" workbookViewId="0">
      <selection activeCell="H18" sqref="H18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41" t="s">
        <v>103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3"/>
      <c r="N3" s="39"/>
      <c r="O3" s="39"/>
      <c r="P3" s="39"/>
    </row>
    <row r="4" spans="2:16" ht="21" customHeight="1"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45" t="s">
        <v>85</v>
      </c>
      <c r="L5" s="245"/>
      <c r="M5" s="245"/>
    </row>
    <row r="6" spans="2:16" ht="21" customHeight="1">
      <c r="B6" s="254" t="s">
        <v>7</v>
      </c>
      <c r="C6" s="255"/>
      <c r="D6" s="255"/>
      <c r="E6" s="71"/>
      <c r="F6" s="244" t="s">
        <v>109</v>
      </c>
      <c r="G6" s="244"/>
      <c r="H6" s="244" t="s">
        <v>110</v>
      </c>
      <c r="I6" s="244"/>
      <c r="J6" s="244" t="s">
        <v>15</v>
      </c>
      <c r="K6" s="244"/>
      <c r="L6" s="244"/>
      <c r="M6" s="253"/>
    </row>
    <row r="7" spans="2:16" ht="21" customHeight="1" thickBot="1">
      <c r="B7" s="256"/>
      <c r="C7" s="257"/>
      <c r="D7" s="257"/>
      <c r="E7" s="74" t="s">
        <v>11</v>
      </c>
      <c r="F7" s="75" t="s">
        <v>104</v>
      </c>
      <c r="G7" s="74" t="s">
        <v>105</v>
      </c>
      <c r="H7" s="74" t="s">
        <v>106</v>
      </c>
      <c r="I7" s="74" t="s">
        <v>107</v>
      </c>
      <c r="J7" s="74" t="s">
        <v>37</v>
      </c>
      <c r="K7" s="76" t="s">
        <v>16</v>
      </c>
      <c r="L7" s="77" t="s">
        <v>18</v>
      </c>
      <c r="M7" s="78" t="s">
        <v>16</v>
      </c>
    </row>
    <row r="8" spans="2:16" ht="20.100000000000001" customHeight="1" thickBot="1">
      <c r="B8" s="237" t="s">
        <v>19</v>
      </c>
      <c r="C8" s="239" t="s">
        <v>12</v>
      </c>
      <c r="D8" s="240"/>
      <c r="E8" s="83">
        <f>SUM(E9:E10)</f>
        <v>17324</v>
      </c>
      <c r="F8" s="83">
        <f>SUM(F9:F10)</f>
        <v>1420</v>
      </c>
      <c r="G8" s="83">
        <f>SUM(G9:G10)</f>
        <v>8520</v>
      </c>
      <c r="H8" s="83">
        <f>SUM(H9:H10)</f>
        <v>1586</v>
      </c>
      <c r="I8" s="83">
        <f>SUM(I9:I10)</f>
        <v>8892</v>
      </c>
      <c r="J8" s="83">
        <f>H8-F8</f>
        <v>166</v>
      </c>
      <c r="K8" s="84">
        <f>H8/F8</f>
        <v>1.1169014084507043</v>
      </c>
      <c r="L8" s="83">
        <f>I8-G8</f>
        <v>372</v>
      </c>
      <c r="M8" s="85">
        <f>I8/G8</f>
        <v>1.0436619718309859</v>
      </c>
    </row>
    <row r="9" spans="2:16" ht="20.100000000000001" customHeight="1">
      <c r="B9" s="238"/>
      <c r="C9" s="235" t="s">
        <v>9</v>
      </c>
      <c r="D9" s="235"/>
      <c r="E9" s="158">
        <v>10498</v>
      </c>
      <c r="F9" s="213">
        <v>841</v>
      </c>
      <c r="G9" s="213">
        <v>5194</v>
      </c>
      <c r="H9" s="79">
        <v>849</v>
      </c>
      <c r="I9" s="79">
        <v>5136</v>
      </c>
      <c r="J9" s="80">
        <f t="shared" ref="J9:J29" si="0">H9-F9</f>
        <v>8</v>
      </c>
      <c r="K9" s="81">
        <f t="shared" ref="K9:K29" si="1">H9/F9</f>
        <v>1.0095124851367421</v>
      </c>
      <c r="L9" s="80">
        <f t="shared" ref="L9:L29" si="2">I9-G9</f>
        <v>-58</v>
      </c>
      <c r="M9" s="82">
        <f t="shared" ref="M9:M29" si="3">I9/G9</f>
        <v>0.98883326915671932</v>
      </c>
    </row>
    <row r="10" spans="2:16" ht="20.100000000000001" customHeight="1" thickBot="1">
      <c r="B10" s="238"/>
      <c r="C10" s="234" t="s">
        <v>10</v>
      </c>
      <c r="D10" s="234"/>
      <c r="E10" s="159">
        <v>6826</v>
      </c>
      <c r="F10" s="214">
        <v>579</v>
      </c>
      <c r="G10" s="214">
        <v>3326</v>
      </c>
      <c r="H10" s="86">
        <v>737</v>
      </c>
      <c r="I10" s="86">
        <v>3756</v>
      </c>
      <c r="J10" s="86">
        <f t="shared" si="0"/>
        <v>158</v>
      </c>
      <c r="K10" s="87">
        <f t="shared" si="1"/>
        <v>1.2728842832469776</v>
      </c>
      <c r="L10" s="86">
        <f t="shared" si="2"/>
        <v>430</v>
      </c>
      <c r="M10" s="88">
        <f t="shared" si="3"/>
        <v>1.1292844257366206</v>
      </c>
      <c r="O10" t="s">
        <v>100</v>
      </c>
    </row>
    <row r="11" spans="2:16" ht="20.100000000000001" customHeight="1" thickBot="1">
      <c r="B11" s="237" t="s">
        <v>20</v>
      </c>
      <c r="C11" s="239" t="s">
        <v>8</v>
      </c>
      <c r="D11" s="240"/>
      <c r="E11" s="94">
        <f>E12+E16</f>
        <v>116607017</v>
      </c>
      <c r="F11" s="94">
        <f>F12+F16</f>
        <v>9818972</v>
      </c>
      <c r="G11" s="94">
        <f>G12+G16</f>
        <v>58513795</v>
      </c>
      <c r="H11" s="94">
        <f>H12+H16</f>
        <v>8962052</v>
      </c>
      <c r="I11" s="94">
        <f>I12+I16</f>
        <v>56635328</v>
      </c>
      <c r="J11" s="94">
        <f t="shared" si="0"/>
        <v>-856920</v>
      </c>
      <c r="K11" s="84">
        <f t="shared" si="1"/>
        <v>0.91272813488010762</v>
      </c>
      <c r="L11" s="95">
        <f>I11-G11</f>
        <v>-1878467</v>
      </c>
      <c r="M11" s="85">
        <f t="shared" si="3"/>
        <v>0.96789702325750704</v>
      </c>
    </row>
    <row r="12" spans="2:16" ht="20.100000000000001" customHeight="1">
      <c r="B12" s="238"/>
      <c r="C12" s="235" t="s">
        <v>1</v>
      </c>
      <c r="D12" s="89" t="s">
        <v>0</v>
      </c>
      <c r="E12" s="90">
        <f>SUM(E13:E15)</f>
        <v>105503891</v>
      </c>
      <c r="F12" s="90">
        <f>SUM(F13:F15)</f>
        <v>8888273</v>
      </c>
      <c r="G12" s="90">
        <f>SUM(G13:G15)</f>
        <v>53086543</v>
      </c>
      <c r="H12" s="90">
        <f>SUM(H13:H15)</f>
        <v>8113514</v>
      </c>
      <c r="I12" s="90">
        <f>SUM(I13:I15)</f>
        <v>51481803</v>
      </c>
      <c r="J12" s="91">
        <f t="shared" si="0"/>
        <v>-774759</v>
      </c>
      <c r="K12" s="92">
        <f t="shared" si="1"/>
        <v>0.91283357295618617</v>
      </c>
      <c r="L12" s="91">
        <f>I12-G12</f>
        <v>-1604740</v>
      </c>
      <c r="M12" s="93">
        <f t="shared" si="3"/>
        <v>0.96977124692410277</v>
      </c>
    </row>
    <row r="13" spans="2:16" ht="20.100000000000001" customHeight="1">
      <c r="B13" s="238"/>
      <c r="C13" s="236"/>
      <c r="D13" s="61" t="s">
        <v>5</v>
      </c>
      <c r="E13" s="160">
        <v>85548211</v>
      </c>
      <c r="F13" s="211">
        <v>7190926</v>
      </c>
      <c r="G13" s="211">
        <v>43032503</v>
      </c>
      <c r="H13" s="225">
        <v>6407764</v>
      </c>
      <c r="I13" s="162">
        <f>7265437+5866795+7390254+7172456+6783325+6407764</f>
        <v>40886031</v>
      </c>
      <c r="J13" s="57">
        <f t="shared" si="0"/>
        <v>-783162</v>
      </c>
      <c r="K13" s="54">
        <f t="shared" si="1"/>
        <v>0.89109024345404197</v>
      </c>
      <c r="L13" s="57">
        <f>I13-G13</f>
        <v>-2146472</v>
      </c>
      <c r="M13" s="66">
        <f t="shared" si="3"/>
        <v>0.95011975018046246</v>
      </c>
      <c r="O13" s="29"/>
    </row>
    <row r="14" spans="2:16" ht="20.100000000000001" customHeight="1">
      <c r="B14" s="238"/>
      <c r="C14" s="236"/>
      <c r="D14" s="61" t="s">
        <v>6</v>
      </c>
      <c r="E14" s="161">
        <v>17063258</v>
      </c>
      <c r="F14" s="211">
        <v>1502138</v>
      </c>
      <c r="G14" s="211">
        <v>8728850</v>
      </c>
      <c r="H14" s="225">
        <v>1535367</v>
      </c>
      <c r="I14" s="162">
        <f>1421273+1409756+1704227+1683210+1653027+1535367</f>
        <v>9406860</v>
      </c>
      <c r="J14" s="57">
        <f t="shared" si="0"/>
        <v>33229</v>
      </c>
      <c r="K14" s="54">
        <f t="shared" si="1"/>
        <v>1.022121136673195</v>
      </c>
      <c r="L14" s="57">
        <f t="shared" si="2"/>
        <v>678010</v>
      </c>
      <c r="M14" s="66">
        <f t="shared" si="3"/>
        <v>1.0776746077662005</v>
      </c>
    </row>
    <row r="15" spans="2:16" ht="20.100000000000001" customHeight="1">
      <c r="B15" s="238"/>
      <c r="C15" s="236"/>
      <c r="D15" s="61" t="s">
        <v>13</v>
      </c>
      <c r="E15" s="161">
        <v>2892422</v>
      </c>
      <c r="F15" s="211">
        <v>195209</v>
      </c>
      <c r="G15" s="211">
        <v>1325190</v>
      </c>
      <c r="H15" s="225">
        <v>170383</v>
      </c>
      <c r="I15" s="162">
        <f>70944+59464+132811+109897+143400+101594+88243+119242+89745+170383+103189</f>
        <v>1188912</v>
      </c>
      <c r="J15" s="57">
        <f t="shared" si="0"/>
        <v>-24826</v>
      </c>
      <c r="K15" s="54">
        <f>H15/F15</f>
        <v>0.8728234866220308</v>
      </c>
      <c r="L15" s="57">
        <f t="shared" si="2"/>
        <v>-136278</v>
      </c>
      <c r="M15" s="66">
        <f t="shared" si="3"/>
        <v>0.89716342562198625</v>
      </c>
      <c r="O15" s="29"/>
    </row>
    <row r="16" spans="2:16" ht="20.100000000000001" customHeight="1">
      <c r="B16" s="238"/>
      <c r="C16" s="236" t="s">
        <v>2</v>
      </c>
      <c r="D16" s="59" t="s">
        <v>0</v>
      </c>
      <c r="E16" s="58">
        <f>SUM(E17:E19)</f>
        <v>11103126</v>
      </c>
      <c r="F16" s="58">
        <f>SUM(F17:F19)</f>
        <v>930699</v>
      </c>
      <c r="G16" s="58">
        <f>SUM(G17:G19)</f>
        <v>5427252</v>
      </c>
      <c r="H16" s="58">
        <f>SUM(H17:H19)</f>
        <v>848538</v>
      </c>
      <c r="I16" s="58">
        <f>SUM(I17:I19)</f>
        <v>5153525</v>
      </c>
      <c r="J16" s="52">
        <f t="shared" si="0"/>
        <v>-82161</v>
      </c>
      <c r="K16" s="53">
        <f t="shared" si="1"/>
        <v>0.91172119020220288</v>
      </c>
      <c r="L16" s="60">
        <f t="shared" si="2"/>
        <v>-273727</v>
      </c>
      <c r="M16" s="67">
        <f t="shared" si="3"/>
        <v>0.94956434674490886</v>
      </c>
      <c r="O16" s="29"/>
    </row>
    <row r="17" spans="2:15" ht="20.100000000000001" customHeight="1">
      <c r="B17" s="238"/>
      <c r="C17" s="236"/>
      <c r="D17" s="61" t="s">
        <v>3</v>
      </c>
      <c r="E17" s="163">
        <v>7713381</v>
      </c>
      <c r="F17" s="211">
        <v>656991</v>
      </c>
      <c r="G17" s="211">
        <v>3845166</v>
      </c>
      <c r="H17" s="226">
        <v>605707</v>
      </c>
      <c r="I17" s="162">
        <f>619030+510047+650054+623142+693951+605707</f>
        <v>3701931</v>
      </c>
      <c r="J17" s="57">
        <f t="shared" si="0"/>
        <v>-51284</v>
      </c>
      <c r="K17" s="54">
        <f t="shared" si="1"/>
        <v>0.92194109203931252</v>
      </c>
      <c r="L17" s="57">
        <f t="shared" si="2"/>
        <v>-143235</v>
      </c>
      <c r="M17" s="66">
        <f t="shared" si="3"/>
        <v>0.9627493325385692</v>
      </c>
      <c r="O17" s="29"/>
    </row>
    <row r="18" spans="2:15" ht="20.100000000000001" customHeight="1">
      <c r="B18" s="238"/>
      <c r="C18" s="236"/>
      <c r="D18" s="61" t="s">
        <v>4</v>
      </c>
      <c r="E18" s="163">
        <v>3389745</v>
      </c>
      <c r="F18" s="211">
        <v>273708</v>
      </c>
      <c r="G18" s="211">
        <v>1582086</v>
      </c>
      <c r="H18" s="227">
        <v>242831</v>
      </c>
      <c r="I18" s="162">
        <f>239646+194603+273105+236520+264889+242831</f>
        <v>1451594</v>
      </c>
      <c r="J18" s="57">
        <f t="shared" si="0"/>
        <v>-30877</v>
      </c>
      <c r="K18" s="54">
        <f t="shared" si="1"/>
        <v>0.88718999810016519</v>
      </c>
      <c r="L18" s="57">
        <f t="shared" si="2"/>
        <v>-130492</v>
      </c>
      <c r="M18" s="66">
        <f t="shared" si="3"/>
        <v>0.91751902235403138</v>
      </c>
    </row>
    <row r="19" spans="2:15" ht="20.100000000000001" customHeight="1">
      <c r="B19" s="238"/>
      <c r="C19" s="236"/>
      <c r="D19" s="61" t="s">
        <v>17</v>
      </c>
      <c r="E19" s="162">
        <v>0</v>
      </c>
      <c r="F19" s="62">
        <v>0</v>
      </c>
      <c r="G19" s="162">
        <v>0</v>
      </c>
      <c r="H19" s="62">
        <v>0</v>
      </c>
      <c r="I19" s="162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5" ht="20.100000000000001" customHeight="1" thickBot="1">
      <c r="B20" s="72"/>
      <c r="C20" s="96"/>
      <c r="D20" s="171"/>
      <c r="E20" s="97"/>
      <c r="F20" s="98"/>
      <c r="G20" s="98"/>
      <c r="H20" s="98"/>
      <c r="I20" s="97"/>
      <c r="J20" s="99"/>
      <c r="K20" s="249" t="s">
        <v>21</v>
      </c>
      <c r="L20" s="250"/>
      <c r="M20" s="251"/>
    </row>
    <row r="21" spans="2:15" ht="20.100000000000001" customHeight="1" thickBot="1">
      <c r="B21" s="252" t="s">
        <v>86</v>
      </c>
      <c r="C21" s="239" t="s">
        <v>8</v>
      </c>
      <c r="D21" s="240"/>
      <c r="E21" s="101">
        <f>SUM(E22,E26)</f>
        <v>820289</v>
      </c>
      <c r="F21" s="102">
        <f>SUM(F22,F26)</f>
        <v>80981</v>
      </c>
      <c r="G21" s="102">
        <f>SUM(G22,G26)</f>
        <v>450059</v>
      </c>
      <c r="H21" s="101">
        <f>SUM(H22,H26)</f>
        <v>83043</v>
      </c>
      <c r="I21" s="101">
        <f>SUM(I22,I26)</f>
        <v>458752</v>
      </c>
      <c r="J21" s="103">
        <f t="shared" si="0"/>
        <v>2062</v>
      </c>
      <c r="K21" s="104">
        <f t="shared" si="1"/>
        <v>1.0254627628703028</v>
      </c>
      <c r="L21" s="103">
        <f t="shared" si="2"/>
        <v>8693</v>
      </c>
      <c r="M21" s="85">
        <f>I21/G21</f>
        <v>1.0193152453345007</v>
      </c>
    </row>
    <row r="22" spans="2:15" ht="20.100000000000001" customHeight="1">
      <c r="B22" s="238"/>
      <c r="C22" s="235" t="s">
        <v>1</v>
      </c>
      <c r="D22" s="89" t="s">
        <v>0</v>
      </c>
      <c r="E22" s="89">
        <f>SUM(E23:E25)</f>
        <v>820289</v>
      </c>
      <c r="F22" s="89">
        <f>SUM(F23:F25)</f>
        <v>80981</v>
      </c>
      <c r="G22" s="89">
        <f>SUM(G23:G25)</f>
        <v>450059</v>
      </c>
      <c r="H22" s="89">
        <f>SUM(H23:H25)</f>
        <v>83043</v>
      </c>
      <c r="I22" s="89">
        <f>SUM(I23:I25)</f>
        <v>458752</v>
      </c>
      <c r="J22" s="91">
        <f t="shared" si="0"/>
        <v>2062</v>
      </c>
      <c r="K22" s="100">
        <f t="shared" si="1"/>
        <v>1.0254627628703028</v>
      </c>
      <c r="L22" s="91">
        <f t="shared" si="2"/>
        <v>8693</v>
      </c>
      <c r="M22" s="93">
        <f t="shared" si="3"/>
        <v>1.0193152453345007</v>
      </c>
    </row>
    <row r="23" spans="2:15" ht="20.100000000000001" customHeight="1">
      <c r="B23" s="238"/>
      <c r="C23" s="236"/>
      <c r="D23" s="69" t="s">
        <v>5</v>
      </c>
      <c r="E23" s="172">
        <v>406783</v>
      </c>
      <c r="F23" s="216">
        <v>39869</v>
      </c>
      <c r="G23" s="212">
        <v>225628</v>
      </c>
      <c r="H23" s="173">
        <v>39972</v>
      </c>
      <c r="I23" s="170">
        <v>226829</v>
      </c>
      <c r="J23" s="57">
        <f t="shared" si="0"/>
        <v>103</v>
      </c>
      <c r="K23" s="56">
        <f t="shared" si="1"/>
        <v>1.0025834608342321</v>
      </c>
      <c r="L23" s="57">
        <f t="shared" si="2"/>
        <v>1201</v>
      </c>
      <c r="M23" s="66">
        <f t="shared" si="3"/>
        <v>1.005322920914071</v>
      </c>
    </row>
    <row r="24" spans="2:15" ht="20.100000000000001" customHeight="1">
      <c r="B24" s="238"/>
      <c r="C24" s="236"/>
      <c r="D24" s="68" t="s">
        <v>14</v>
      </c>
      <c r="E24" s="164">
        <v>405018</v>
      </c>
      <c r="F24" s="217">
        <v>39949</v>
      </c>
      <c r="G24" s="212">
        <v>219187</v>
      </c>
      <c r="H24" s="174">
        <v>42040</v>
      </c>
      <c r="I24" s="170">
        <v>224871</v>
      </c>
      <c r="J24" s="57">
        <f t="shared" si="0"/>
        <v>2091</v>
      </c>
      <c r="K24" s="56">
        <f t="shared" si="1"/>
        <v>1.052341735713034</v>
      </c>
      <c r="L24" s="57">
        <f t="shared" si="2"/>
        <v>5684</v>
      </c>
      <c r="M24" s="66">
        <f t="shared" si="3"/>
        <v>1.0259321948838207</v>
      </c>
    </row>
    <row r="25" spans="2:15" ht="20.100000000000001" customHeight="1">
      <c r="B25" s="238"/>
      <c r="C25" s="236"/>
      <c r="D25" s="68" t="s">
        <v>13</v>
      </c>
      <c r="E25" s="170">
        <v>8488</v>
      </c>
      <c r="F25" s="218">
        <v>1163</v>
      </c>
      <c r="G25" s="212">
        <v>5244</v>
      </c>
      <c r="H25" s="175">
        <v>1031</v>
      </c>
      <c r="I25" s="170">
        <v>7052</v>
      </c>
      <c r="J25" s="57">
        <f t="shared" si="0"/>
        <v>-132</v>
      </c>
      <c r="K25" s="56">
        <f t="shared" si="1"/>
        <v>0.88650042992261391</v>
      </c>
      <c r="L25" s="57">
        <f t="shared" si="2"/>
        <v>1808</v>
      </c>
      <c r="M25" s="66">
        <f t="shared" si="3"/>
        <v>1.3447749809305873</v>
      </c>
    </row>
    <row r="26" spans="2:15" ht="20.100000000000001" customHeight="1">
      <c r="B26" s="238"/>
      <c r="C26" s="236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0">
        <f t="shared" si="0"/>
        <v>0</v>
      </c>
      <c r="K26" s="64">
        <v>0</v>
      </c>
      <c r="L26" s="55">
        <f t="shared" si="2"/>
        <v>0</v>
      </c>
      <c r="M26" s="73">
        <v>0</v>
      </c>
    </row>
    <row r="27" spans="2:15" ht="20.100000000000001" customHeight="1">
      <c r="B27" s="238"/>
      <c r="C27" s="236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0">
        <f t="shared" si="0"/>
        <v>0</v>
      </c>
      <c r="K27" s="64">
        <v>0</v>
      </c>
      <c r="L27" s="55">
        <f t="shared" si="2"/>
        <v>0</v>
      </c>
      <c r="M27" s="73">
        <v>0</v>
      </c>
    </row>
    <row r="28" spans="2:15" ht="20.100000000000001" customHeight="1" thickBot="1">
      <c r="B28" s="238"/>
      <c r="C28" s="236"/>
      <c r="D28" s="61" t="s">
        <v>49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6">
        <f t="shared" si="0"/>
        <v>0</v>
      </c>
      <c r="K28" s="107">
        <v>0</v>
      </c>
      <c r="L28" s="108">
        <f t="shared" si="2"/>
        <v>0</v>
      </c>
      <c r="M28" s="109">
        <v>0</v>
      </c>
    </row>
    <row r="29" spans="2:15" s="27" customFormat="1" ht="20.100000000000001" customHeight="1" thickBot="1">
      <c r="B29" s="246" t="s">
        <v>47</v>
      </c>
      <c r="C29" s="247"/>
      <c r="D29" s="248"/>
      <c r="E29" s="228">
        <v>1560628</v>
      </c>
      <c r="F29" s="215">
        <v>145831</v>
      </c>
      <c r="G29" s="215">
        <v>818057</v>
      </c>
      <c r="H29" s="110">
        <v>134530</v>
      </c>
      <c r="I29" s="110">
        <v>793092</v>
      </c>
      <c r="J29" s="103">
        <f t="shared" si="0"/>
        <v>-11301</v>
      </c>
      <c r="K29" s="84">
        <f t="shared" si="1"/>
        <v>0.92250618867044731</v>
      </c>
      <c r="L29" s="103">
        <f t="shared" si="2"/>
        <v>-24965</v>
      </c>
      <c r="M29" s="85">
        <f t="shared" si="3"/>
        <v>0.96948256661821852</v>
      </c>
    </row>
    <row r="30" spans="2:15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H12" sqref="H12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58" t="s">
        <v>87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61" t="s">
        <v>50</v>
      </c>
      <c r="H5" s="261"/>
      <c r="I5" s="43"/>
      <c r="J5"/>
      <c r="K5"/>
      <c r="L5"/>
      <c r="M5" s="42"/>
      <c r="N5" s="42"/>
      <c r="O5" s="261" t="s">
        <v>88</v>
      </c>
      <c r="P5" s="261"/>
    </row>
    <row r="6" spans="2:29" s="12" customFormat="1" ht="32.25" customHeight="1">
      <c r="B6" s="148" t="s">
        <v>94</v>
      </c>
      <c r="C6" s="186">
        <v>2020</v>
      </c>
      <c r="D6" s="186">
        <v>2021</v>
      </c>
      <c r="E6" s="186">
        <v>2022</v>
      </c>
      <c r="F6" s="188">
        <v>2023</v>
      </c>
      <c r="G6" s="188">
        <v>2024</v>
      </c>
      <c r="H6" s="152" t="s">
        <v>111</v>
      </c>
      <c r="I6" s="47"/>
      <c r="J6" s="148" t="s">
        <v>94</v>
      </c>
      <c r="K6" s="190">
        <v>2020</v>
      </c>
      <c r="L6" s="190">
        <v>2021</v>
      </c>
      <c r="M6" s="190">
        <v>2022</v>
      </c>
      <c r="N6" s="192">
        <v>2023</v>
      </c>
      <c r="O6" s="192">
        <v>2024</v>
      </c>
      <c r="P6" s="154" t="str">
        <f>$H$6</f>
        <v>2025.6.</v>
      </c>
    </row>
    <row r="7" spans="2:29" s="12" customFormat="1" ht="39.200000000000003" customHeight="1" thickBot="1">
      <c r="B7" s="149" t="s">
        <v>92</v>
      </c>
      <c r="C7" s="187">
        <v>17409</v>
      </c>
      <c r="D7" s="187">
        <v>16473</v>
      </c>
      <c r="E7" s="187">
        <v>16626</v>
      </c>
      <c r="F7" s="189">
        <v>17324</v>
      </c>
      <c r="G7" s="189">
        <v>17502</v>
      </c>
      <c r="H7" s="153">
        <f>통계요약!I8</f>
        <v>8892</v>
      </c>
      <c r="I7" s="48"/>
      <c r="J7" s="150" t="s">
        <v>91</v>
      </c>
      <c r="K7" s="191">
        <v>106847350</v>
      </c>
      <c r="L7" s="191">
        <v>116876152</v>
      </c>
      <c r="M7" s="191">
        <v>116171568</v>
      </c>
      <c r="N7" s="193">
        <v>116607017</v>
      </c>
      <c r="O7" s="194">
        <v>116714212</v>
      </c>
      <c r="P7" s="155">
        <f>통계요약!I11</f>
        <v>56635328</v>
      </c>
    </row>
    <row r="8" spans="2:29" s="12" customFormat="1" ht="21" customHeight="1" thickBot="1">
      <c r="B8"/>
      <c r="C8"/>
      <c r="D8"/>
      <c r="E8" s="42"/>
      <c r="F8" s="42"/>
      <c r="G8" s="261" t="s">
        <v>89</v>
      </c>
      <c r="H8" s="261"/>
      <c r="I8" s="43"/>
      <c r="J8" s="13"/>
      <c r="K8" s="14"/>
      <c r="L8" s="14"/>
      <c r="M8" s="42"/>
      <c r="N8" s="42"/>
      <c r="O8" s="261" t="s">
        <v>90</v>
      </c>
      <c r="P8" s="261"/>
    </row>
    <row r="9" spans="2:29" s="12" customFormat="1" ht="32.25" customHeight="1">
      <c r="B9" s="148" t="s">
        <v>94</v>
      </c>
      <c r="C9" s="195">
        <v>2020</v>
      </c>
      <c r="D9" s="195">
        <v>2021</v>
      </c>
      <c r="E9" s="195">
        <v>2022</v>
      </c>
      <c r="F9" s="197">
        <v>2023</v>
      </c>
      <c r="G9" s="197">
        <v>2024</v>
      </c>
      <c r="H9" s="154" t="str">
        <f>$H$6</f>
        <v>2025.6.</v>
      </c>
      <c r="I9" s="49"/>
      <c r="J9" s="148" t="s">
        <v>94</v>
      </c>
      <c r="K9" s="203">
        <v>2020</v>
      </c>
      <c r="L9" s="203">
        <v>2021</v>
      </c>
      <c r="M9" s="203">
        <v>2022</v>
      </c>
      <c r="N9" s="205">
        <v>2023</v>
      </c>
      <c r="O9" s="205">
        <v>2024</v>
      </c>
      <c r="P9" s="154" t="str">
        <f>$H$6</f>
        <v>2025.6.</v>
      </c>
    </row>
    <row r="10" spans="2:29" s="12" customFormat="1" ht="37.5" customHeight="1" thickBot="1">
      <c r="B10" s="151" t="s">
        <v>22</v>
      </c>
      <c r="C10" s="196">
        <v>792643</v>
      </c>
      <c r="D10" s="196">
        <v>936246</v>
      </c>
      <c r="E10" s="196">
        <v>851953</v>
      </c>
      <c r="F10" s="199">
        <v>820289</v>
      </c>
      <c r="G10" s="198">
        <v>924735.5</v>
      </c>
      <c r="H10" s="156">
        <f>통계요약!I21</f>
        <v>458752</v>
      </c>
      <c r="I10" s="50"/>
      <c r="J10" s="151" t="s">
        <v>93</v>
      </c>
      <c r="K10" s="204">
        <v>40267</v>
      </c>
      <c r="L10" s="204">
        <v>0</v>
      </c>
      <c r="M10" s="204">
        <v>0</v>
      </c>
      <c r="N10" s="206">
        <v>0</v>
      </c>
      <c r="O10" s="206">
        <v>0</v>
      </c>
      <c r="P10" s="156"/>
      <c r="S10" s="26" t="s">
        <v>102</v>
      </c>
      <c r="AC10" s="26"/>
    </row>
    <row r="11" spans="2:29" ht="21" customHeight="1"/>
    <row r="12" spans="2:29" s="19" customFormat="1" ht="21" customHeight="1">
      <c r="B12" s="260" t="s">
        <v>98</v>
      </c>
      <c r="C12" s="260"/>
      <c r="D12" s="260"/>
      <c r="I12" s="51"/>
    </row>
    <row r="13" spans="2:29" s="12" customFormat="1" ht="21" customHeight="1">
      <c r="B13" s="259" t="s">
        <v>95</v>
      </c>
      <c r="C13" s="259"/>
      <c r="I13" s="46"/>
      <c r="J13" s="259" t="s">
        <v>96</v>
      </c>
      <c r="K13" s="259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59" t="s">
        <v>97</v>
      </c>
      <c r="C23" s="259"/>
      <c r="I23" s="46"/>
      <c r="J23" s="259" t="s">
        <v>99</v>
      </c>
      <c r="K23" s="259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abSelected="1" zoomScale="90" zoomScaleNormal="90" workbookViewId="0">
      <selection activeCell="H23" sqref="H23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41" t="s">
        <v>108</v>
      </c>
      <c r="C3" s="242"/>
      <c r="D3" s="242"/>
      <c r="E3" s="242"/>
      <c r="F3" s="242"/>
      <c r="G3" s="242"/>
      <c r="H3" s="242"/>
      <c r="I3" s="242"/>
      <c r="J3" s="242"/>
      <c r="K3" s="242"/>
      <c r="L3" s="243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62" t="s">
        <v>23</v>
      </c>
      <c r="C6" s="270" t="s">
        <v>24</v>
      </c>
      <c r="D6" s="268" t="s">
        <v>101</v>
      </c>
      <c r="E6" s="268"/>
      <c r="F6" s="268"/>
      <c r="G6" s="268" t="s">
        <v>110</v>
      </c>
      <c r="H6" s="268"/>
      <c r="I6" s="268" t="s">
        <v>25</v>
      </c>
      <c r="J6" s="268"/>
      <c r="K6" s="268"/>
      <c r="L6" s="269"/>
      <c r="X6" s="20" t="s">
        <v>84</v>
      </c>
    </row>
    <row r="7" spans="1:35" ht="21.95" customHeight="1" thickBot="1">
      <c r="B7" s="263"/>
      <c r="C7" s="271"/>
      <c r="D7" s="123" t="s">
        <v>26</v>
      </c>
      <c r="E7" s="123" t="str">
        <f>통계요약!F7</f>
        <v>6월(A)</v>
      </c>
      <c r="F7" s="123" t="str">
        <f>통계요약!G7</f>
        <v xml:space="preserve"> 6월누계(B) </v>
      </c>
      <c r="G7" s="124" t="str">
        <f>통계요약!H7</f>
        <v>6월(C)</v>
      </c>
      <c r="H7" s="123" t="str">
        <f>통계요약!I7</f>
        <v xml:space="preserve"> 6월누계(D) </v>
      </c>
      <c r="I7" s="123" t="s">
        <v>27</v>
      </c>
      <c r="J7" s="125" t="s">
        <v>28</v>
      </c>
      <c r="K7" s="126" t="s">
        <v>29</v>
      </c>
      <c r="L7" s="127" t="s">
        <v>28</v>
      </c>
    </row>
    <row r="8" spans="1:35" ht="21.95" customHeight="1">
      <c r="B8" s="264" t="s">
        <v>30</v>
      </c>
      <c r="C8" s="128" t="s">
        <v>31</v>
      </c>
      <c r="D8" s="129">
        <f>SUM(D10,D12,D14,D16,D18,D20,D22,D26,D24,D30,D32,D34,D36,D28)</f>
        <v>924735.5</v>
      </c>
      <c r="E8" s="129">
        <f>SUM(E10,E12,E14,E16,E18,E20,E22,E26,E24,E30,E32,E34,E36,E28)</f>
        <v>80981</v>
      </c>
      <c r="F8" s="129">
        <f>SUM(F10,F12,F14,F16,F18,F20,F22,F26,F24,F30,F32,F34,F36,F28)</f>
        <v>450058</v>
      </c>
      <c r="G8" s="129">
        <f>SUM(G10,G12,G14,G16,G18,G20,G22,G26,G24,G30,G32,G34,G36,G28,)</f>
        <v>83043</v>
      </c>
      <c r="H8" s="130">
        <f>SUM(H10,H12,H14,H16,H18,H20,H22,H26,H24,H30,H32,H34,H36,H28,)</f>
        <v>458751</v>
      </c>
      <c r="I8" s="131">
        <f t="shared" ref="I8:I9" si="0">G8-E8</f>
        <v>2062</v>
      </c>
      <c r="J8" s="132">
        <f t="shared" ref="J8:J9" si="1">(G8/E8*100)-100</f>
        <v>2.5462762870302811</v>
      </c>
      <c r="K8" s="133">
        <f t="shared" ref="K8:K9" si="2">H8-F8</f>
        <v>8693</v>
      </c>
      <c r="L8" s="134">
        <f t="shared" ref="L8:L9" si="3">(H8/F8*100)-100</f>
        <v>1.9315288251736433</v>
      </c>
    </row>
    <row r="9" spans="1:35" ht="21.95" customHeight="1" thickBot="1">
      <c r="B9" s="265"/>
      <c r="C9" s="135" t="s">
        <v>32</v>
      </c>
      <c r="D9" s="136">
        <f>SUM(D11,D13,D15,D17,D19,D21,D23,D25,D27,D31,D33,D35,D37,D29)</f>
        <v>14055928</v>
      </c>
      <c r="E9" s="136">
        <f>SUM(E11,E13,E15,E17,E19,E21,E23,E25,E27,E31,E33,E35,E37,E29)</f>
        <v>1221709</v>
      </c>
      <c r="F9" s="136">
        <f>SUM(F11,F13,F15,F17,F19,F21,F23,F25,F27,F31,F33,F35,F37,F29)</f>
        <v>6801622</v>
      </c>
      <c r="G9" s="136">
        <f>SUM(G11,G13,G15,G17,G19,G21,G23,G25,G27,G31,G33,G35,G37,G29)</f>
        <v>1228539</v>
      </c>
      <c r="H9" s="137">
        <f>SUM(H11,H13,H15,H17,H19,H21,H23,H25,H27,H31,H33,H35,H37,H29)</f>
        <v>7062907</v>
      </c>
      <c r="I9" s="138">
        <f t="shared" si="0"/>
        <v>6830</v>
      </c>
      <c r="J9" s="139">
        <f t="shared" si="1"/>
        <v>0.5590529332271359</v>
      </c>
      <c r="K9" s="140">
        <f t="shared" si="2"/>
        <v>261285</v>
      </c>
      <c r="L9" s="141">
        <f t="shared" si="3"/>
        <v>3.8415101574301076</v>
      </c>
    </row>
    <row r="10" spans="1:35" ht="21.2" customHeight="1">
      <c r="B10" s="266" t="s">
        <v>33</v>
      </c>
      <c r="C10" s="165" t="s">
        <v>31</v>
      </c>
      <c r="D10" s="219">
        <v>53912</v>
      </c>
      <c r="E10" s="207">
        <v>4848</v>
      </c>
      <c r="F10" s="207">
        <v>27285</v>
      </c>
      <c r="G10" s="166"/>
      <c r="H10" s="230">
        <v>13137</v>
      </c>
      <c r="I10" s="180">
        <f>IFERROR(G10-E10,"-")</f>
        <v>-4848</v>
      </c>
      <c r="J10" s="167">
        <f>IFERROR((G10/E10*100)-100,"-")</f>
        <v>-100</v>
      </c>
      <c r="K10" s="168">
        <f>IFERROR(H10-F10,"-")</f>
        <v>-14148</v>
      </c>
      <c r="L10" s="169">
        <f>IFERROR((H10/F10*100)-100,"-")</f>
        <v>-51.852666300164927</v>
      </c>
      <c r="M10" s="30"/>
      <c r="O10" s="20" t="s">
        <v>51</v>
      </c>
      <c r="U10" s="157"/>
      <c r="V10" s="157"/>
    </row>
    <row r="11" spans="1:35" ht="21.2" customHeight="1">
      <c r="B11" s="267"/>
      <c r="C11" s="176" t="s">
        <v>32</v>
      </c>
      <c r="D11" s="220">
        <v>998726</v>
      </c>
      <c r="E11" s="208">
        <v>88179</v>
      </c>
      <c r="F11" s="208">
        <v>506255</v>
      </c>
      <c r="G11" s="185"/>
      <c r="H11" s="231">
        <v>237788</v>
      </c>
      <c r="I11" s="181">
        <f>IFERROR(G11-E11,"-")</f>
        <v>-88179</v>
      </c>
      <c r="J11" s="177">
        <f>IFERROR((G11/E11*100)-100,"-")</f>
        <v>-100</v>
      </c>
      <c r="K11" s="178">
        <f t="shared" ref="K11:K37" si="4">IFERROR(H11-F11,"-")</f>
        <v>-268467</v>
      </c>
      <c r="L11" s="179">
        <f t="shared" ref="L11:L37" si="5">IFERROR((H11/F11*100)-100,"-")</f>
        <v>-53.029994765483792</v>
      </c>
      <c r="O11" s="20" t="s">
        <v>51</v>
      </c>
      <c r="U11" s="157"/>
      <c r="V11" s="157"/>
    </row>
    <row r="12" spans="1:35" ht="21.2" customHeight="1">
      <c r="B12" s="267" t="s">
        <v>34</v>
      </c>
      <c r="C12" s="142" t="s">
        <v>31</v>
      </c>
      <c r="D12" s="221">
        <v>57203</v>
      </c>
      <c r="E12" s="209">
        <v>4344</v>
      </c>
      <c r="F12" s="209">
        <v>24158</v>
      </c>
      <c r="G12" s="232">
        <v>7244</v>
      </c>
      <c r="H12" s="232">
        <v>37725</v>
      </c>
      <c r="I12" s="182">
        <f>IFERROR(G12-E12,"-")</f>
        <v>2900</v>
      </c>
      <c r="J12" s="144">
        <f>IFERROR((G12/E12*100)-100,"-")</f>
        <v>66.758747697974201</v>
      </c>
      <c r="K12" s="145">
        <f t="shared" si="4"/>
        <v>13567</v>
      </c>
      <c r="L12" s="146">
        <f t="shared" si="5"/>
        <v>56.15945028561967</v>
      </c>
      <c r="O12" s="20" t="s">
        <v>52</v>
      </c>
      <c r="U12" s="157"/>
      <c r="V12" s="15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67"/>
      <c r="C13" s="176" t="s">
        <v>32</v>
      </c>
      <c r="D13" s="220">
        <v>821405</v>
      </c>
      <c r="E13" s="208">
        <v>61254</v>
      </c>
      <c r="F13" s="208">
        <v>340287</v>
      </c>
      <c r="G13" s="231">
        <v>115467</v>
      </c>
      <c r="H13" s="231">
        <v>602809</v>
      </c>
      <c r="I13" s="181">
        <f>IFERROR(G13-E13,"-")</f>
        <v>54213</v>
      </c>
      <c r="J13" s="177">
        <f>IFERROR((G13/E13*100)-100,"-")</f>
        <v>88.505240474091494</v>
      </c>
      <c r="K13" s="178">
        <f t="shared" si="4"/>
        <v>262522</v>
      </c>
      <c r="L13" s="179">
        <f t="shared" si="5"/>
        <v>77.147231601559838</v>
      </c>
      <c r="O13" s="20" t="s">
        <v>52</v>
      </c>
      <c r="U13" s="157"/>
      <c r="V13" s="157"/>
      <c r="AC13" s="33" t="s">
        <v>82</v>
      </c>
      <c r="AD13" s="35">
        <f>E10+E12</f>
        <v>9192</v>
      </c>
      <c r="AE13" s="35">
        <f>F10+F12</f>
        <v>51443</v>
      </c>
      <c r="AF13" s="35">
        <f>G10+G12</f>
        <v>7244</v>
      </c>
      <c r="AG13" s="35">
        <f>H10+H12</f>
        <v>50862</v>
      </c>
      <c r="AH13" s="36">
        <f t="shared" ref="AH13:AI15" si="6">(AF13/AD13*100)-100</f>
        <v>-21.192341166231515</v>
      </c>
      <c r="AI13" s="36">
        <f t="shared" si="6"/>
        <v>-1.1294053612736406</v>
      </c>
    </row>
    <row r="14" spans="1:35" ht="21.2" customHeight="1">
      <c r="B14" s="267" t="s">
        <v>72</v>
      </c>
      <c r="C14" s="142" t="s">
        <v>31</v>
      </c>
      <c r="D14" s="221">
        <v>9</v>
      </c>
      <c r="E14" s="202">
        <v>0</v>
      </c>
      <c r="F14" s="202">
        <v>0</v>
      </c>
      <c r="G14" s="147">
        <v>0</v>
      </c>
      <c r="H14" s="147">
        <v>0</v>
      </c>
      <c r="I14" s="182">
        <f t="shared" ref="I14:I37" si="7">IFERROR(G14-E14,"-")</f>
        <v>0</v>
      </c>
      <c r="J14" s="144" t="str">
        <f t="shared" ref="J14:J37" si="8">IFERROR((G14/E14*100)-100,"-")</f>
        <v>-</v>
      </c>
      <c r="K14" s="145">
        <f t="shared" si="4"/>
        <v>0</v>
      </c>
      <c r="L14" s="146" t="str">
        <f t="shared" si="5"/>
        <v>-</v>
      </c>
      <c r="O14" s="20" t="s">
        <v>73</v>
      </c>
      <c r="U14" s="157"/>
      <c r="V14" s="157"/>
      <c r="AC14" s="33" t="s">
        <v>83</v>
      </c>
      <c r="AD14" s="35">
        <f>E18+E20+E22</f>
        <v>50759</v>
      </c>
      <c r="AE14" s="35">
        <f>F18+F20+F22</f>
        <v>279551</v>
      </c>
      <c r="AF14" s="35">
        <f>G18+G20+G22</f>
        <v>46394</v>
      </c>
      <c r="AG14" s="35">
        <f>H18+H20+H22</f>
        <v>249379</v>
      </c>
      <c r="AH14" s="36">
        <f t="shared" si="6"/>
        <v>-8.5994601942512645</v>
      </c>
      <c r="AI14" s="36">
        <f t="shared" si="6"/>
        <v>-10.793021666887256</v>
      </c>
    </row>
    <row r="15" spans="1:35" ht="21.2" customHeight="1">
      <c r="B15" s="267"/>
      <c r="C15" s="113" t="s">
        <v>32</v>
      </c>
      <c r="D15" s="220">
        <v>213</v>
      </c>
      <c r="E15" s="200">
        <v>0</v>
      </c>
      <c r="F15" s="200">
        <v>0</v>
      </c>
      <c r="G15" s="116">
        <v>0</v>
      </c>
      <c r="H15" s="116">
        <v>0</v>
      </c>
      <c r="I15" s="183">
        <f t="shared" si="7"/>
        <v>0</v>
      </c>
      <c r="J15" s="114" t="str">
        <f t="shared" si="8"/>
        <v>-</v>
      </c>
      <c r="K15" s="115">
        <f t="shared" si="4"/>
        <v>0</v>
      </c>
      <c r="L15" s="118" t="str">
        <f t="shared" si="5"/>
        <v>-</v>
      </c>
      <c r="O15" s="20" t="s">
        <v>73</v>
      </c>
      <c r="AC15" s="33" t="s">
        <v>76</v>
      </c>
      <c r="AD15" s="35">
        <f>E32+E34+E36</f>
        <v>21030</v>
      </c>
      <c r="AE15" s="35">
        <f>F32+F34+F36</f>
        <v>118852</v>
      </c>
      <c r="AF15" s="35">
        <f>G32+G34+G36</f>
        <v>29405</v>
      </c>
      <c r="AG15" s="35">
        <f>H32+H34+H36</f>
        <v>158510</v>
      </c>
      <c r="AH15" s="36">
        <f t="shared" si="6"/>
        <v>39.82406086543034</v>
      </c>
      <c r="AI15" s="36">
        <f t="shared" si="6"/>
        <v>33.367549557432767</v>
      </c>
    </row>
    <row r="16" spans="1:35" ht="21.2" customHeight="1">
      <c r="B16" s="267" t="s">
        <v>46</v>
      </c>
      <c r="C16" s="142" t="s">
        <v>31</v>
      </c>
      <c r="D16" s="222">
        <v>212</v>
      </c>
      <c r="E16" s="202">
        <v>0</v>
      </c>
      <c r="F16" s="202">
        <v>212</v>
      </c>
      <c r="G16" s="147">
        <v>0</v>
      </c>
      <c r="H16" s="147"/>
      <c r="I16" s="182">
        <f t="shared" si="7"/>
        <v>0</v>
      </c>
      <c r="J16" s="144" t="str">
        <f t="shared" si="8"/>
        <v>-</v>
      </c>
      <c r="K16" s="145">
        <f t="shared" si="4"/>
        <v>-212</v>
      </c>
      <c r="L16" s="146">
        <f t="shared" si="5"/>
        <v>-100</v>
      </c>
      <c r="O16" s="20" t="s">
        <v>53</v>
      </c>
    </row>
    <row r="17" spans="2:15" ht="21.2" customHeight="1">
      <c r="B17" s="267"/>
      <c r="C17" s="113" t="s">
        <v>45</v>
      </c>
      <c r="D17" s="223">
        <v>5372</v>
      </c>
      <c r="E17" s="200">
        <v>0</v>
      </c>
      <c r="F17" s="200">
        <v>5372</v>
      </c>
      <c r="G17" s="116">
        <v>0</v>
      </c>
      <c r="H17" s="116"/>
      <c r="I17" s="183">
        <f t="shared" si="7"/>
        <v>0</v>
      </c>
      <c r="J17" s="114" t="str">
        <f t="shared" si="8"/>
        <v>-</v>
      </c>
      <c r="K17" s="115">
        <f t="shared" si="4"/>
        <v>-5372</v>
      </c>
      <c r="L17" s="118">
        <f t="shared" si="5"/>
        <v>-100</v>
      </c>
      <c r="O17" s="20" t="s">
        <v>53</v>
      </c>
    </row>
    <row r="18" spans="2:15" ht="21.2" customHeight="1">
      <c r="B18" s="267" t="s">
        <v>35</v>
      </c>
      <c r="C18" s="142" t="s">
        <v>31</v>
      </c>
      <c r="D18" s="221">
        <v>142959.25</v>
      </c>
      <c r="E18" s="201">
        <v>15377</v>
      </c>
      <c r="F18" s="201">
        <v>74463</v>
      </c>
      <c r="G18" s="229">
        <v>16158</v>
      </c>
      <c r="H18" s="229">
        <v>93789</v>
      </c>
      <c r="I18" s="182">
        <f t="shared" si="7"/>
        <v>781</v>
      </c>
      <c r="J18" s="144">
        <f t="shared" si="8"/>
        <v>5.0790141119854297</v>
      </c>
      <c r="K18" s="145">
        <f t="shared" si="4"/>
        <v>19326</v>
      </c>
      <c r="L18" s="146">
        <f t="shared" si="5"/>
        <v>25.95382941863744</v>
      </c>
      <c r="M18" s="30"/>
      <c r="O18" s="20" t="s">
        <v>54</v>
      </c>
    </row>
    <row r="19" spans="2:15" ht="21.2" customHeight="1">
      <c r="B19" s="267"/>
      <c r="C19" s="113" t="s">
        <v>32</v>
      </c>
      <c r="D19" s="220">
        <v>2340460</v>
      </c>
      <c r="E19" s="208">
        <v>231811</v>
      </c>
      <c r="F19" s="208">
        <v>1212436</v>
      </c>
      <c r="G19" s="231">
        <v>198125</v>
      </c>
      <c r="H19" s="231">
        <v>1320409</v>
      </c>
      <c r="I19" s="183">
        <f t="shared" si="7"/>
        <v>-33686</v>
      </c>
      <c r="J19" s="114">
        <f t="shared" si="8"/>
        <v>-14.531665882982253</v>
      </c>
      <c r="K19" s="115">
        <f t="shared" si="4"/>
        <v>107973</v>
      </c>
      <c r="L19" s="118">
        <f t="shared" si="5"/>
        <v>8.9054597521023737</v>
      </c>
      <c r="O19" s="20" t="s">
        <v>55</v>
      </c>
    </row>
    <row r="20" spans="2:15" ht="21.2" customHeight="1">
      <c r="B20" s="267" t="s">
        <v>42</v>
      </c>
      <c r="C20" s="142" t="s">
        <v>31</v>
      </c>
      <c r="D20" s="221">
        <v>233375.5</v>
      </c>
      <c r="E20" s="201">
        <v>22273</v>
      </c>
      <c r="F20" s="201">
        <v>120296</v>
      </c>
      <c r="G20" s="229">
        <v>19706</v>
      </c>
      <c r="H20" s="229">
        <v>89993</v>
      </c>
      <c r="I20" s="182">
        <f t="shared" si="7"/>
        <v>-2567</v>
      </c>
      <c r="J20" s="144">
        <f t="shared" si="8"/>
        <v>-11.525164997979616</v>
      </c>
      <c r="K20" s="145">
        <f t="shared" si="4"/>
        <v>-30303</v>
      </c>
      <c r="L20" s="146">
        <f t="shared" si="5"/>
        <v>-25.190363769368901</v>
      </c>
      <c r="O20" s="20" t="s">
        <v>56</v>
      </c>
    </row>
    <row r="21" spans="2:15" ht="21.2" customHeight="1">
      <c r="B21" s="267"/>
      <c r="C21" s="113" t="s">
        <v>32</v>
      </c>
      <c r="D21" s="220">
        <v>3245962</v>
      </c>
      <c r="E21" s="208">
        <v>326048</v>
      </c>
      <c r="F21" s="208">
        <v>1611094</v>
      </c>
      <c r="G21" s="231">
        <v>315402</v>
      </c>
      <c r="H21" s="231">
        <v>1574508</v>
      </c>
      <c r="I21" s="183">
        <f t="shared" si="7"/>
        <v>-10646</v>
      </c>
      <c r="J21" s="114">
        <f t="shared" si="8"/>
        <v>-3.2651634115222379</v>
      </c>
      <c r="K21" s="115">
        <f t="shared" si="4"/>
        <v>-36586</v>
      </c>
      <c r="L21" s="118">
        <f t="shared" si="5"/>
        <v>-2.2708792907179856</v>
      </c>
      <c r="O21" s="20" t="s">
        <v>57</v>
      </c>
    </row>
    <row r="22" spans="2:15" ht="21.2" customHeight="1">
      <c r="B22" s="267" t="s">
        <v>36</v>
      </c>
      <c r="C22" s="142" t="s">
        <v>31</v>
      </c>
      <c r="D22" s="221">
        <v>163176.75</v>
      </c>
      <c r="E22" s="201">
        <v>13109</v>
      </c>
      <c r="F22" s="201">
        <v>84792</v>
      </c>
      <c r="G22" s="229">
        <v>10530</v>
      </c>
      <c r="H22" s="229">
        <v>65597</v>
      </c>
      <c r="I22" s="182">
        <f t="shared" si="7"/>
        <v>-2579</v>
      </c>
      <c r="J22" s="144">
        <f t="shared" si="8"/>
        <v>-19.673506751087046</v>
      </c>
      <c r="K22" s="145">
        <f t="shared" si="4"/>
        <v>-19195</v>
      </c>
      <c r="L22" s="146">
        <f t="shared" si="5"/>
        <v>-22.637748844230586</v>
      </c>
      <c r="O22" s="20" t="s">
        <v>58</v>
      </c>
    </row>
    <row r="23" spans="2:15" ht="21.2" customHeight="1">
      <c r="B23" s="267"/>
      <c r="C23" s="113" t="s">
        <v>32</v>
      </c>
      <c r="D23" s="220">
        <v>2560713</v>
      </c>
      <c r="E23" s="208">
        <v>210568</v>
      </c>
      <c r="F23" s="208">
        <v>1328084</v>
      </c>
      <c r="G23" s="231">
        <v>175376</v>
      </c>
      <c r="H23" s="231">
        <v>1040947</v>
      </c>
      <c r="I23" s="183">
        <f t="shared" si="7"/>
        <v>-35192</v>
      </c>
      <c r="J23" s="114">
        <f t="shared" si="8"/>
        <v>-16.712890847612172</v>
      </c>
      <c r="K23" s="115">
        <f t="shared" si="4"/>
        <v>-287137</v>
      </c>
      <c r="L23" s="118">
        <f t="shared" si="5"/>
        <v>-21.620394493119406</v>
      </c>
      <c r="O23" s="20" t="s">
        <v>59</v>
      </c>
    </row>
    <row r="24" spans="2:15" ht="21.2" customHeight="1">
      <c r="B24" s="267" t="s">
        <v>48</v>
      </c>
      <c r="C24" s="142" t="s">
        <v>31</v>
      </c>
      <c r="D24" s="222">
        <v>8</v>
      </c>
      <c r="E24" s="202">
        <v>0</v>
      </c>
      <c r="F24" s="202">
        <v>0</v>
      </c>
      <c r="G24" s="147">
        <v>0</v>
      </c>
      <c r="H24" s="147">
        <v>0</v>
      </c>
      <c r="I24" s="182">
        <f t="shared" si="7"/>
        <v>0</v>
      </c>
      <c r="J24" s="144" t="str">
        <f t="shared" si="8"/>
        <v>-</v>
      </c>
      <c r="K24" s="145">
        <f t="shared" si="4"/>
        <v>0</v>
      </c>
      <c r="L24" s="146" t="str">
        <f t="shared" si="5"/>
        <v>-</v>
      </c>
      <c r="O24" s="20" t="s">
        <v>60</v>
      </c>
    </row>
    <row r="25" spans="2:15" ht="21.2" customHeight="1">
      <c r="B25" s="267"/>
      <c r="C25" s="117" t="s">
        <v>32</v>
      </c>
      <c r="D25" s="223">
        <v>175</v>
      </c>
      <c r="E25" s="200">
        <v>0</v>
      </c>
      <c r="F25" s="200">
        <v>0</v>
      </c>
      <c r="G25" s="116">
        <v>0</v>
      </c>
      <c r="H25" s="116">
        <v>0</v>
      </c>
      <c r="I25" s="183">
        <f t="shared" si="7"/>
        <v>0</v>
      </c>
      <c r="J25" s="114" t="str">
        <f t="shared" si="8"/>
        <v>-</v>
      </c>
      <c r="K25" s="115">
        <f t="shared" si="4"/>
        <v>0</v>
      </c>
      <c r="L25" s="118" t="str">
        <f t="shared" si="5"/>
        <v>-</v>
      </c>
      <c r="O25" s="20" t="s">
        <v>61</v>
      </c>
    </row>
    <row r="26" spans="2:15" ht="21.2" customHeight="1">
      <c r="B26" s="267" t="s">
        <v>71</v>
      </c>
      <c r="C26" s="142" t="s">
        <v>31</v>
      </c>
      <c r="D26" s="222">
        <v>0</v>
      </c>
      <c r="E26" s="202">
        <v>0</v>
      </c>
      <c r="F26" s="202">
        <v>0</v>
      </c>
      <c r="G26" s="147">
        <v>0</v>
      </c>
      <c r="H26" s="147">
        <v>0</v>
      </c>
      <c r="I26" s="182">
        <f t="shared" si="7"/>
        <v>0</v>
      </c>
      <c r="J26" s="144" t="str">
        <f t="shared" si="8"/>
        <v>-</v>
      </c>
      <c r="K26" s="145">
        <f t="shared" si="4"/>
        <v>0</v>
      </c>
      <c r="L26" s="146" t="str">
        <f t="shared" si="5"/>
        <v>-</v>
      </c>
      <c r="O26" s="20" t="s">
        <v>74</v>
      </c>
    </row>
    <row r="27" spans="2:15" ht="21.2" customHeight="1">
      <c r="B27" s="267"/>
      <c r="C27" s="113" t="s">
        <v>32</v>
      </c>
      <c r="D27" s="223">
        <v>0</v>
      </c>
      <c r="E27" s="200">
        <v>0</v>
      </c>
      <c r="F27" s="200">
        <v>0</v>
      </c>
      <c r="G27" s="116">
        <v>0</v>
      </c>
      <c r="H27" s="116">
        <v>0</v>
      </c>
      <c r="I27" s="183">
        <f t="shared" si="7"/>
        <v>0</v>
      </c>
      <c r="J27" s="114" t="str">
        <f t="shared" si="8"/>
        <v>-</v>
      </c>
      <c r="K27" s="115">
        <f t="shared" si="4"/>
        <v>0</v>
      </c>
      <c r="L27" s="118" t="str">
        <f t="shared" si="5"/>
        <v>-</v>
      </c>
      <c r="O27" s="20" t="s">
        <v>74</v>
      </c>
    </row>
    <row r="28" spans="2:15" ht="21.2" customHeight="1">
      <c r="B28" s="267" t="s">
        <v>43</v>
      </c>
      <c r="C28" s="142" t="s">
        <v>44</v>
      </c>
      <c r="D28" s="221">
        <v>36</v>
      </c>
      <c r="E28" s="202">
        <v>0</v>
      </c>
      <c r="F28" s="202">
        <v>0</v>
      </c>
      <c r="G28" s="147">
        <v>0</v>
      </c>
      <c r="H28" s="147">
        <v>0</v>
      </c>
      <c r="I28" s="182">
        <f t="shared" si="7"/>
        <v>0</v>
      </c>
      <c r="J28" s="144" t="str">
        <f t="shared" si="8"/>
        <v>-</v>
      </c>
      <c r="K28" s="145">
        <f t="shared" si="4"/>
        <v>0</v>
      </c>
      <c r="L28" s="146" t="str">
        <f t="shared" si="5"/>
        <v>-</v>
      </c>
      <c r="O28" s="20" t="s">
        <v>62</v>
      </c>
    </row>
    <row r="29" spans="2:15" ht="21.2" customHeight="1">
      <c r="B29" s="267"/>
      <c r="C29" s="113" t="s">
        <v>45</v>
      </c>
      <c r="D29" s="220">
        <v>956</v>
      </c>
      <c r="E29" s="200">
        <v>0</v>
      </c>
      <c r="F29" s="200">
        <v>0</v>
      </c>
      <c r="G29" s="116">
        <v>0</v>
      </c>
      <c r="H29" s="116">
        <v>0</v>
      </c>
      <c r="I29" s="183">
        <f t="shared" si="7"/>
        <v>0</v>
      </c>
      <c r="J29" s="114" t="str">
        <f t="shared" si="8"/>
        <v>-</v>
      </c>
      <c r="K29" s="115">
        <f t="shared" si="4"/>
        <v>0</v>
      </c>
      <c r="L29" s="118" t="str">
        <f t="shared" si="5"/>
        <v>-</v>
      </c>
      <c r="O29" s="20" t="s">
        <v>62</v>
      </c>
    </row>
    <row r="30" spans="2:15" ht="21.2" customHeight="1">
      <c r="B30" s="267" t="s">
        <v>38</v>
      </c>
      <c r="C30" s="142" t="s">
        <v>31</v>
      </c>
      <c r="D30" s="221">
        <v>0</v>
      </c>
      <c r="E30" s="202">
        <v>0</v>
      </c>
      <c r="F30" s="202">
        <v>0</v>
      </c>
      <c r="G30" s="147">
        <v>0</v>
      </c>
      <c r="H30" s="147">
        <v>0</v>
      </c>
      <c r="I30" s="182">
        <f t="shared" si="7"/>
        <v>0</v>
      </c>
      <c r="J30" s="144" t="str">
        <f t="shared" si="8"/>
        <v>-</v>
      </c>
      <c r="K30" s="145">
        <f t="shared" si="4"/>
        <v>0</v>
      </c>
      <c r="L30" s="146" t="str">
        <f t="shared" si="5"/>
        <v>-</v>
      </c>
      <c r="O30" s="20" t="s">
        <v>63</v>
      </c>
    </row>
    <row r="31" spans="2:15" ht="21.2" customHeight="1">
      <c r="B31" s="267"/>
      <c r="C31" s="113" t="s">
        <v>32</v>
      </c>
      <c r="D31" s="220">
        <v>0</v>
      </c>
      <c r="E31" s="200">
        <v>0</v>
      </c>
      <c r="F31" s="200">
        <v>0</v>
      </c>
      <c r="G31" s="116">
        <v>0</v>
      </c>
      <c r="H31" s="116">
        <v>0</v>
      </c>
      <c r="I31" s="183">
        <f t="shared" si="7"/>
        <v>0</v>
      </c>
      <c r="J31" s="114" t="str">
        <f t="shared" si="8"/>
        <v>-</v>
      </c>
      <c r="K31" s="115">
        <f t="shared" si="4"/>
        <v>0</v>
      </c>
      <c r="L31" s="118" t="str">
        <f t="shared" si="5"/>
        <v>-</v>
      </c>
      <c r="O31" s="20" t="s">
        <v>64</v>
      </c>
    </row>
    <row r="32" spans="2:15" ht="21.2" customHeight="1">
      <c r="B32" s="267" t="s">
        <v>39</v>
      </c>
      <c r="C32" s="142" t="s">
        <v>31</v>
      </c>
      <c r="D32" s="221">
        <v>78522</v>
      </c>
      <c r="E32" s="201">
        <v>6664</v>
      </c>
      <c r="F32" s="201">
        <v>33527</v>
      </c>
      <c r="G32" s="143">
        <v>8621</v>
      </c>
      <c r="H32" s="229">
        <v>45238</v>
      </c>
      <c r="I32" s="182">
        <f t="shared" si="7"/>
        <v>1957</v>
      </c>
      <c r="J32" s="144">
        <f t="shared" si="8"/>
        <v>29.366746698679464</v>
      </c>
      <c r="K32" s="145">
        <f t="shared" si="4"/>
        <v>11711</v>
      </c>
      <c r="L32" s="146">
        <f t="shared" si="5"/>
        <v>34.930056372475917</v>
      </c>
      <c r="O32" s="20" t="s">
        <v>65</v>
      </c>
    </row>
    <row r="33" spans="2:15" ht="21.2" customHeight="1">
      <c r="B33" s="267"/>
      <c r="C33" s="113" t="s">
        <v>32</v>
      </c>
      <c r="D33" s="220">
        <v>1262971</v>
      </c>
      <c r="E33" s="208">
        <v>103487</v>
      </c>
      <c r="F33" s="208">
        <v>533336</v>
      </c>
      <c r="G33" s="231">
        <v>131911</v>
      </c>
      <c r="H33" s="231">
        <v>691515</v>
      </c>
      <c r="I33" s="183">
        <f t="shared" si="7"/>
        <v>28424</v>
      </c>
      <c r="J33" s="114">
        <f t="shared" si="8"/>
        <v>27.466251799742963</v>
      </c>
      <c r="K33" s="115">
        <f t="shared" si="4"/>
        <v>158179</v>
      </c>
      <c r="L33" s="118">
        <f t="shared" si="5"/>
        <v>29.658414207928956</v>
      </c>
      <c r="O33" s="20" t="s">
        <v>66</v>
      </c>
    </row>
    <row r="34" spans="2:15" ht="21.2" customHeight="1">
      <c r="B34" s="267" t="s">
        <v>40</v>
      </c>
      <c r="C34" s="142" t="s">
        <v>31</v>
      </c>
      <c r="D34" s="221">
        <v>144194</v>
      </c>
      <c r="E34" s="201">
        <v>11002</v>
      </c>
      <c r="F34" s="201">
        <v>64389</v>
      </c>
      <c r="G34" s="229">
        <v>14794</v>
      </c>
      <c r="H34" s="229">
        <v>81113</v>
      </c>
      <c r="I34" s="182">
        <f t="shared" si="7"/>
        <v>3792</v>
      </c>
      <c r="J34" s="144">
        <f t="shared" si="8"/>
        <v>34.466460643519383</v>
      </c>
      <c r="K34" s="145">
        <f t="shared" si="4"/>
        <v>16724</v>
      </c>
      <c r="L34" s="146">
        <f t="shared" si="5"/>
        <v>25.973380546366627</v>
      </c>
      <c r="O34" s="20" t="s">
        <v>67</v>
      </c>
    </row>
    <row r="35" spans="2:15" ht="21.2" customHeight="1">
      <c r="B35" s="267"/>
      <c r="C35" s="113" t="s">
        <v>32</v>
      </c>
      <c r="D35" s="220">
        <v>2071805</v>
      </c>
      <c r="E35" s="208">
        <v>151136</v>
      </c>
      <c r="F35" s="208">
        <v>939148</v>
      </c>
      <c r="G35" s="231">
        <v>206896</v>
      </c>
      <c r="H35" s="231">
        <v>1155679</v>
      </c>
      <c r="I35" s="183">
        <f t="shared" si="7"/>
        <v>55760</v>
      </c>
      <c r="J35" s="114">
        <f t="shared" si="8"/>
        <v>36.893923353800545</v>
      </c>
      <c r="K35" s="115">
        <f t="shared" si="4"/>
        <v>216531</v>
      </c>
      <c r="L35" s="118">
        <f t="shared" si="5"/>
        <v>23.056110432008595</v>
      </c>
      <c r="O35" s="20" t="s">
        <v>68</v>
      </c>
    </row>
    <row r="36" spans="2:15" ht="21.2" customHeight="1">
      <c r="B36" s="267" t="s">
        <v>41</v>
      </c>
      <c r="C36" s="142" t="s">
        <v>31</v>
      </c>
      <c r="D36" s="221">
        <v>51128</v>
      </c>
      <c r="E36" s="201">
        <v>3364</v>
      </c>
      <c r="F36" s="201">
        <v>20936</v>
      </c>
      <c r="G36" s="229">
        <v>5990</v>
      </c>
      <c r="H36" s="229">
        <v>32159</v>
      </c>
      <c r="I36" s="182">
        <f t="shared" si="7"/>
        <v>2626</v>
      </c>
      <c r="J36" s="144">
        <f t="shared" si="8"/>
        <v>78.061831153388823</v>
      </c>
      <c r="K36" s="145">
        <f t="shared" si="4"/>
        <v>11223</v>
      </c>
      <c r="L36" s="146">
        <f t="shared" si="5"/>
        <v>53.606228505922815</v>
      </c>
      <c r="O36" s="20" t="s">
        <v>69</v>
      </c>
    </row>
    <row r="37" spans="2:15" ht="21.2" customHeight="1">
      <c r="B37" s="272"/>
      <c r="C37" s="119" t="s">
        <v>32</v>
      </c>
      <c r="D37" s="224">
        <v>747170</v>
      </c>
      <c r="E37" s="210">
        <v>49226</v>
      </c>
      <c r="F37" s="210">
        <v>325610</v>
      </c>
      <c r="G37" s="233">
        <v>85362</v>
      </c>
      <c r="H37" s="233">
        <v>439252</v>
      </c>
      <c r="I37" s="184">
        <f t="shared" si="7"/>
        <v>36136</v>
      </c>
      <c r="J37" s="120">
        <f t="shared" si="8"/>
        <v>73.408361435014001</v>
      </c>
      <c r="K37" s="121">
        <f t="shared" si="4"/>
        <v>113642</v>
      </c>
      <c r="L37" s="122">
        <f t="shared" si="5"/>
        <v>34.901262246245494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2025-07-31T00:26:30Z</dcterms:modified>
</cp:coreProperties>
</file>