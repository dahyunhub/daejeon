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3. 항만운영통계\2024\3월\"/>
    </mc:Choice>
  </mc:AlternateContent>
  <xr:revisionPtr revIDLastSave="0" documentId="13_ncr:1_{20C501CE-4497-43D1-A5DD-378FDC30B6C3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O7" i="33" s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<sst xmlns="http://schemas.openxmlformats.org/spreadsheetml/2006/main" count="159" uniqueCount="113">
  <si>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</si>
  <si>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</si>
  <si>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</si>
  <si>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</si>
  <si>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</si>
  <si>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</si>
  <si>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</si>
  <si>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</si>
  <si>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</si>
  <si>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</si>
  <si>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</si>
  <si>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</si>
  <si>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</si>
  <si>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</si>
  <si>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</si>
  <si>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</si>
  <si>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</si>
  <si>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</si>
  <si>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</si>
  <si>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</si>
  <si>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</si>
  <si>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</si>
  <si>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</si>
  <si>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</si>
  <si>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</si>
  <si>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</si>
  <si>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</si>
  <si>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</si>
  <si>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</si>
  <si>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</si>
  <si>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</si>
  <si>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</si>
  <si>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</si>
  <si>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</si>
  <si>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</si>
  <si>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</si>
  <si>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</si>
  <si>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</si>
  <si>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</si>
  <si>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</si>
  <si>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</si>
  <si>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</si>
  <si>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</si>
  <si>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</si>
  <si>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</si>
  <si>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</si>
  <si>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</si>
  <si>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</si>
  <si>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</si>
  <si>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</si>
  <si>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</si>
  <si>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</si>
  <si>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</si>
  <si>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</si>
  <si>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</si>
  <si>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</si>
  <si>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</si>
  <si>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</si>
  <si>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</si>
  <si>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</si>
  <si>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</si>
  <si>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</si>
  <si>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</si>
  <si>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</si>
  <si>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</si>
  <si>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</si>
  <si>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</si>
  <si>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</si>
  <si>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</si>
  <si>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</si>
  <si>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</si>
  <si>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</si>
  <si>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</si>
  <si>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</si>
  <si>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</si>
  <si>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</si>
  <si>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</si>
  <si>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</si>
  <si>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</si>
  <si>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</si>
  <si>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</si>
  <si>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</si>
  <si>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</si>
  <si>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</si>
  <si>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</si>
  <si>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</si>
  <si>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</si>
  <si>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</si>
  <si>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</si>
  <si>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</si>
  <si>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</si>
  <si>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</si>
  <si>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</si>
  <si>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</si>
  <si>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</si>
  <si>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</si>
  <si>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</si>
  <si>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</si>
  <si>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</si>
  <si>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</si>
  <si>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</si>
  <si>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2023년도</t>
    <phoneticPr fontId="8" type="noConversion"/>
  </si>
  <si>
    <t>2024년도</t>
    <phoneticPr fontId="8" type="noConversion"/>
  </si>
  <si>
    <t>2023년도</t>
    <phoneticPr fontId="8" type="noConversion"/>
  </si>
  <si>
    <t>2024년도</t>
    <phoneticPr fontId="8" type="noConversion"/>
  </si>
  <si>
    <t xml:space="preserve"> </t>
    <phoneticPr fontId="19" type="noConversion"/>
  </si>
  <si>
    <t>항만운영통계(3월)</t>
    <phoneticPr fontId="8" type="noConversion"/>
  </si>
  <si>
    <t>부두별 컨테이너 물동량(3월)</t>
    <phoneticPr fontId="20" type="noConversion"/>
  </si>
  <si>
    <t>3월(A)</t>
    <phoneticPr fontId="8" type="noConversion"/>
  </si>
  <si>
    <t xml:space="preserve"> 3월누계(B) </t>
    <phoneticPr fontId="8" type="noConversion"/>
  </si>
  <si>
    <t>3월(C)</t>
    <phoneticPr fontId="8" type="noConversion"/>
  </si>
  <si>
    <t xml:space="preserve"> 3월누계(D) </t>
    <phoneticPr fontId="8" type="noConversion"/>
  </si>
  <si>
    <t>2024.3.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</si>
</sst>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3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176" fontId="13" fillId="0" borderId="6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/>
    </xf>
    <xf numFmtId="188" fontId="22" fillId="0" borderId="25" xfId="15" applyNumberFormat="1" applyFont="1" applyBorder="1" applyAlignment="1">
      <alignment horizontal="center" vertical="center"/>
    </xf>
    <xf numFmtId="189" fontId="22" fillId="0" borderId="6" xfId="101" applyNumberFormat="1" applyFont="1" applyFill="1" applyBorder="1" applyAlignment="1">
      <alignment horizontal="right" vertical="center"/>
    </xf>
    <xf numFmtId="182" fontId="34" fillId="0" borderId="6" xfId="22" applyNumberFormat="1" applyFont="1" applyBorder="1">
      <alignment vertical="center"/>
    </xf>
    <xf numFmtId="182" fontId="31" fillId="0" borderId="6" xfId="22" applyNumberFormat="1" applyFont="1" applyBorder="1" applyAlignment="1">
      <alignment horizontal="right" vertical="center"/>
    </xf>
    <xf numFmtId="176" fontId="13" fillId="0" borderId="20" xfId="19" applyNumberFormat="1" applyFont="1" applyFill="1" applyBorder="1" applyAlignment="1">
      <alignment horizontal="center" vertical="center"/>
    </xf>
    <xf numFmtId="176" fontId="13" fillId="0" borderId="6" xfId="19" applyNumberFormat="1" applyFont="1" applyFill="1" applyBorder="1" applyAlignment="1">
      <alignment horizontal="center" vertical="center"/>
    </xf>
    <xf numFmtId="176" fontId="13" fillId="0" borderId="18" xfId="19" applyNumberFormat="1" applyFont="1" applyFill="1" applyBorder="1" applyAlignment="1">
      <alignment horizontal="center" vertical="center"/>
    </xf>
    <xf numFmtId="176" fontId="13" fillId="0" borderId="20" xfId="19" applyNumberFormat="1" applyFont="1" applyBorder="1" applyAlignment="1">
      <alignment horizontal="right" vertical="center"/>
    </xf>
    <xf numFmtId="176" fontId="13" fillId="0" borderId="18" xfId="19" applyNumberFormat="1" applyFont="1" applyFill="1" applyBorder="1" applyAlignment="1">
      <alignment horizontal="right" vertical="center"/>
    </xf>
    <xf numFmtId="0" fontId="21" fillId="5" borderId="6" xfId="17" applyFont="1" applyFill="1" applyBorder="1" applyAlignment="1">
      <alignment horizontal="center" vertical="center"/>
    </xf>
    <xf numFmtId="184" fontId="14" fillId="5" borderId="6" xfId="17" quotePrefix="1" applyNumberFormat="1" applyFont="1" applyFill="1" applyBorder="1" applyAlignment="1">
      <alignment horizontal="right" vertical="center" shrinkToFit="1"/>
    </xf>
    <xf numFmtId="176" fontId="14" fillId="5" borderId="6" xfId="17" applyNumberFormat="1" applyFont="1" applyFill="1" applyBorder="1" applyAlignment="1">
      <alignment horizontal="right" vertical="center" shrinkToFit="1"/>
    </xf>
    <xf numFmtId="184" fontId="14" fillId="5" borderId="11" xfId="17" quotePrefix="1" applyNumberFormat="1" applyFont="1" applyFill="1" applyBorder="1" applyAlignment="1">
      <alignment horizontal="right" vertical="center" shrinkToFit="1"/>
    </xf>
    <xf numFmtId="41" fontId="22" fillId="9" borderId="36" xfId="40" applyFont="1" applyFill="1" applyBorder="1" applyAlignment="1">
      <alignment horizontal="center" vertical="center"/>
    </xf>
    <xf numFmtId="41" fontId="22" fillId="5" borderId="37" xfId="40" applyFont="1" applyFill="1" applyBorder="1" applyAlignment="1">
      <alignment horizontal="center" vertical="center"/>
    </xf>
    <xf numFmtId="41" fontId="22" fillId="9" borderId="37" xfId="40" applyFont="1" applyFill="1" applyBorder="1" applyAlignment="1">
      <alignment horizontal="center" vertical="center"/>
    </xf>
    <xf numFmtId="41" fontId="22" fillId="9" borderId="37" xfId="23" applyFont="1" applyFill="1" applyBorder="1" applyAlignment="1">
      <alignment horizontal="right" vertical="center"/>
    </xf>
    <xf numFmtId="41" fontId="22" fillId="0" borderId="37" xfId="23" applyFont="1" applyFill="1" applyBorder="1" applyAlignment="1">
      <alignment horizontal="right" vertical="center"/>
    </xf>
    <xf numFmtId="41" fontId="22" fillId="5" borderId="25" xfId="40" applyFont="1" applyFill="1" applyBorder="1" applyAlignment="1">
      <alignment horizontal="center" vertical="center"/>
    </xf>
    <xf numFmtId="185" fontId="14" fillId="9" borderId="38" xfId="17" applyNumberFormat="1" applyFont="1" applyFill="1" applyBorder="1" applyAlignment="1">
      <alignment horizontal="right" vertical="center" shrinkToFit="1"/>
    </xf>
    <xf numFmtId="185" fontId="14" fillId="5" borderId="39" xfId="17" applyNumberFormat="1" applyFont="1" applyFill="1" applyBorder="1" applyAlignment="1">
      <alignment horizontal="right" vertical="center" shrinkToFit="1"/>
    </xf>
    <xf numFmtId="185" fontId="14" fillId="9" borderId="39" xfId="17" applyNumberFormat="1" applyFont="1" applyFill="1" applyBorder="1" applyAlignment="1">
      <alignment horizontal="right" vertical="center" shrinkToFit="1"/>
    </xf>
    <xf numFmtId="185" fontId="14" fillId="4" borderId="39" xfId="17" applyNumberFormat="1" applyFont="1" applyFill="1" applyBorder="1" applyAlignment="1">
      <alignment horizontal="right" vertical="center" shrinkToFit="1"/>
    </xf>
    <xf numFmtId="185" fontId="14" fillId="4" borderId="40" xfId="17" applyNumberFormat="1" applyFont="1" applyFill="1" applyBorder="1" applyAlignment="1">
      <alignment horizontal="right" vertical="center" shrinkToFit="1"/>
    </xf>
    <xf numFmtId="3" fontId="22" fillId="5" borderId="6" xfId="0" applyNumberFormat="1" applyFont="1" applyFill="1" applyBorder="1" applyAlignment="1">
      <alignment horizontal="right" vertical="center"/>
    </xf>
    <xf numFmtId="3" fontId="32" fillId="9" borderId="6" xfId="0" applyNumberFormat="1" applyFont="1" applyFill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3" fontId="22" fillId="5" borderId="41" xfId="0" applyNumberFormat="1" applyFont="1" applyFill="1" applyBorder="1" applyAlignment="1">
      <alignment horizontal="right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176" fontId="14" fillId="6" borderId="8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0" fontId="22" fillId="6" borderId="10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</cellXfs>
  <cellStyles count="103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2024.3.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29146209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2024.3.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204455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2024.3.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2024.3.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4202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10" t="s">
        <v>106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2"/>
      <c r="N3" s="39"/>
      <c r="O3" s="39"/>
      <c r="P3" s="39"/>
    </row>
    <row r="4" spans="2:16" ht="21" customHeight="1">
      <c r="B4" s="113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14" t="s">
        <v>85</v>
      </c>
      <c r="L5" s="214"/>
      <c r="M5" s="214"/>
    </row>
    <row r="6" spans="2:16" ht="21" customHeight="1">
      <c r="B6" s="228" t="s">
        <v>7</v>
      </c>
      <c r="C6" s="229"/>
      <c r="D6" s="229"/>
      <c r="E6" s="72"/>
      <c r="F6" s="213" t="s">
        <v>101</v>
      </c>
      <c r="G6" s="213"/>
      <c r="H6" s="213" t="s">
        <v>102</v>
      </c>
      <c r="I6" s="213"/>
      <c r="J6" s="213" t="s">
        <v>15</v>
      </c>
      <c r="K6" s="213"/>
      <c r="L6" s="213"/>
      <c r="M6" s="227"/>
    </row>
    <row r="7" spans="2:16" ht="21" customHeight="1" thickBot="1">
      <c r="B7" s="230"/>
      <c r="C7" s="231"/>
      <c r="D7" s="231"/>
      <c r="E7" s="75" t="s">
        <v>11</v>
      </c>
      <c r="F7" s="76" t="s">
        <v>108</v>
      </c>
      <c r="G7" s="75" t="s">
        <v>109</v>
      </c>
      <c r="H7" s="75" t="s">
        <v>110</v>
      </c>
      <c r="I7" s="75" t="s">
        <v>111</v>
      </c>
      <c r="J7" s="75" t="s">
        <v>37</v>
      </c>
      <c r="K7" s="77" t="s">
        <v>16</v>
      </c>
      <c r="L7" s="78" t="s">
        <v>18</v>
      </c>
      <c r="M7" s="79" t="s">
        <v>16</v>
      </c>
    </row>
    <row r="8" spans="2:16" ht="20.100000000000001" customHeight="1" thickBot="1">
      <c r="B8" s="222" t="s">
        <v>19</v>
      </c>
      <c r="C8" s="225" t="s">
        <v>12</v>
      </c>
      <c r="D8" s="226"/>
      <c r="E8" s="84">
        <f>SUM(E9:E10)</f>
        <v>17324</v>
      </c>
      <c r="F8" s="84">
        <f>SUM(F9:F10)</f>
        <v>1584</v>
      </c>
      <c r="G8" s="84">
        <f>SUM(G9:G10)</f>
        <v>4353</v>
      </c>
      <c r="H8" s="84">
        <f>SUM(H9:H10)</f>
        <v>1487</v>
      </c>
      <c r="I8" s="84">
        <f>SUM(I9:I10)</f>
        <v>4202</v>
      </c>
      <c r="J8" s="84">
        <f>H8-F8</f>
        <v>-97</v>
      </c>
      <c r="K8" s="85">
        <f>H8/F8</f>
        <v>0.9387626262626263</v>
      </c>
      <c r="L8" s="84">
        <f>I8-G8</f>
        <v>-151</v>
      </c>
      <c r="M8" s="86">
        <f>I8/G8</f>
        <v>0.96531127957730301</v>
      </c>
    </row>
    <row r="9" spans="2:16" ht="20.100000000000001" customHeight="1">
      <c r="B9" s="223"/>
      <c r="C9" s="232" t="s">
        <v>9</v>
      </c>
      <c r="D9" s="232"/>
      <c r="E9" s="168">
        <v>10498</v>
      </c>
      <c r="F9" s="189">
        <v>975</v>
      </c>
      <c r="G9" s="80">
        <v>2680</v>
      </c>
      <c r="H9" s="80">
        <v>884</v>
      </c>
      <c r="I9" s="80">
        <v>2541</v>
      </c>
      <c r="J9" s="81">
        <f t="shared" ref="J9:J29" si="0">H9-F9</f>
        <v>-91</v>
      </c>
      <c r="K9" s="82">
        <f t="shared" ref="K9:K29" si="1">H9/F9</f>
        <v>0.90666666666666662</v>
      </c>
      <c r="L9" s="81">
        <f t="shared" ref="L9:L29" si="2">I9-G9</f>
        <v>-139</v>
      </c>
      <c r="M9" s="83">
        <f t="shared" ref="M9:M29" si="3">I9/G9</f>
        <v>0.94813432835820899</v>
      </c>
    </row>
    <row r="10" spans="2:16" ht="20.100000000000001" customHeight="1" thickBot="1">
      <c r="B10" s="223"/>
      <c r="C10" s="233" t="s">
        <v>10</v>
      </c>
      <c r="D10" s="233"/>
      <c r="E10" s="169">
        <v>6826</v>
      </c>
      <c r="F10" s="190">
        <v>609</v>
      </c>
      <c r="G10" s="87">
        <v>1673</v>
      </c>
      <c r="H10" s="87">
        <v>603</v>
      </c>
      <c r="I10" s="87">
        <v>1661</v>
      </c>
      <c r="J10" s="87">
        <f t="shared" si="0"/>
        <v>-6</v>
      </c>
      <c r="K10" s="88">
        <f t="shared" si="1"/>
        <v>0.99014778325123154</v>
      </c>
      <c r="L10" s="87">
        <f t="shared" si="2"/>
        <v>-12</v>
      </c>
      <c r="M10" s="89">
        <f t="shared" si="3"/>
        <v>0.99282725642558278</v>
      </c>
      <c r="O10" t="s">
        <v>100</v>
      </c>
    </row>
    <row r="11" spans="2:16" ht="20.100000000000001" customHeight="1" thickBot="1">
      <c r="B11" s="222" t="s">
        <v>20</v>
      </c>
      <c r="C11" s="225" t="s">
        <v>8</v>
      </c>
      <c r="D11" s="226"/>
      <c r="E11" s="95">
        <f>E12+E16</f>
        <v>116607017</v>
      </c>
      <c r="F11" s="95">
        <f>F12+F16</f>
        <v>10986990</v>
      </c>
      <c r="G11" s="95">
        <f>G12+G16</f>
        <v>31766441</v>
      </c>
      <c r="H11" s="95">
        <f>H12+H16</f>
        <v>9854870</v>
      </c>
      <c r="I11" s="95">
        <f>I12+I16</f>
        <v>29146209</v>
      </c>
      <c r="J11" s="95">
        <f t="shared" si="0"/>
        <v>-1132120</v>
      </c>
      <c r="K11" s="85">
        <f t="shared" si="1"/>
        <v>0.89695812956960919</v>
      </c>
      <c r="L11" s="96">
        <f>I11-G11</f>
        <v>-2620232</v>
      </c>
      <c r="M11" s="86">
        <f t="shared" si="3"/>
        <v>0.9175157204422113</v>
      </c>
    </row>
    <row r="12" spans="2:16" ht="20.100000000000001" customHeight="1">
      <c r="B12" s="223"/>
      <c r="C12" s="232" t="s">
        <v>1</v>
      </c>
      <c r="D12" s="90" t="s">
        <v>0</v>
      </c>
      <c r="E12" s="91">
        <f>SUM(E13:E15)</f>
        <v>105503891</v>
      </c>
      <c r="F12" s="91">
        <f>SUM(F13:F15)</f>
        <v>9889903</v>
      </c>
      <c r="G12" s="91">
        <f>SUM(G13:G15)</f>
        <v>29007203</v>
      </c>
      <c r="H12" s="91">
        <f>SUM(H13:H15)</f>
        <v>8873568</v>
      </c>
      <c r="I12" s="91">
        <f>SUM(I13:I15)</f>
        <v>26358782</v>
      </c>
      <c r="J12" s="92">
        <f t="shared" si="0"/>
        <v>-1016335</v>
      </c>
      <c r="K12" s="93">
        <f t="shared" si="1"/>
        <v>0.89723508916113737</v>
      </c>
      <c r="L12" s="92">
        <f>I12-G12</f>
        <v>-2648421</v>
      </c>
      <c r="M12" s="94">
        <f t="shared" si="3"/>
        <v>0.90869781550465245</v>
      </c>
    </row>
    <row r="13" spans="2:16" ht="20.100000000000001" customHeight="1">
      <c r="B13" s="223"/>
      <c r="C13" s="215"/>
      <c r="D13" s="61" t="s">
        <v>5</v>
      </c>
      <c r="E13" s="170">
        <v>85548211</v>
      </c>
      <c r="F13" s="184">
        <v>7897594</v>
      </c>
      <c r="G13" s="172">
        <v>23796625</v>
      </c>
      <c r="H13" s="184">
        <v>7044749</v>
      </c>
      <c r="I13" s="172">
        <v>21505826</v>
      </c>
      <c r="J13" s="57">
        <f t="shared" si="0"/>
        <v>-852845</v>
      </c>
      <c r="K13" s="54">
        <f t="shared" si="1"/>
        <v>0.89201204822633329</v>
      </c>
      <c r="L13" s="57">
        <f>I13-G13</f>
        <v>-2290799</v>
      </c>
      <c r="M13" s="66">
        <f t="shared" si="3"/>
        <v>0.90373429005163552</v>
      </c>
      <c r="O13" s="29"/>
    </row>
    <row r="14" spans="2:16" ht="20.100000000000001" customHeight="1">
      <c r="B14" s="223"/>
      <c r="C14" s="215"/>
      <c r="D14" s="61" t="s">
        <v>6</v>
      </c>
      <c r="E14" s="171">
        <v>17063258</v>
      </c>
      <c r="F14" s="184">
        <v>1606654</v>
      </c>
      <c r="G14" s="172">
        <v>4283225</v>
      </c>
      <c r="H14" s="184">
        <v>1605400</v>
      </c>
      <c r="I14" s="172">
        <v>4119087</v>
      </c>
      <c r="J14" s="57">
        <f t="shared" si="0"/>
        <v>-1254</v>
      </c>
      <c r="K14" s="54">
        <f t="shared" si="1"/>
        <v>0.99921949592133719</v>
      </c>
      <c r="L14" s="57">
        <f t="shared" si="2"/>
        <v>-164138</v>
      </c>
      <c r="M14" s="66">
        <f t="shared" si="3"/>
        <v>0.96167887514664763</v>
      </c>
    </row>
    <row r="15" spans="2:16" ht="20.100000000000001" customHeight="1">
      <c r="B15" s="223"/>
      <c r="C15" s="215"/>
      <c r="D15" s="61" t="s">
        <v>13</v>
      </c>
      <c r="E15" s="171">
        <v>2892422</v>
      </c>
      <c r="F15" s="184">
        <v>385655</v>
      </c>
      <c r="G15" s="172">
        <v>927353</v>
      </c>
      <c r="H15" s="184">
        <v>223419</v>
      </c>
      <c r="I15" s="172">
        <v>733869</v>
      </c>
      <c r="J15" s="57">
        <f t="shared" si="0"/>
        <v>-162236</v>
      </c>
      <c r="K15" s="54">
        <f>H15/F15</f>
        <v>0.57932348861028637</v>
      </c>
      <c r="L15" s="57">
        <f t="shared" si="2"/>
        <v>-193484</v>
      </c>
      <c r="M15" s="66">
        <f t="shared" si="3"/>
        <v>0.7913588460920491</v>
      </c>
    </row>
    <row r="16" spans="2:16" ht="20.100000000000001" customHeight="1">
      <c r="B16" s="223"/>
      <c r="C16" s="215" t="s">
        <v>2</v>
      </c>
      <c r="D16" s="59" t="s">
        <v>0</v>
      </c>
      <c r="E16" s="58">
        <f>SUM(E17:E19)</f>
        <v>11103126</v>
      </c>
      <c r="F16" s="58">
        <f>SUM(F17:F19)</f>
        <v>1097087</v>
      </c>
      <c r="G16" s="58">
        <f>SUM(G17:G19)</f>
        <v>2759238</v>
      </c>
      <c r="H16" s="58">
        <f>SUM(H17:H19)</f>
        <v>981302</v>
      </c>
      <c r="I16" s="58">
        <f>SUM(I17:I19)</f>
        <v>2787427</v>
      </c>
      <c r="J16" s="52">
        <f t="shared" si="0"/>
        <v>-115785</v>
      </c>
      <c r="K16" s="53">
        <f t="shared" si="1"/>
        <v>0.89446142375217275</v>
      </c>
      <c r="L16" s="60">
        <f t="shared" si="2"/>
        <v>28189</v>
      </c>
      <c r="M16" s="67">
        <f t="shared" si="3"/>
        <v>1.0102162263639454</v>
      </c>
    </row>
    <row r="17" spans="2:13" ht="20.100000000000001" customHeight="1">
      <c r="B17" s="223"/>
      <c r="C17" s="215"/>
      <c r="D17" s="61" t="s">
        <v>3</v>
      </c>
      <c r="E17" s="173">
        <v>7713381</v>
      </c>
      <c r="F17" s="185">
        <v>733187</v>
      </c>
      <c r="G17" s="172">
        <v>930569</v>
      </c>
      <c r="H17" s="185">
        <v>704452</v>
      </c>
      <c r="I17" s="172">
        <v>1948555</v>
      </c>
      <c r="J17" s="57">
        <f t="shared" si="0"/>
        <v>-28735</v>
      </c>
      <c r="K17" s="54">
        <f t="shared" si="1"/>
        <v>0.96080808852311894</v>
      </c>
      <c r="L17" s="57">
        <f t="shared" si="2"/>
        <v>1017986</v>
      </c>
      <c r="M17" s="66">
        <f t="shared" si="3"/>
        <v>2.0939392995038522</v>
      </c>
    </row>
    <row r="18" spans="2:13" ht="20.100000000000001" customHeight="1">
      <c r="B18" s="223"/>
      <c r="C18" s="215"/>
      <c r="D18" s="61" t="s">
        <v>4</v>
      </c>
      <c r="E18" s="173">
        <v>3389745</v>
      </c>
      <c r="F18" s="185">
        <v>363900</v>
      </c>
      <c r="G18" s="172">
        <v>1828669</v>
      </c>
      <c r="H18" s="185">
        <v>276850</v>
      </c>
      <c r="I18" s="172">
        <v>838872</v>
      </c>
      <c r="J18" s="57">
        <f t="shared" si="0"/>
        <v>-87050</v>
      </c>
      <c r="K18" s="54">
        <f t="shared" si="1"/>
        <v>0.76078593020060459</v>
      </c>
      <c r="L18" s="57">
        <f t="shared" si="2"/>
        <v>-989797</v>
      </c>
      <c r="M18" s="66">
        <f t="shared" si="3"/>
        <v>0.45873364725929078</v>
      </c>
    </row>
    <row r="19" spans="2:13" ht="20.100000000000001" customHeight="1">
      <c r="B19" s="223"/>
      <c r="C19" s="215"/>
      <c r="D19" s="61" t="s">
        <v>17</v>
      </c>
      <c r="E19" s="172">
        <v>0</v>
      </c>
      <c r="F19" s="62">
        <v>0</v>
      </c>
      <c r="G19" s="172">
        <v>0</v>
      </c>
      <c r="H19" s="62">
        <v>0</v>
      </c>
      <c r="I19" s="172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3" ht="20.100000000000001" customHeight="1" thickBot="1">
      <c r="B20" s="73"/>
      <c r="C20" s="97"/>
      <c r="D20" s="181"/>
      <c r="E20" s="98"/>
      <c r="F20" s="99"/>
      <c r="G20" s="99"/>
      <c r="H20" s="99"/>
      <c r="I20" s="98"/>
      <c r="J20" s="100"/>
      <c r="K20" s="219" t="s">
        <v>21</v>
      </c>
      <c r="L20" s="220"/>
      <c r="M20" s="221"/>
    </row>
    <row r="21" spans="2:13" ht="20.100000000000001" customHeight="1" thickBot="1">
      <c r="B21" s="224" t="s">
        <v>86</v>
      </c>
      <c r="C21" s="225" t="s">
        <v>8</v>
      </c>
      <c r="D21" s="226"/>
      <c r="E21" s="102">
        <f>SUM(E22,E26)</f>
        <v>820289</v>
      </c>
      <c r="F21" s="103">
        <f>SUM(F22,F26)</f>
        <v>73168</v>
      </c>
      <c r="G21" s="103">
        <f>SUM(G22,G26)</f>
        <v>196396</v>
      </c>
      <c r="H21" s="102">
        <f>SUM(H22,H26)</f>
        <v>79427</v>
      </c>
      <c r="I21" s="102">
        <f>SUM(I22,I26)</f>
        <v>204455</v>
      </c>
      <c r="J21" s="104">
        <f t="shared" si="0"/>
        <v>6259</v>
      </c>
      <c r="K21" s="105">
        <f t="shared" si="1"/>
        <v>1.0855428602667834</v>
      </c>
      <c r="L21" s="104">
        <f t="shared" si="2"/>
        <v>8059</v>
      </c>
      <c r="M21" s="86">
        <f>I21/G21</f>
        <v>1.0410344406199719</v>
      </c>
    </row>
    <row r="22" spans="2:13" ht="20.100000000000001" customHeight="1">
      <c r="B22" s="223"/>
      <c r="C22" s="232" t="s">
        <v>1</v>
      </c>
      <c r="D22" s="90" t="s">
        <v>0</v>
      </c>
      <c r="E22" s="90">
        <f>SUM(E23:E25)</f>
        <v>820289</v>
      </c>
      <c r="F22" s="90">
        <f>SUM(F23:F25)</f>
        <v>73168</v>
      </c>
      <c r="G22" s="90">
        <f>SUM(G23:G25)</f>
        <v>196396</v>
      </c>
      <c r="H22" s="90">
        <f>SUM(H23:H25)</f>
        <v>79427</v>
      </c>
      <c r="I22" s="90">
        <f>SUM(I23:I25)</f>
        <v>204455</v>
      </c>
      <c r="J22" s="92">
        <f t="shared" si="0"/>
        <v>6259</v>
      </c>
      <c r="K22" s="101">
        <f t="shared" si="1"/>
        <v>1.0855428602667834</v>
      </c>
      <c r="L22" s="92">
        <f t="shared" si="2"/>
        <v>8059</v>
      </c>
      <c r="M22" s="94">
        <f t="shared" si="3"/>
        <v>1.0410344406199719</v>
      </c>
    </row>
    <row r="23" spans="2:13" ht="20.100000000000001" customHeight="1">
      <c r="B23" s="223"/>
      <c r="C23" s="215"/>
      <c r="D23" s="69" t="s">
        <v>5</v>
      </c>
      <c r="E23" s="183">
        <v>406783</v>
      </c>
      <c r="F23" s="186">
        <v>35423</v>
      </c>
      <c r="G23" s="70">
        <v>96569</v>
      </c>
      <c r="H23" s="186">
        <v>40463</v>
      </c>
      <c r="I23" s="180">
        <v>103369</v>
      </c>
      <c r="J23" s="57">
        <f t="shared" si="0"/>
        <v>5040</v>
      </c>
      <c r="K23" s="56">
        <f t="shared" si="1"/>
        <v>1.142280439262626</v>
      </c>
      <c r="L23" s="57">
        <f t="shared" si="2"/>
        <v>6800</v>
      </c>
      <c r="M23" s="66">
        <f t="shared" si="3"/>
        <v>1.0704159719992958</v>
      </c>
    </row>
    <row r="24" spans="2:13" ht="20.100000000000001" customHeight="1">
      <c r="B24" s="223"/>
      <c r="C24" s="215"/>
      <c r="D24" s="68" t="s">
        <v>14</v>
      </c>
      <c r="E24" s="174">
        <v>405018</v>
      </c>
      <c r="F24" s="187">
        <v>37201</v>
      </c>
      <c r="G24" s="70">
        <v>97360</v>
      </c>
      <c r="H24" s="187">
        <v>38129</v>
      </c>
      <c r="I24" s="180">
        <v>98689</v>
      </c>
      <c r="J24" s="57">
        <f t="shared" si="0"/>
        <v>928</v>
      </c>
      <c r="K24" s="56">
        <f t="shared" si="1"/>
        <v>1.0249455659794091</v>
      </c>
      <c r="L24" s="57">
        <f t="shared" si="2"/>
        <v>1329</v>
      </c>
      <c r="M24" s="66">
        <f t="shared" si="3"/>
        <v>1.0136503697617092</v>
      </c>
    </row>
    <row r="25" spans="2:13" ht="20.100000000000001" customHeight="1">
      <c r="B25" s="223"/>
      <c r="C25" s="215"/>
      <c r="D25" s="68" t="s">
        <v>13</v>
      </c>
      <c r="E25" s="180">
        <v>8488</v>
      </c>
      <c r="F25" s="188">
        <v>544</v>
      </c>
      <c r="G25" s="180">
        <v>2467</v>
      </c>
      <c r="H25" s="188">
        <v>835</v>
      </c>
      <c r="I25" s="180">
        <v>2397</v>
      </c>
      <c r="J25" s="57">
        <f t="shared" si="0"/>
        <v>291</v>
      </c>
      <c r="K25" s="56">
        <f t="shared" si="1"/>
        <v>1.5349264705882353</v>
      </c>
      <c r="L25" s="57">
        <f t="shared" si="2"/>
        <v>-70</v>
      </c>
      <c r="M25" s="66">
        <f t="shared" si="3"/>
        <v>0.97162545601945682</v>
      </c>
    </row>
    <row r="26" spans="2:13" ht="20.100000000000001" customHeight="1">
      <c r="B26" s="223"/>
      <c r="C26" s="215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1">
        <f t="shared" si="0"/>
        <v>0</v>
      </c>
      <c r="K26" s="64">
        <v>0</v>
      </c>
      <c r="L26" s="55">
        <f t="shared" si="2"/>
        <v>0</v>
      </c>
      <c r="M26" s="74">
        <v>0</v>
      </c>
    </row>
    <row r="27" spans="2:13" ht="20.100000000000001" customHeight="1">
      <c r="B27" s="223"/>
      <c r="C27" s="215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1">
        <f t="shared" si="0"/>
        <v>0</v>
      </c>
      <c r="K27" s="64">
        <v>0</v>
      </c>
      <c r="L27" s="55">
        <f t="shared" si="2"/>
        <v>0</v>
      </c>
      <c r="M27" s="74">
        <v>0</v>
      </c>
    </row>
    <row r="28" spans="2:13" ht="20.100000000000001" customHeight="1" thickBot="1">
      <c r="B28" s="223"/>
      <c r="C28" s="215"/>
      <c r="D28" s="61" t="s">
        <v>49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7">
        <f t="shared" si="0"/>
        <v>0</v>
      </c>
      <c r="K28" s="108">
        <v>0</v>
      </c>
      <c r="L28" s="109">
        <f t="shared" si="2"/>
        <v>0</v>
      </c>
      <c r="M28" s="110">
        <v>0</v>
      </c>
    </row>
    <row r="29" spans="2:13" s="27" customFormat="1" ht="20.100000000000001" customHeight="1" thickBot="1">
      <c r="B29" s="216" t="s">
        <v>47</v>
      </c>
      <c r="C29" s="217"/>
      <c r="D29" s="218"/>
      <c r="E29" s="111">
        <v>1616558</v>
      </c>
      <c r="F29" s="112">
        <v>170077</v>
      </c>
      <c r="G29" s="112">
        <v>456728</v>
      </c>
      <c r="H29" s="112">
        <v>141963</v>
      </c>
      <c r="I29" s="112">
        <v>389632</v>
      </c>
      <c r="J29" s="104">
        <f t="shared" si="0"/>
        <v>-28114</v>
      </c>
      <c r="K29" s="85">
        <f t="shared" si="1"/>
        <v>0.83469840131234674</v>
      </c>
      <c r="L29" s="104">
        <f t="shared" si="2"/>
        <v>-67096</v>
      </c>
      <c r="M29" s="86">
        <f t="shared" si="3"/>
        <v>0.85309418297104622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10:D10"/>
    <mergeCell ref="C12:C15"/>
    <mergeCell ref="B11:B19"/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4" t="s">
        <v>87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7" t="s">
        <v>50</v>
      </c>
      <c r="H5" s="237"/>
      <c r="I5" s="43"/>
      <c r="J5"/>
      <c r="K5"/>
      <c r="L5"/>
      <c r="M5" s="42"/>
      <c r="N5" s="42"/>
      <c r="O5" s="237" t="s">
        <v>88</v>
      </c>
      <c r="P5" s="237"/>
    </row>
    <row r="6" spans="2:29" s="12" customFormat="1" ht="32.25" customHeight="1">
      <c r="B6" s="150" t="s">
        <v>94</v>
      </c>
      <c r="C6" s="151">
        <v>2019</v>
      </c>
      <c r="D6" s="151">
        <v>2020</v>
      </c>
      <c r="E6" s="151">
        <v>2021</v>
      </c>
      <c r="F6" s="158">
        <v>2022</v>
      </c>
      <c r="G6" s="158">
        <v>2023</v>
      </c>
      <c r="H6" s="160" t="s">
        <v>112</v>
      </c>
      <c r="I6" s="47"/>
      <c r="J6" s="150" t="s">
        <v>94</v>
      </c>
      <c r="K6" s="151">
        <v>2019</v>
      </c>
      <c r="L6" s="151">
        <v>2020</v>
      </c>
      <c r="M6" s="151">
        <v>2021</v>
      </c>
      <c r="N6" s="158">
        <v>2022</v>
      </c>
      <c r="O6" s="158">
        <v>2023</v>
      </c>
      <c r="P6" s="163" t="str">
        <f>$H$6</f>
        <v>2024.3.</v>
      </c>
    </row>
    <row r="7" spans="2:29" s="12" customFormat="1" ht="39.200000000000003" customHeight="1" thickBot="1">
      <c r="B7" s="152" t="s">
        <v>92</v>
      </c>
      <c r="C7" s="153">
        <v>18416</v>
      </c>
      <c r="D7" s="153">
        <v>17409</v>
      </c>
      <c r="E7" s="153">
        <v>16473</v>
      </c>
      <c r="F7" s="159">
        <v>16626</v>
      </c>
      <c r="G7" s="159">
        <v>17324</v>
      </c>
      <c r="H7" s="161">
        <f>통계요약!I8</f>
        <v>4202</v>
      </c>
      <c r="I7" s="48"/>
      <c r="J7" s="154" t="s">
        <v>91</v>
      </c>
      <c r="K7" s="155">
        <v>113201331</v>
      </c>
      <c r="L7" s="155">
        <v>106847350</v>
      </c>
      <c r="M7" s="155">
        <v>116876152</v>
      </c>
      <c r="N7" s="162">
        <v>116171568</v>
      </c>
      <c r="O7" s="182">
        <f>통계요약!E11</f>
        <v>116607017</v>
      </c>
      <c r="P7" s="164">
        <f>통계요약!I11</f>
        <v>29146209</v>
      </c>
    </row>
    <row r="8" spans="2:29" s="12" customFormat="1" ht="21" customHeight="1" thickBot="1">
      <c r="B8"/>
      <c r="C8"/>
      <c r="D8"/>
      <c r="E8" s="42"/>
      <c r="F8" s="42"/>
      <c r="G8" s="237" t="s">
        <v>89</v>
      </c>
      <c r="H8" s="237"/>
      <c r="I8" s="43"/>
      <c r="J8" s="13"/>
      <c r="K8" s="14"/>
      <c r="L8" s="14"/>
      <c r="M8" s="42"/>
      <c r="N8" s="42"/>
      <c r="O8" s="237" t="s">
        <v>90</v>
      </c>
      <c r="P8" s="237"/>
    </row>
    <row r="9" spans="2:29" s="12" customFormat="1" ht="32.25" customHeight="1">
      <c r="B9" s="150" t="s">
        <v>94</v>
      </c>
      <c r="C9" s="151">
        <v>2019</v>
      </c>
      <c r="D9" s="151">
        <v>2020</v>
      </c>
      <c r="E9" s="151">
        <v>2021</v>
      </c>
      <c r="F9" s="158">
        <v>2022</v>
      </c>
      <c r="G9" s="158">
        <v>2023</v>
      </c>
      <c r="H9" s="163" t="str">
        <f>$H$6</f>
        <v>2024.3.</v>
      </c>
      <c r="I9" s="49"/>
      <c r="J9" s="150" t="s">
        <v>94</v>
      </c>
      <c r="K9" s="151">
        <v>2019</v>
      </c>
      <c r="L9" s="151">
        <v>2020</v>
      </c>
      <c r="M9" s="151">
        <v>2021</v>
      </c>
      <c r="N9" s="158">
        <v>2022</v>
      </c>
      <c r="O9" s="158">
        <v>2023</v>
      </c>
      <c r="P9" s="163" t="str">
        <f>$H$6</f>
        <v>2024.3.</v>
      </c>
    </row>
    <row r="10" spans="2:29" s="12" customFormat="1" ht="37.5" customHeight="1" thickBot="1">
      <c r="B10" s="156" t="s">
        <v>22</v>
      </c>
      <c r="C10" s="157">
        <v>725047</v>
      </c>
      <c r="D10" s="157">
        <v>792643</v>
      </c>
      <c r="E10" s="157">
        <v>936246</v>
      </c>
      <c r="F10" s="165">
        <v>851953</v>
      </c>
      <c r="G10" s="159">
        <v>820289</v>
      </c>
      <c r="H10" s="166">
        <f>통계요약!I21</f>
        <v>204455</v>
      </c>
      <c r="I10" s="50"/>
      <c r="J10" s="156" t="s">
        <v>93</v>
      </c>
      <c r="K10" s="153">
        <v>623733</v>
      </c>
      <c r="L10" s="153">
        <v>40267</v>
      </c>
      <c r="M10" s="153">
        <v>0</v>
      </c>
      <c r="N10" s="159">
        <v>0</v>
      </c>
      <c r="O10" s="159">
        <v>0</v>
      </c>
      <c r="P10" s="166"/>
      <c r="S10" s="26" t="s">
        <v>105</v>
      </c>
      <c r="AC10" s="26"/>
    </row>
    <row r="11" spans="2:29" ht="21" customHeight="1"/>
    <row r="12" spans="2:29" s="19" customFormat="1" ht="21" customHeight="1">
      <c r="B12" s="236" t="s">
        <v>98</v>
      </c>
      <c r="C12" s="236"/>
      <c r="D12" s="236"/>
      <c r="I12" s="51"/>
    </row>
    <row r="13" spans="2:29" s="12" customFormat="1" ht="21" customHeight="1">
      <c r="B13" s="235" t="s">
        <v>95</v>
      </c>
      <c r="C13" s="235"/>
      <c r="I13" s="46"/>
      <c r="J13" s="235" t="s">
        <v>96</v>
      </c>
      <c r="K13" s="235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5" t="s">
        <v>97</v>
      </c>
      <c r="C23" s="235"/>
      <c r="I23" s="46"/>
      <c r="J23" s="235" t="s">
        <v>99</v>
      </c>
      <c r="K23" s="235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0" zoomScaleNormal="90" workbookViewId="0">
      <selection activeCell="D8" sqref="D8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10" t="s">
        <v>107</v>
      </c>
      <c r="C3" s="211"/>
      <c r="D3" s="211"/>
      <c r="E3" s="211"/>
      <c r="F3" s="211"/>
      <c r="G3" s="211"/>
      <c r="H3" s="211"/>
      <c r="I3" s="211"/>
      <c r="J3" s="211"/>
      <c r="K3" s="211"/>
      <c r="L3" s="212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8" t="s">
        <v>23</v>
      </c>
      <c r="C6" s="246" t="s">
        <v>24</v>
      </c>
      <c r="D6" s="244" t="s">
        <v>103</v>
      </c>
      <c r="E6" s="244"/>
      <c r="F6" s="244"/>
      <c r="G6" s="244" t="s">
        <v>104</v>
      </c>
      <c r="H6" s="244"/>
      <c r="I6" s="244" t="s">
        <v>25</v>
      </c>
      <c r="J6" s="244"/>
      <c r="K6" s="244"/>
      <c r="L6" s="245"/>
      <c r="X6" s="20" t="s">
        <v>84</v>
      </c>
    </row>
    <row r="7" spans="1:35" ht="21.95" customHeight="1" thickBot="1">
      <c r="B7" s="239"/>
      <c r="C7" s="247"/>
      <c r="D7" s="125" t="s">
        <v>26</v>
      </c>
      <c r="E7" s="125" t="str">
        <f>통계요약!F7</f>
        <v>3월(A)</v>
      </c>
      <c r="F7" s="125" t="str">
        <f>통계요약!G7</f>
        <v xml:space="preserve"> 3월누계(B) </v>
      </c>
      <c r="G7" s="126" t="str">
        <f>통계요약!H7</f>
        <v>3월(C)</v>
      </c>
      <c r="H7" s="125" t="str">
        <f>통계요약!I7</f>
        <v xml:space="preserve"> 3월누계(D) </v>
      </c>
      <c r="I7" s="125" t="s">
        <v>27</v>
      </c>
      <c r="J7" s="127" t="s">
        <v>28</v>
      </c>
      <c r="K7" s="128" t="s">
        <v>29</v>
      </c>
      <c r="L7" s="129" t="s">
        <v>28</v>
      </c>
    </row>
    <row r="8" spans="1:35" ht="21.95" customHeight="1">
      <c r="B8" s="240" t="s">
        <v>30</v>
      </c>
      <c r="C8" s="130" t="s">
        <v>31</v>
      </c>
      <c r="D8" s="131">
        <f>SUM(D10,D12,D14,D16,D18,D20,D22,D26,D24,D30,D32,D34,D36,D28)</f>
        <v>820289</v>
      </c>
      <c r="E8" s="131">
        <f>SUM(E10,E12,E14,E16,E18,E20,E22,E26,E24,E30,E32,E34,E36,E28)</f>
        <v>73167.5</v>
      </c>
      <c r="F8" s="131">
        <f>SUM(F10,F12,F14,F16,F18,F20,F22,F26,F24,F30,F32,F34,F36,F28)</f>
        <v>196395.75</v>
      </c>
      <c r="G8" s="131">
        <f>SUM(G10,G12,G14,G16,G18,G20,G22,G26,G24,G30,G32,G34,G36,G28,)</f>
        <v>79426.5</v>
      </c>
      <c r="H8" s="132">
        <f>SUM(H10,H12,H14,H16,H18,H20,H22,H26,H24,H30,H32,H34,H36,H28,)</f>
        <v>204454.75</v>
      </c>
      <c r="I8" s="133">
        <f t="shared" ref="I8:I9" si="0">G8-E8</f>
        <v>6259</v>
      </c>
      <c r="J8" s="134">
        <f t="shared" ref="J8:J9" si="1">(G8/E8*100)-100</f>
        <v>8.5543444835480216</v>
      </c>
      <c r="K8" s="135">
        <f t="shared" ref="K8:K9" si="2">H8-F8</f>
        <v>8059</v>
      </c>
      <c r="L8" s="136">
        <f t="shared" ref="L8:L9" si="3">(H8/F8*100)-100</f>
        <v>4.1034492854351612</v>
      </c>
    </row>
    <row r="9" spans="1:35" ht="21.95" customHeight="1" thickBot="1">
      <c r="B9" s="241"/>
      <c r="C9" s="137" t="s">
        <v>32</v>
      </c>
      <c r="D9" s="138">
        <f>SUM(D11,D13,D15,D17,D19,D21,D23,D25,D27,D31,D33,D35,D37,D29)</f>
        <v>12332332</v>
      </c>
      <c r="E9" s="138">
        <f>SUM(E11,E13,E15,E17,E19,E21,E23,E25,E27,E31,E33,E35,E37,E29)</f>
        <v>1101945</v>
      </c>
      <c r="F9" s="138">
        <f>SUM(F11,F13,F15,F17,F19,F21,F23,F25,F27,F31,F33,F35,F37,F29)</f>
        <v>2941227</v>
      </c>
      <c r="G9" s="138">
        <f>SUM(G11,G13,G15,G17,G19,G21,G23,G25,G27,G31,G33,G35,G37,G29)</f>
        <v>1183382</v>
      </c>
      <c r="H9" s="139">
        <f>SUM(H11,H13,H15,H17,H19,H21,H23,H25,H27,H31,H33,H35,H37,H29)</f>
        <v>3087894</v>
      </c>
      <c r="I9" s="140">
        <f t="shared" si="0"/>
        <v>81437</v>
      </c>
      <c r="J9" s="141">
        <f t="shared" si="1"/>
        <v>7.3902962489053436</v>
      </c>
      <c r="K9" s="142">
        <f t="shared" si="2"/>
        <v>146667</v>
      </c>
      <c r="L9" s="143">
        <f t="shared" si="3"/>
        <v>4.9865923303437683</v>
      </c>
    </row>
    <row r="10" spans="1:35" ht="21.2" customHeight="1">
      <c r="B10" s="242" t="s">
        <v>33</v>
      </c>
      <c r="C10" s="175" t="s">
        <v>31</v>
      </c>
      <c r="D10" s="195">
        <v>55094</v>
      </c>
      <c r="E10" s="176">
        <v>5192</v>
      </c>
      <c r="F10" s="176">
        <v>13730</v>
      </c>
      <c r="G10" s="176">
        <v>4876</v>
      </c>
      <c r="H10" s="176">
        <v>12844</v>
      </c>
      <c r="I10" s="201">
        <f>IFERROR(G10-E10,"-")</f>
        <v>-316</v>
      </c>
      <c r="J10" s="177">
        <f>IFERROR((G10/E10*100)-100,"-")</f>
        <v>-6.0862865947611766</v>
      </c>
      <c r="K10" s="178">
        <f>IFERROR(H10-F10,"-")</f>
        <v>-886</v>
      </c>
      <c r="L10" s="179">
        <f>IFERROR((H10/F10*100)-100,"-")</f>
        <v>-6.4530225782957018</v>
      </c>
      <c r="M10" s="30"/>
      <c r="O10" s="20" t="s">
        <v>51</v>
      </c>
      <c r="U10" s="167"/>
      <c r="V10" s="167"/>
    </row>
    <row r="11" spans="1:35" ht="21.2" customHeight="1">
      <c r="B11" s="243"/>
      <c r="C11" s="191" t="s">
        <v>32</v>
      </c>
      <c r="D11" s="196">
        <v>1043982</v>
      </c>
      <c r="E11" s="206">
        <v>97622</v>
      </c>
      <c r="F11" s="206">
        <v>258488</v>
      </c>
      <c r="G11" s="206">
        <v>92029</v>
      </c>
      <c r="H11" s="206">
        <v>239271</v>
      </c>
      <c r="I11" s="202">
        <f t="shared" ref="I11:I37" si="4">IFERROR(G11-E11,"-")</f>
        <v>-5593</v>
      </c>
      <c r="J11" s="192">
        <f t="shared" ref="J11:J37" si="5">IFERROR((G11/E11*100)-100,"-")</f>
        <v>-5.7292413595296097</v>
      </c>
      <c r="K11" s="193">
        <f t="shared" ref="K11:K37" si="6">IFERROR(H11-F11,"-")</f>
        <v>-19217</v>
      </c>
      <c r="L11" s="194">
        <f t="shared" ref="L11:L37" si="7">IFERROR((H11/F11*100)-100,"-")</f>
        <v>-7.4343876698337965</v>
      </c>
      <c r="O11" s="20" t="s">
        <v>51</v>
      </c>
      <c r="U11" s="167"/>
      <c r="V11" s="167"/>
    </row>
    <row r="12" spans="1:35" ht="21.2" customHeight="1">
      <c r="B12" s="243" t="s">
        <v>34</v>
      </c>
      <c r="C12" s="144" t="s">
        <v>31</v>
      </c>
      <c r="D12" s="197">
        <v>45643</v>
      </c>
      <c r="E12" s="207">
        <v>4360.5</v>
      </c>
      <c r="F12" s="207">
        <v>13003.25</v>
      </c>
      <c r="G12" s="207">
        <v>4391.5</v>
      </c>
      <c r="H12" s="207">
        <v>11565.5</v>
      </c>
      <c r="I12" s="203">
        <f t="shared" si="4"/>
        <v>31</v>
      </c>
      <c r="J12" s="146">
        <f t="shared" si="5"/>
        <v>0.71092764591216451</v>
      </c>
      <c r="K12" s="147">
        <f t="shared" si="6"/>
        <v>-1437.75</v>
      </c>
      <c r="L12" s="148">
        <f t="shared" si="7"/>
        <v>-11.05685117182243</v>
      </c>
      <c r="O12" s="20" t="s">
        <v>52</v>
      </c>
      <c r="U12" s="167"/>
      <c r="V12" s="167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43"/>
      <c r="C13" s="191" t="s">
        <v>32</v>
      </c>
      <c r="D13" s="196">
        <v>634252</v>
      </c>
      <c r="E13" s="206">
        <v>60006</v>
      </c>
      <c r="F13" s="206">
        <v>185608</v>
      </c>
      <c r="G13" s="206">
        <v>60082</v>
      </c>
      <c r="H13" s="206">
        <v>163090</v>
      </c>
      <c r="I13" s="202">
        <f t="shared" si="4"/>
        <v>76</v>
      </c>
      <c r="J13" s="192">
        <f t="shared" si="5"/>
        <v>0.12665400126654447</v>
      </c>
      <c r="K13" s="193">
        <f t="shared" si="6"/>
        <v>-22518</v>
      </c>
      <c r="L13" s="194">
        <f t="shared" si="7"/>
        <v>-12.132020171544326</v>
      </c>
      <c r="O13" s="20" t="s">
        <v>52</v>
      </c>
      <c r="U13" s="167"/>
      <c r="V13" s="167"/>
      <c r="AC13" s="33" t="s">
        <v>82</v>
      </c>
      <c r="AD13" s="35">
        <f>E10+E12</f>
        <v>9552.5</v>
      </c>
      <c r="AE13" s="35">
        <f>F10+F12</f>
        <v>26733.25</v>
      </c>
      <c r="AF13" s="35">
        <f>G10+G12</f>
        <v>9267.5</v>
      </c>
      <c r="AG13" s="35">
        <f>H10+H12</f>
        <v>24409.5</v>
      </c>
      <c r="AH13" s="36">
        <f t="shared" ref="AH13:AI15" si="8">(AF13/AD13*100)-100</f>
        <v>-2.9835121695891047</v>
      </c>
      <c r="AI13" s="36">
        <f t="shared" si="8"/>
        <v>-8.6923587667043876</v>
      </c>
    </row>
    <row r="14" spans="1:35" ht="21.2" customHeight="1">
      <c r="B14" s="243" t="s">
        <v>72</v>
      </c>
      <c r="C14" s="144" t="s">
        <v>31</v>
      </c>
      <c r="D14" s="197">
        <v>0</v>
      </c>
      <c r="E14" s="149">
        <v>0</v>
      </c>
      <c r="F14" s="149">
        <v>0</v>
      </c>
      <c r="G14" s="149">
        <v>0</v>
      </c>
      <c r="H14" s="149">
        <v>0</v>
      </c>
      <c r="I14" s="203">
        <f t="shared" si="4"/>
        <v>0</v>
      </c>
      <c r="J14" s="146" t="str">
        <f t="shared" si="5"/>
        <v>-</v>
      </c>
      <c r="K14" s="147">
        <f t="shared" si="6"/>
        <v>0</v>
      </c>
      <c r="L14" s="148" t="str">
        <f t="shared" si="7"/>
        <v>-</v>
      </c>
      <c r="O14" s="20" t="s">
        <v>73</v>
      </c>
      <c r="U14" s="167"/>
      <c r="V14" s="167"/>
      <c r="AC14" s="33" t="s">
        <v>83</v>
      </c>
      <c r="AD14" s="35">
        <f>E18+E20+E22</f>
        <v>43190</v>
      </c>
      <c r="AE14" s="35">
        <f>F18+F20+F22</f>
        <v>113651.5</v>
      </c>
      <c r="AF14" s="35">
        <f>G18+G20+G22</f>
        <v>48933</v>
      </c>
      <c r="AG14" s="35">
        <f>H18+H20+H22</f>
        <v>126407.25</v>
      </c>
      <c r="AH14" s="36">
        <f t="shared" si="8"/>
        <v>13.297059504514948</v>
      </c>
      <c r="AI14" s="36">
        <f t="shared" si="8"/>
        <v>11.223565021139194</v>
      </c>
    </row>
    <row r="15" spans="1:35" ht="21.2" customHeight="1">
      <c r="B15" s="243"/>
      <c r="C15" s="115" t="s">
        <v>32</v>
      </c>
      <c r="D15" s="196">
        <v>0</v>
      </c>
      <c r="E15" s="118">
        <v>0</v>
      </c>
      <c r="F15" s="118">
        <v>0</v>
      </c>
      <c r="G15" s="118">
        <v>0</v>
      </c>
      <c r="H15" s="118">
        <v>0</v>
      </c>
      <c r="I15" s="204">
        <f t="shared" si="4"/>
        <v>0</v>
      </c>
      <c r="J15" s="116" t="str">
        <f t="shared" si="5"/>
        <v>-</v>
      </c>
      <c r="K15" s="117">
        <f t="shared" si="6"/>
        <v>0</v>
      </c>
      <c r="L15" s="120" t="str">
        <f t="shared" si="7"/>
        <v>-</v>
      </c>
      <c r="O15" s="20" t="s">
        <v>73</v>
      </c>
      <c r="AC15" s="33" t="s">
        <v>76</v>
      </c>
      <c r="AD15" s="35">
        <f>E32+E34+E36</f>
        <v>20425</v>
      </c>
      <c r="AE15" s="35">
        <f>F32+F34+F36</f>
        <v>56011</v>
      </c>
      <c r="AF15" s="35">
        <f>G32+G34+G36</f>
        <v>21226</v>
      </c>
      <c r="AG15" s="35">
        <f>H32+H34+H36</f>
        <v>53426</v>
      </c>
      <c r="AH15" s="36">
        <f t="shared" si="8"/>
        <v>3.9216646266829969</v>
      </c>
      <c r="AI15" s="36">
        <f t="shared" si="8"/>
        <v>-4.6151648783274766</v>
      </c>
    </row>
    <row r="16" spans="1:35" ht="21.2" customHeight="1">
      <c r="B16" s="243" t="s">
        <v>46</v>
      </c>
      <c r="C16" s="144" t="s">
        <v>31</v>
      </c>
      <c r="D16" s="198">
        <v>0</v>
      </c>
      <c r="E16" s="149">
        <v>0</v>
      </c>
      <c r="F16" s="149">
        <v>0</v>
      </c>
      <c r="G16" s="149">
        <v>0</v>
      </c>
      <c r="H16" s="149">
        <v>212</v>
      </c>
      <c r="I16" s="203">
        <f t="shared" si="4"/>
        <v>0</v>
      </c>
      <c r="J16" s="146" t="str">
        <f t="shared" si="5"/>
        <v>-</v>
      </c>
      <c r="K16" s="147">
        <f t="shared" si="6"/>
        <v>212</v>
      </c>
      <c r="L16" s="148" t="str">
        <f t="shared" si="7"/>
        <v>-</v>
      </c>
      <c r="O16" s="20" t="s">
        <v>53</v>
      </c>
    </row>
    <row r="17" spans="2:15" ht="21.2" customHeight="1">
      <c r="B17" s="243"/>
      <c r="C17" s="115" t="s">
        <v>45</v>
      </c>
      <c r="D17" s="199">
        <v>0</v>
      </c>
      <c r="E17" s="118">
        <v>0</v>
      </c>
      <c r="F17" s="118">
        <v>0</v>
      </c>
      <c r="G17" s="118">
        <v>0</v>
      </c>
      <c r="H17" s="118">
        <v>5372</v>
      </c>
      <c r="I17" s="204">
        <f t="shared" si="4"/>
        <v>0</v>
      </c>
      <c r="J17" s="116" t="str">
        <f t="shared" si="5"/>
        <v>-</v>
      </c>
      <c r="K17" s="117">
        <f t="shared" si="6"/>
        <v>5372</v>
      </c>
      <c r="L17" s="120" t="str">
        <f t="shared" si="7"/>
        <v>-</v>
      </c>
      <c r="O17" s="20" t="s">
        <v>53</v>
      </c>
    </row>
    <row r="18" spans="2:15" ht="21.2" customHeight="1">
      <c r="B18" s="243" t="s">
        <v>35</v>
      </c>
      <c r="C18" s="144" t="s">
        <v>31</v>
      </c>
      <c r="D18" s="197">
        <v>128500</v>
      </c>
      <c r="E18" s="145">
        <v>11735</v>
      </c>
      <c r="F18" s="145">
        <v>29800.5</v>
      </c>
      <c r="G18" s="145">
        <v>9985</v>
      </c>
      <c r="H18" s="145">
        <v>28480</v>
      </c>
      <c r="I18" s="203">
        <f t="shared" si="4"/>
        <v>-1750</v>
      </c>
      <c r="J18" s="146">
        <f t="shared" si="5"/>
        <v>-14.912654452492546</v>
      </c>
      <c r="K18" s="147">
        <f t="shared" si="6"/>
        <v>-1320.5</v>
      </c>
      <c r="L18" s="148">
        <f t="shared" si="7"/>
        <v>-4.4311337058103106</v>
      </c>
      <c r="M18" s="30"/>
      <c r="O18" s="20" t="s">
        <v>54</v>
      </c>
    </row>
    <row r="19" spans="2:15" ht="21.2" customHeight="1">
      <c r="B19" s="243"/>
      <c r="C19" s="115" t="s">
        <v>32</v>
      </c>
      <c r="D19" s="196">
        <v>2073957</v>
      </c>
      <c r="E19" s="208">
        <v>184618</v>
      </c>
      <c r="F19" s="206">
        <v>479591</v>
      </c>
      <c r="G19" s="206">
        <v>174647</v>
      </c>
      <c r="H19" s="206">
        <v>485210</v>
      </c>
      <c r="I19" s="204">
        <f t="shared" si="4"/>
        <v>-9971</v>
      </c>
      <c r="J19" s="116">
        <f t="shared" si="5"/>
        <v>-5.4008818208408798</v>
      </c>
      <c r="K19" s="117">
        <f t="shared" si="6"/>
        <v>5619</v>
      </c>
      <c r="L19" s="120">
        <f t="shared" si="7"/>
        <v>1.1716233207045121</v>
      </c>
      <c r="O19" s="20" t="s">
        <v>55</v>
      </c>
    </row>
    <row r="20" spans="2:15" ht="21.2" customHeight="1">
      <c r="B20" s="243" t="s">
        <v>42</v>
      </c>
      <c r="C20" s="144" t="s">
        <v>31</v>
      </c>
      <c r="D20" s="197">
        <v>206337</v>
      </c>
      <c r="E20" s="145">
        <v>16958.5</v>
      </c>
      <c r="F20" s="145">
        <v>48128.5</v>
      </c>
      <c r="G20" s="145">
        <v>24980</v>
      </c>
      <c r="H20" s="145">
        <v>55738</v>
      </c>
      <c r="I20" s="203">
        <f t="shared" si="4"/>
        <v>8021.5</v>
      </c>
      <c r="J20" s="146">
        <f t="shared" si="5"/>
        <v>47.300763628858675</v>
      </c>
      <c r="K20" s="147">
        <f t="shared" si="6"/>
        <v>7609.5</v>
      </c>
      <c r="L20" s="148">
        <f t="shared" si="7"/>
        <v>15.810798175717082</v>
      </c>
      <c r="O20" s="20" t="s">
        <v>56</v>
      </c>
    </row>
    <row r="21" spans="2:15" ht="21.2" customHeight="1">
      <c r="B21" s="243"/>
      <c r="C21" s="115" t="s">
        <v>32</v>
      </c>
      <c r="D21" s="196">
        <v>2793148</v>
      </c>
      <c r="E21" s="208">
        <v>227776</v>
      </c>
      <c r="F21" s="206">
        <v>640787</v>
      </c>
      <c r="G21" s="206">
        <v>316354</v>
      </c>
      <c r="H21" s="206">
        <v>704325</v>
      </c>
      <c r="I21" s="204">
        <f t="shared" si="4"/>
        <v>88578</v>
      </c>
      <c r="J21" s="116">
        <f t="shared" si="5"/>
        <v>38.888205956729422</v>
      </c>
      <c r="K21" s="117">
        <f t="shared" si="6"/>
        <v>63538</v>
      </c>
      <c r="L21" s="120">
        <f t="shared" si="7"/>
        <v>9.9156193867853091</v>
      </c>
      <c r="O21" s="20" t="s">
        <v>57</v>
      </c>
    </row>
    <row r="22" spans="2:15" ht="21.2" customHeight="1">
      <c r="B22" s="243" t="s">
        <v>36</v>
      </c>
      <c r="C22" s="144" t="s">
        <v>31</v>
      </c>
      <c r="D22" s="197">
        <v>160865</v>
      </c>
      <c r="E22" s="145">
        <v>14496.5</v>
      </c>
      <c r="F22" s="145">
        <v>35722.5</v>
      </c>
      <c r="G22" s="145">
        <v>13968</v>
      </c>
      <c r="H22" s="145">
        <v>42189.25</v>
      </c>
      <c r="I22" s="203">
        <f t="shared" si="4"/>
        <v>-528.5</v>
      </c>
      <c r="J22" s="146">
        <f t="shared" si="5"/>
        <v>-3.6457075845893883</v>
      </c>
      <c r="K22" s="147">
        <f t="shared" si="6"/>
        <v>6466.75</v>
      </c>
      <c r="L22" s="148">
        <f t="shared" si="7"/>
        <v>18.102736370634759</v>
      </c>
      <c r="O22" s="20" t="s">
        <v>58</v>
      </c>
    </row>
    <row r="23" spans="2:15" ht="21.2" customHeight="1">
      <c r="B23" s="243"/>
      <c r="C23" s="115" t="s">
        <v>32</v>
      </c>
      <c r="D23" s="196">
        <v>2398781</v>
      </c>
      <c r="E23" s="208">
        <v>230275</v>
      </c>
      <c r="F23" s="206">
        <v>561087</v>
      </c>
      <c r="G23" s="206">
        <v>211692</v>
      </c>
      <c r="H23" s="206">
        <v>665021</v>
      </c>
      <c r="I23" s="204">
        <f t="shared" si="4"/>
        <v>-18583</v>
      </c>
      <c r="J23" s="116">
        <f t="shared" si="5"/>
        <v>-8.0699164042992066</v>
      </c>
      <c r="K23" s="117">
        <f t="shared" si="6"/>
        <v>103934</v>
      </c>
      <c r="L23" s="120">
        <f t="shared" si="7"/>
        <v>18.523687057443851</v>
      </c>
      <c r="O23" s="20" t="s">
        <v>59</v>
      </c>
    </row>
    <row r="24" spans="2:15" ht="21.2" customHeight="1">
      <c r="B24" s="243" t="s">
        <v>48</v>
      </c>
      <c r="C24" s="144" t="s">
        <v>31</v>
      </c>
      <c r="D24" s="198">
        <v>0</v>
      </c>
      <c r="E24" s="149">
        <v>0</v>
      </c>
      <c r="F24" s="149">
        <v>0</v>
      </c>
      <c r="G24" s="149">
        <v>0</v>
      </c>
      <c r="H24" s="149">
        <v>0</v>
      </c>
      <c r="I24" s="203">
        <f t="shared" si="4"/>
        <v>0</v>
      </c>
      <c r="J24" s="146" t="str">
        <f t="shared" si="5"/>
        <v>-</v>
      </c>
      <c r="K24" s="147">
        <f t="shared" si="6"/>
        <v>0</v>
      </c>
      <c r="L24" s="148" t="str">
        <f t="shared" si="7"/>
        <v>-</v>
      </c>
      <c r="O24" s="20" t="s">
        <v>60</v>
      </c>
    </row>
    <row r="25" spans="2:15" ht="21.2" customHeight="1">
      <c r="B25" s="243"/>
      <c r="C25" s="119" t="s">
        <v>32</v>
      </c>
      <c r="D25" s="199">
        <v>0</v>
      </c>
      <c r="E25" s="118">
        <v>0</v>
      </c>
      <c r="F25" s="118">
        <v>0</v>
      </c>
      <c r="G25" s="118">
        <v>0</v>
      </c>
      <c r="H25" s="118">
        <v>0</v>
      </c>
      <c r="I25" s="204">
        <f t="shared" si="4"/>
        <v>0</v>
      </c>
      <c r="J25" s="116" t="str">
        <f t="shared" si="5"/>
        <v>-</v>
      </c>
      <c r="K25" s="117">
        <f t="shared" si="6"/>
        <v>0</v>
      </c>
      <c r="L25" s="120" t="str">
        <f t="shared" si="7"/>
        <v>-</v>
      </c>
      <c r="O25" s="20" t="s">
        <v>61</v>
      </c>
    </row>
    <row r="26" spans="2:15" ht="21.2" customHeight="1">
      <c r="B26" s="243" t="s">
        <v>71</v>
      </c>
      <c r="C26" s="144" t="s">
        <v>31</v>
      </c>
      <c r="D26" s="198">
        <v>0</v>
      </c>
      <c r="E26" s="149">
        <v>0</v>
      </c>
      <c r="F26" s="149">
        <v>0</v>
      </c>
      <c r="G26" s="149">
        <v>0</v>
      </c>
      <c r="H26" s="149">
        <v>0</v>
      </c>
      <c r="I26" s="203">
        <f t="shared" si="4"/>
        <v>0</v>
      </c>
      <c r="J26" s="146" t="str">
        <f t="shared" si="5"/>
        <v>-</v>
      </c>
      <c r="K26" s="147">
        <f t="shared" si="6"/>
        <v>0</v>
      </c>
      <c r="L26" s="148" t="str">
        <f t="shared" si="7"/>
        <v>-</v>
      </c>
      <c r="O26" s="20" t="s">
        <v>74</v>
      </c>
    </row>
    <row r="27" spans="2:15" ht="21.2" customHeight="1">
      <c r="B27" s="243"/>
      <c r="C27" s="115" t="s">
        <v>32</v>
      </c>
      <c r="D27" s="199">
        <v>0</v>
      </c>
      <c r="E27" s="118">
        <v>0</v>
      </c>
      <c r="F27" s="118">
        <v>0</v>
      </c>
      <c r="G27" s="118">
        <v>0</v>
      </c>
      <c r="H27" s="118">
        <v>0</v>
      </c>
      <c r="I27" s="204">
        <f t="shared" si="4"/>
        <v>0</v>
      </c>
      <c r="J27" s="116" t="str">
        <f t="shared" si="5"/>
        <v>-</v>
      </c>
      <c r="K27" s="117">
        <f t="shared" si="6"/>
        <v>0</v>
      </c>
      <c r="L27" s="120" t="str">
        <f t="shared" si="7"/>
        <v>-</v>
      </c>
      <c r="O27" s="20" t="s">
        <v>74</v>
      </c>
    </row>
    <row r="28" spans="2:15" ht="21.2" customHeight="1">
      <c r="B28" s="243" t="s">
        <v>43</v>
      </c>
      <c r="C28" s="144" t="s">
        <v>44</v>
      </c>
      <c r="D28" s="197">
        <v>0</v>
      </c>
      <c r="E28" s="149">
        <v>0</v>
      </c>
      <c r="F28" s="149">
        <v>0</v>
      </c>
      <c r="G28" s="149">
        <v>0</v>
      </c>
      <c r="H28" s="149">
        <v>0</v>
      </c>
      <c r="I28" s="203">
        <f t="shared" si="4"/>
        <v>0</v>
      </c>
      <c r="J28" s="146" t="str">
        <f t="shared" si="5"/>
        <v>-</v>
      </c>
      <c r="K28" s="147">
        <f t="shared" si="6"/>
        <v>0</v>
      </c>
      <c r="L28" s="148" t="str">
        <f t="shared" si="7"/>
        <v>-</v>
      </c>
      <c r="O28" s="20" t="s">
        <v>62</v>
      </c>
    </row>
    <row r="29" spans="2:15" ht="21.2" customHeight="1">
      <c r="B29" s="243"/>
      <c r="C29" s="115" t="s">
        <v>45</v>
      </c>
      <c r="D29" s="196">
        <v>0</v>
      </c>
      <c r="E29" s="118">
        <v>0</v>
      </c>
      <c r="F29" s="118">
        <v>0</v>
      </c>
      <c r="G29" s="118">
        <v>0</v>
      </c>
      <c r="H29" s="118">
        <v>0</v>
      </c>
      <c r="I29" s="204">
        <f t="shared" si="4"/>
        <v>0</v>
      </c>
      <c r="J29" s="116" t="str">
        <f t="shared" si="5"/>
        <v>-</v>
      </c>
      <c r="K29" s="117">
        <f t="shared" si="6"/>
        <v>0</v>
      </c>
      <c r="L29" s="120" t="str">
        <f t="shared" si="7"/>
        <v>-</v>
      </c>
      <c r="O29" s="20" t="s">
        <v>62</v>
      </c>
    </row>
    <row r="30" spans="2:15" ht="21.2" customHeight="1">
      <c r="B30" s="243" t="s">
        <v>38</v>
      </c>
      <c r="C30" s="144" t="s">
        <v>31</v>
      </c>
      <c r="D30" s="197">
        <v>0</v>
      </c>
      <c r="E30" s="149">
        <v>0</v>
      </c>
      <c r="F30" s="149">
        <v>0</v>
      </c>
      <c r="G30" s="149">
        <v>0</v>
      </c>
      <c r="H30" s="149">
        <v>0</v>
      </c>
      <c r="I30" s="203">
        <f t="shared" si="4"/>
        <v>0</v>
      </c>
      <c r="J30" s="146" t="str">
        <f t="shared" si="5"/>
        <v>-</v>
      </c>
      <c r="K30" s="147">
        <f t="shared" si="6"/>
        <v>0</v>
      </c>
      <c r="L30" s="148" t="str">
        <f t="shared" si="7"/>
        <v>-</v>
      </c>
      <c r="O30" s="20" t="s">
        <v>63</v>
      </c>
    </row>
    <row r="31" spans="2:15" ht="21.2" customHeight="1">
      <c r="B31" s="243"/>
      <c r="C31" s="115" t="s">
        <v>32</v>
      </c>
      <c r="D31" s="196">
        <v>0</v>
      </c>
      <c r="E31" s="118">
        <v>0</v>
      </c>
      <c r="F31" s="118">
        <v>0</v>
      </c>
      <c r="G31" s="118">
        <v>0</v>
      </c>
      <c r="H31" s="118">
        <v>0</v>
      </c>
      <c r="I31" s="204">
        <f t="shared" si="4"/>
        <v>0</v>
      </c>
      <c r="J31" s="116" t="str">
        <f t="shared" si="5"/>
        <v>-</v>
      </c>
      <c r="K31" s="117">
        <f t="shared" si="6"/>
        <v>0</v>
      </c>
      <c r="L31" s="120" t="str">
        <f t="shared" si="7"/>
        <v>-</v>
      </c>
      <c r="O31" s="20" t="s">
        <v>64</v>
      </c>
    </row>
    <row r="32" spans="2:15" ht="21.2" customHeight="1">
      <c r="B32" s="243" t="s">
        <v>39</v>
      </c>
      <c r="C32" s="144" t="s">
        <v>31</v>
      </c>
      <c r="D32" s="197">
        <v>53812</v>
      </c>
      <c r="E32" s="145">
        <v>5477</v>
      </c>
      <c r="F32" s="145">
        <v>13127</v>
      </c>
      <c r="G32" s="145">
        <v>5580</v>
      </c>
      <c r="H32" s="145">
        <v>13885</v>
      </c>
      <c r="I32" s="203">
        <f t="shared" si="4"/>
        <v>103</v>
      </c>
      <c r="J32" s="146">
        <f t="shared" si="5"/>
        <v>1.880591564725222</v>
      </c>
      <c r="K32" s="147">
        <f t="shared" si="6"/>
        <v>758</v>
      </c>
      <c r="L32" s="148">
        <f t="shared" si="7"/>
        <v>5.7743581930372443</v>
      </c>
      <c r="O32" s="20" t="s">
        <v>65</v>
      </c>
    </row>
    <row r="33" spans="2:15" ht="21.2" customHeight="1">
      <c r="B33" s="243"/>
      <c r="C33" s="115" t="s">
        <v>32</v>
      </c>
      <c r="D33" s="196">
        <v>904930</v>
      </c>
      <c r="E33" s="206">
        <v>87161</v>
      </c>
      <c r="F33" s="206">
        <v>209957</v>
      </c>
      <c r="G33" s="206">
        <v>88034</v>
      </c>
      <c r="H33" s="206">
        <v>219322</v>
      </c>
      <c r="I33" s="204">
        <f t="shared" si="4"/>
        <v>873</v>
      </c>
      <c r="J33" s="116">
        <f t="shared" si="5"/>
        <v>1.0015947499454967</v>
      </c>
      <c r="K33" s="117">
        <f t="shared" si="6"/>
        <v>9365</v>
      </c>
      <c r="L33" s="120">
        <f t="shared" si="7"/>
        <v>4.4604371371280678</v>
      </c>
      <c r="O33" s="20" t="s">
        <v>66</v>
      </c>
    </row>
    <row r="34" spans="2:15" ht="21.2" customHeight="1">
      <c r="B34" s="243" t="s">
        <v>40</v>
      </c>
      <c r="C34" s="144" t="s">
        <v>31</v>
      </c>
      <c r="D34" s="197">
        <v>123326</v>
      </c>
      <c r="E34" s="145">
        <v>10914</v>
      </c>
      <c r="F34" s="145">
        <v>30610</v>
      </c>
      <c r="G34" s="145">
        <v>11975</v>
      </c>
      <c r="H34" s="145">
        <v>30555</v>
      </c>
      <c r="I34" s="203">
        <f t="shared" si="4"/>
        <v>1061</v>
      </c>
      <c r="J34" s="146">
        <f t="shared" si="5"/>
        <v>9.7214586769287052</v>
      </c>
      <c r="K34" s="147">
        <f t="shared" si="6"/>
        <v>-55</v>
      </c>
      <c r="L34" s="148">
        <f t="shared" si="7"/>
        <v>-0.17967984318849517</v>
      </c>
      <c r="O34" s="20" t="s">
        <v>67</v>
      </c>
    </row>
    <row r="35" spans="2:15" ht="21.2" customHeight="1">
      <c r="B35" s="243"/>
      <c r="C35" s="115" t="s">
        <v>32</v>
      </c>
      <c r="D35" s="196">
        <v>1781224</v>
      </c>
      <c r="E35" s="206">
        <v>154796</v>
      </c>
      <c r="F35" s="206">
        <v>417344</v>
      </c>
      <c r="G35" s="206">
        <v>179697</v>
      </c>
      <c r="H35" s="206">
        <v>458145</v>
      </c>
      <c r="I35" s="204">
        <f t="shared" si="4"/>
        <v>24901</v>
      </c>
      <c r="J35" s="116">
        <f t="shared" si="5"/>
        <v>16.086332980180359</v>
      </c>
      <c r="K35" s="117">
        <f t="shared" si="6"/>
        <v>40801</v>
      </c>
      <c r="L35" s="120">
        <f t="shared" si="7"/>
        <v>9.7763475693912056</v>
      </c>
      <c r="O35" s="20" t="s">
        <v>68</v>
      </c>
    </row>
    <row r="36" spans="2:15" ht="21.2" customHeight="1">
      <c r="B36" s="243" t="s">
        <v>41</v>
      </c>
      <c r="C36" s="144" t="s">
        <v>31</v>
      </c>
      <c r="D36" s="197">
        <v>46712</v>
      </c>
      <c r="E36" s="145">
        <v>4034</v>
      </c>
      <c r="F36" s="145">
        <v>12274</v>
      </c>
      <c r="G36" s="145">
        <v>3671</v>
      </c>
      <c r="H36" s="145">
        <v>8986</v>
      </c>
      <c r="I36" s="203">
        <f t="shared" si="4"/>
        <v>-363</v>
      </c>
      <c r="J36" s="146">
        <f t="shared" si="5"/>
        <v>-8.9985126425384294</v>
      </c>
      <c r="K36" s="147">
        <f t="shared" si="6"/>
        <v>-3288</v>
      </c>
      <c r="L36" s="148">
        <f t="shared" si="7"/>
        <v>-26.78833306175656</v>
      </c>
      <c r="O36" s="20" t="s">
        <v>69</v>
      </c>
    </row>
    <row r="37" spans="2:15" ht="21.2" customHeight="1">
      <c r="B37" s="248"/>
      <c r="C37" s="121" t="s">
        <v>32</v>
      </c>
      <c r="D37" s="200">
        <v>702058</v>
      </c>
      <c r="E37" s="209">
        <v>59691</v>
      </c>
      <c r="F37" s="209">
        <v>188365</v>
      </c>
      <c r="G37" s="209">
        <v>60847</v>
      </c>
      <c r="H37" s="209">
        <v>148138</v>
      </c>
      <c r="I37" s="205">
        <f t="shared" si="4"/>
        <v>1156</v>
      </c>
      <c r="J37" s="122">
        <f t="shared" si="5"/>
        <v>1.9366403645440613</v>
      </c>
      <c r="K37" s="123">
        <f t="shared" si="6"/>
        <v>-40227</v>
      </c>
      <c r="L37" s="124">
        <f t="shared" si="7"/>
        <v>-21.355878215167351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2024-08-27T05:59:43Z</dcterms:modified>
</cp:coreProperties>
</file>