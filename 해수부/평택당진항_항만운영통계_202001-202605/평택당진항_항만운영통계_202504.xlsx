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05" yWindow="-105" windowWidth="23250" windowHeight="12570" tabRatio="601" firstSheet="1" activeTab="3"/>
  </bookViews>
  <sheets>
    <sheet name="VXXX" sheetId="27" state="veryHidden" r:id="rId1"/>
    <sheet name="통계요약" sheetId="21" r:id="rId2"/>
    <sheet name="연도별 수송실적" sheetId="33" r:id="rId3"/>
    <sheet name="컨테이너 재게" sheetId="32" r:id="rId4"/>
  </sheets>
  <definedNames>
    <definedName name="_xlnm._FilterDatabase" localSheetId="3" hidden="1">'컨테이너 재게'!$B$7:$AI$39</definedName>
    <definedName name="_xlnm.Print_Area" localSheetId="2">'연도별 수송실적'!$B$1:$P$33</definedName>
    <definedName name="_xlnm.Print_Area" localSheetId="1">통계요약!$A$3:$M$30</definedName>
  </definedNames>
  <calcPr calcId="145621"/>
</workbook>
</file>

<file path=xl/calcChain.xml><?xml version="1.0" encoding="utf-8"?>
<calcChain xmlns="http://schemas.openxmlformats.org/spreadsheetml/2006/main">
  <c r="I35" i="32" l="1"/>
  <c r="G29" i="21" l="1"/>
  <c r="I29" i="21"/>
  <c r="H15" i="21"/>
  <c r="P6" i="33" l="1"/>
  <c r="I18" i="21"/>
  <c r="J18" i="21"/>
  <c r="I17" i="21"/>
  <c r="I15" i="21"/>
  <c r="J13" i="21"/>
  <c r="I14" i="21"/>
  <c r="I13" i="21"/>
  <c r="I10" i="21"/>
  <c r="I9" i="21"/>
  <c r="H10" i="21"/>
  <c r="H9" i="21"/>
  <c r="E8" i="21" l="1"/>
  <c r="F9" i="32" l="1"/>
  <c r="F8" i="32"/>
  <c r="E9" i="32"/>
  <c r="E8" i="32"/>
  <c r="D9" i="32"/>
  <c r="D8" i="32"/>
  <c r="L11" i="32" l="1"/>
  <c r="L12" i="32"/>
  <c r="L13" i="32"/>
  <c r="L14" i="32"/>
  <c r="L15" i="32"/>
  <c r="L16" i="32"/>
  <c r="L17" i="32"/>
  <c r="L18" i="32"/>
  <c r="L19" i="32"/>
  <c r="L20" i="32"/>
  <c r="L21" i="32"/>
  <c r="L22" i="32"/>
  <c r="L23" i="32"/>
  <c r="L24" i="32"/>
  <c r="L25" i="32"/>
  <c r="L26" i="32"/>
  <c r="L27" i="32"/>
  <c r="L28" i="32"/>
  <c r="L29" i="32"/>
  <c r="L30" i="32"/>
  <c r="L31" i="32"/>
  <c r="L32" i="32"/>
  <c r="L33" i="32"/>
  <c r="L34" i="32"/>
  <c r="L35" i="32"/>
  <c r="L36" i="32"/>
  <c r="L37" i="32"/>
  <c r="L10" i="32"/>
  <c r="K11" i="32"/>
  <c r="K12" i="32"/>
  <c r="K13" i="32"/>
  <c r="K14" i="32"/>
  <c r="K15" i="32"/>
  <c r="K16" i="32"/>
  <c r="K17" i="32"/>
  <c r="K18" i="32"/>
  <c r="K19" i="32"/>
  <c r="K20" i="32"/>
  <c r="K21" i="32"/>
  <c r="K22" i="32"/>
  <c r="K23" i="32"/>
  <c r="K24" i="32"/>
  <c r="K25" i="32"/>
  <c r="K26" i="32"/>
  <c r="K27" i="32"/>
  <c r="K28" i="32"/>
  <c r="K29" i="32"/>
  <c r="K30" i="32"/>
  <c r="K31" i="32"/>
  <c r="K32" i="32"/>
  <c r="K33" i="32"/>
  <c r="K34" i="32"/>
  <c r="K35" i="32"/>
  <c r="K36" i="32"/>
  <c r="K37" i="32"/>
  <c r="K10" i="32"/>
  <c r="J11" i="32"/>
  <c r="J12" i="32"/>
  <c r="J13" i="32"/>
  <c r="J14" i="32"/>
  <c r="J15" i="32"/>
  <c r="J16" i="32"/>
  <c r="J17" i="32"/>
  <c r="J18" i="32"/>
  <c r="J19" i="32"/>
  <c r="J20" i="32"/>
  <c r="J21" i="32"/>
  <c r="J22" i="32"/>
  <c r="J23" i="32"/>
  <c r="J24" i="32"/>
  <c r="J25" i="32"/>
  <c r="J26" i="32"/>
  <c r="J27" i="32"/>
  <c r="J28" i="32"/>
  <c r="J29" i="32"/>
  <c r="J30" i="32"/>
  <c r="J31" i="32"/>
  <c r="J32" i="32"/>
  <c r="J33" i="32"/>
  <c r="J34" i="32"/>
  <c r="J35" i="32"/>
  <c r="J36" i="32"/>
  <c r="J37" i="32"/>
  <c r="J10" i="32"/>
  <c r="I11" i="32"/>
  <c r="I12" i="32"/>
  <c r="I13" i="32"/>
  <c r="I14" i="32"/>
  <c r="I15" i="32"/>
  <c r="I16" i="32"/>
  <c r="I17" i="32"/>
  <c r="I18" i="32"/>
  <c r="I19" i="32"/>
  <c r="I20" i="32"/>
  <c r="I21" i="32"/>
  <c r="I22" i="32"/>
  <c r="I23" i="32"/>
  <c r="I24" i="32"/>
  <c r="I25" i="32"/>
  <c r="I26" i="32"/>
  <c r="I27" i="32"/>
  <c r="I28" i="32"/>
  <c r="I29" i="32"/>
  <c r="I30" i="32"/>
  <c r="I31" i="32"/>
  <c r="I32" i="32"/>
  <c r="I33" i="32"/>
  <c r="I34" i="32"/>
  <c r="I36" i="32"/>
  <c r="I37" i="32"/>
  <c r="I10" i="32"/>
  <c r="J24" i="21" l="1"/>
  <c r="J25" i="21"/>
  <c r="J23" i="21"/>
  <c r="L18" i="21"/>
  <c r="L17" i="21"/>
  <c r="J17" i="21"/>
  <c r="L13" i="21"/>
  <c r="J14" i="21"/>
  <c r="J15" i="21"/>
  <c r="AF15" i="32" l="1"/>
  <c r="AG15" i="32"/>
  <c r="AG14" i="32"/>
  <c r="AF14" i="32"/>
  <c r="AG13" i="32"/>
  <c r="AF13" i="32"/>
  <c r="AE15" i="32"/>
  <c r="AD15" i="32"/>
  <c r="AE14" i="32"/>
  <c r="AD14" i="32"/>
  <c r="AE13" i="32"/>
  <c r="AD13" i="32"/>
  <c r="AH15" i="32" l="1"/>
  <c r="AI15" i="32"/>
  <c r="AI14" i="32"/>
  <c r="AI13" i="32"/>
  <c r="AH14" i="32"/>
  <c r="AH13" i="32"/>
  <c r="H12" i="21" l="1"/>
  <c r="I16" i="21" l="1"/>
  <c r="I12" i="21"/>
  <c r="H16" i="21"/>
  <c r="H11" i="21" s="1"/>
  <c r="I11" i="21" l="1"/>
  <c r="P7" i="33" s="1"/>
  <c r="F16" i="21"/>
  <c r="F12" i="21"/>
  <c r="J12" i="21" s="1"/>
  <c r="G16" i="21"/>
  <c r="G12" i="21"/>
  <c r="F11" i="21" l="1"/>
  <c r="G11" i="21"/>
  <c r="H8" i="32" l="1"/>
  <c r="G8" i="32"/>
  <c r="H9" i="32" l="1"/>
  <c r="G9" i="32"/>
  <c r="E16" i="21" l="1"/>
  <c r="E12" i="21"/>
  <c r="E11" i="21" l="1"/>
  <c r="H22" i="21"/>
  <c r="G22" i="21" l="1"/>
  <c r="L12" i="21"/>
  <c r="G8" i="21" l="1"/>
  <c r="E7" i="32" l="1"/>
  <c r="I8" i="21" l="1"/>
  <c r="H7" i="33" s="1"/>
  <c r="H8" i="21" l="1"/>
  <c r="P9" i="33" l="1"/>
  <c r="H9" i="33"/>
  <c r="H7" i="32" l="1"/>
  <c r="G7" i="32"/>
  <c r="F7" i="32"/>
  <c r="L29" i="21" l="1"/>
  <c r="J29" i="21"/>
  <c r="K29" i="21"/>
  <c r="L27" i="21"/>
  <c r="L28" i="21"/>
  <c r="L19" i="21"/>
  <c r="J27" i="21" l="1"/>
  <c r="J28" i="21"/>
  <c r="J19" i="21"/>
  <c r="I26" i="21" l="1"/>
  <c r="I22" i="21"/>
  <c r="E26" i="21" l="1"/>
  <c r="E22" i="21"/>
  <c r="E21" i="21" l="1"/>
  <c r="F22" i="21" l="1"/>
  <c r="F8" i="21"/>
  <c r="F26" i="21" l="1"/>
  <c r="J26" i="21" s="1"/>
  <c r="G26" i="21"/>
  <c r="G21" i="21" s="1"/>
  <c r="L26" i="21" l="1"/>
  <c r="K15" i="21"/>
  <c r="M25" i="21" l="1"/>
  <c r="J9" i="21"/>
  <c r="K9" i="21"/>
  <c r="L9" i="21"/>
  <c r="M9" i="21"/>
  <c r="J10" i="21"/>
  <c r="K10" i="21"/>
  <c r="L10" i="21"/>
  <c r="M10" i="21"/>
  <c r="K13" i="21"/>
  <c r="M13" i="21"/>
  <c r="K14" i="21"/>
  <c r="L14" i="21"/>
  <c r="M14" i="21"/>
  <c r="L15" i="21"/>
  <c r="M15" i="21"/>
  <c r="K17" i="21"/>
  <c r="M17" i="21"/>
  <c r="K18" i="21"/>
  <c r="M18" i="21"/>
  <c r="K23" i="21"/>
  <c r="L23" i="21"/>
  <c r="M23" i="21"/>
  <c r="K24" i="21"/>
  <c r="L24" i="21"/>
  <c r="M24" i="21"/>
  <c r="K25" i="21"/>
  <c r="L25" i="21"/>
  <c r="M29" i="21"/>
  <c r="I21" i="21" l="1"/>
  <c r="H10" i="33" s="1"/>
  <c r="H21" i="21"/>
  <c r="J16" i="21"/>
  <c r="L9" i="32"/>
  <c r="I8" i="32"/>
  <c r="M12" i="21"/>
  <c r="K16" i="21"/>
  <c r="K8" i="32"/>
  <c r="M22" i="21"/>
  <c r="K22" i="21"/>
  <c r="F21" i="21"/>
  <c r="L22" i="21"/>
  <c r="J22" i="21"/>
  <c r="L16" i="21"/>
  <c r="K12" i="21"/>
  <c r="M16" i="21"/>
  <c r="M8" i="21"/>
  <c r="L8" i="21"/>
  <c r="J8" i="21"/>
  <c r="K8" i="21"/>
  <c r="J9" i="32"/>
  <c r="I9" i="32"/>
  <c r="L8" i="32"/>
  <c r="L21" i="21" l="1"/>
  <c r="J21" i="21"/>
  <c r="L11" i="21"/>
  <c r="K9" i="32"/>
  <c r="J8" i="32"/>
  <c r="M11" i="21"/>
  <c r="K21" i="21"/>
  <c r="M21" i="21"/>
  <c r="J11" i="21"/>
  <c r="K11" i="21"/>
</calcChain>
</file>

<file path=xl/sharedStrings.xml><?xml version="1.0" encoding="utf-8"?>
<sst xmlns="http://schemas.openxmlformats.org/spreadsheetml/2006/main" count="159" uniqueCount="112">
  <si>
    <t>소계</t>
  </si>
  <si>
    <t>외항</t>
  </si>
  <si>
    <t>연안</t>
  </si>
  <si>
    <t>입항</t>
  </si>
  <si>
    <t>출항</t>
  </si>
  <si>
    <t>수입</t>
  </si>
  <si>
    <t>수출</t>
  </si>
  <si>
    <t>구     분</t>
    <phoneticPr fontId="10" type="noConversion"/>
  </si>
  <si>
    <t xml:space="preserve"> 합  계</t>
    <phoneticPr fontId="10" type="noConversion"/>
  </si>
  <si>
    <t xml:space="preserve"> 외  항</t>
    <phoneticPr fontId="10" type="noConversion"/>
  </si>
  <si>
    <t xml:space="preserve"> 내  항</t>
    <phoneticPr fontId="10" type="noConversion"/>
  </si>
  <si>
    <t>연간누계</t>
    <phoneticPr fontId="10" type="noConversion"/>
  </si>
  <si>
    <t>계</t>
    <phoneticPr fontId="10" type="noConversion"/>
  </si>
  <si>
    <t>환적</t>
    <phoneticPr fontId="10" type="noConversion"/>
  </si>
  <si>
    <t>수출</t>
    <phoneticPr fontId="10" type="noConversion"/>
  </si>
  <si>
    <t>전년동기대비</t>
    <phoneticPr fontId="10" type="noConversion"/>
  </si>
  <si>
    <t>(%)</t>
    <phoneticPr fontId="10" type="noConversion"/>
  </si>
  <si>
    <t>환적</t>
    <phoneticPr fontId="10" type="noConversion"/>
  </si>
  <si>
    <t>D-B</t>
    <phoneticPr fontId="10" type="noConversion"/>
  </si>
  <si>
    <t>선박</t>
    <phoneticPr fontId="10" type="noConversion"/>
  </si>
  <si>
    <t>화물</t>
    <phoneticPr fontId="10" type="noConversion"/>
  </si>
  <si>
    <t>(단위:TEU, 100% 기준)</t>
    <phoneticPr fontId="10" type="noConversion"/>
  </si>
  <si>
    <t>컨테이너</t>
    <phoneticPr fontId="10" type="noConversion"/>
  </si>
  <si>
    <t>구     분</t>
    <phoneticPr fontId="10" type="noConversion"/>
  </si>
  <si>
    <t>단위</t>
    <phoneticPr fontId="22" type="noConversion"/>
  </si>
  <si>
    <t>전년동기대비</t>
    <phoneticPr fontId="10" type="noConversion"/>
  </si>
  <si>
    <t>연간누계</t>
    <phoneticPr fontId="10" type="noConversion"/>
  </si>
  <si>
    <t>C-A</t>
    <phoneticPr fontId="10" type="noConversion"/>
  </si>
  <si>
    <t>(%)</t>
    <phoneticPr fontId="10" type="noConversion"/>
  </si>
  <si>
    <t>D-B</t>
    <phoneticPr fontId="10" type="noConversion"/>
  </si>
  <si>
    <t>합  계</t>
    <phoneticPr fontId="10" type="noConversion"/>
  </si>
  <si>
    <t>TEU</t>
    <phoneticPr fontId="22" type="noConversion"/>
  </si>
  <si>
    <t>톤</t>
    <phoneticPr fontId="22" type="noConversion"/>
  </si>
  <si>
    <t>국제여객부두1번</t>
  </si>
  <si>
    <t>국제여객부두2번</t>
  </si>
  <si>
    <t>동부두 6</t>
    <phoneticPr fontId="22" type="noConversion"/>
  </si>
  <si>
    <t>동부두 8</t>
    <phoneticPr fontId="22" type="noConversion"/>
  </si>
  <si>
    <t>C-A</t>
    <phoneticPr fontId="10" type="noConversion"/>
  </si>
  <si>
    <t>동부두 12</t>
    <phoneticPr fontId="22" type="noConversion"/>
  </si>
  <si>
    <t>동부두 14</t>
    <phoneticPr fontId="22" type="noConversion"/>
  </si>
  <si>
    <t>동부두 15</t>
    <phoneticPr fontId="22" type="noConversion"/>
  </si>
  <si>
    <t>동부두 16</t>
    <phoneticPr fontId="22" type="noConversion"/>
  </si>
  <si>
    <t>동부두 7</t>
    <phoneticPr fontId="22" type="noConversion"/>
  </si>
  <si>
    <t>동부두 11</t>
    <phoneticPr fontId="22" type="noConversion"/>
  </si>
  <si>
    <t>TEU</t>
    <phoneticPr fontId="22" type="noConversion"/>
  </si>
  <si>
    <t>톤</t>
    <phoneticPr fontId="22" type="noConversion"/>
  </si>
  <si>
    <t>동부두 5</t>
    <phoneticPr fontId="22" type="noConversion"/>
  </si>
  <si>
    <t>자동차(대)</t>
    <phoneticPr fontId="10" type="noConversion"/>
  </si>
  <si>
    <t>동부두 9</t>
    <phoneticPr fontId="22" type="noConversion"/>
  </si>
  <si>
    <t>소계</t>
    <phoneticPr fontId="10" type="noConversion"/>
  </si>
  <si>
    <t>(단위 : 척)</t>
    <phoneticPr fontId="10" type="noConversion"/>
  </si>
  <si>
    <t>국제여객부두 1번선석</t>
  </si>
  <si>
    <t>국제여객부두 2번선석</t>
    <phoneticPr fontId="22" type="noConversion"/>
  </si>
  <si>
    <t>동부두 5번선석</t>
    <phoneticPr fontId="22" type="noConversion"/>
  </si>
  <si>
    <t>동부두 6번선석</t>
    <phoneticPr fontId="22" type="noConversion"/>
  </si>
  <si>
    <t>동부두 6번선석</t>
    <phoneticPr fontId="22" type="noConversion"/>
  </si>
  <si>
    <t>동부두 7번선석</t>
    <phoneticPr fontId="22" type="noConversion"/>
  </si>
  <si>
    <t>동부두 7번선석</t>
    <phoneticPr fontId="22" type="noConversion"/>
  </si>
  <si>
    <t>동부두 8번선석</t>
    <phoneticPr fontId="22" type="noConversion"/>
  </si>
  <si>
    <t>동부두 8번선석</t>
    <phoneticPr fontId="22" type="noConversion"/>
  </si>
  <si>
    <t>동부두 9번선석</t>
    <phoneticPr fontId="22" type="noConversion"/>
  </si>
  <si>
    <t>동부두 9번선석</t>
    <phoneticPr fontId="22" type="noConversion"/>
  </si>
  <si>
    <t>동부두 11번선석</t>
    <phoneticPr fontId="22" type="noConversion"/>
  </si>
  <si>
    <t>동부두 12번선석</t>
    <phoneticPr fontId="22" type="noConversion"/>
  </si>
  <si>
    <t>동부두 12번선석</t>
    <phoneticPr fontId="22" type="noConversion"/>
  </si>
  <si>
    <t>동부두 14번선석</t>
    <phoneticPr fontId="22" type="noConversion"/>
  </si>
  <si>
    <t>동부두 14번선석</t>
    <phoneticPr fontId="22" type="noConversion"/>
  </si>
  <si>
    <t>동부두 15번선석</t>
    <phoneticPr fontId="22" type="noConversion"/>
  </si>
  <si>
    <t>동부두 15번선석</t>
    <phoneticPr fontId="22" type="noConversion"/>
  </si>
  <si>
    <t>동부두 16번선석</t>
    <phoneticPr fontId="22" type="noConversion"/>
  </si>
  <si>
    <t>동부두 16번선석</t>
    <phoneticPr fontId="22" type="noConversion"/>
  </si>
  <si>
    <t>동부두 10</t>
    <phoneticPr fontId="22" type="noConversion"/>
  </si>
  <si>
    <t>동부두 1</t>
    <phoneticPr fontId="22" type="noConversion"/>
  </si>
  <si>
    <t>동부두 1번선석</t>
    <phoneticPr fontId="22" type="noConversion"/>
  </si>
  <si>
    <t>동부두 10번선석</t>
    <phoneticPr fontId="22" type="noConversion"/>
  </si>
  <si>
    <t>순증</t>
    <phoneticPr fontId="10" type="noConversion"/>
  </si>
  <si>
    <t>PNCT</t>
    <phoneticPr fontId="22" type="noConversion"/>
  </si>
  <si>
    <t>터미널별</t>
    <phoneticPr fontId="22" type="noConversion"/>
  </si>
  <si>
    <t>2022년 월별</t>
    <phoneticPr fontId="22" type="noConversion"/>
  </si>
  <si>
    <t>2022년 누계</t>
    <phoneticPr fontId="22" type="noConversion"/>
  </si>
  <si>
    <t>2023년 월별</t>
    <phoneticPr fontId="22" type="noConversion"/>
  </si>
  <si>
    <t>2023년 누계</t>
    <phoneticPr fontId="22" type="noConversion"/>
  </si>
  <si>
    <t>여객부두</t>
    <phoneticPr fontId="22" type="noConversion"/>
  </si>
  <si>
    <t>HPCTC</t>
    <phoneticPr fontId="22" type="noConversion"/>
  </si>
  <si>
    <t>`</t>
    <phoneticPr fontId="22" type="noConversion"/>
  </si>
  <si>
    <t>(단위 : 척, 천톤, 100% 기준)</t>
  </si>
  <si>
    <t>컨테이너</t>
    <phoneticPr fontId="10" type="noConversion"/>
  </si>
  <si>
    <t>연도별 수송실적</t>
    <phoneticPr fontId="10" type="noConversion"/>
  </si>
  <si>
    <t>(단위 : 천톤)</t>
    <phoneticPr fontId="10" type="noConversion"/>
  </si>
  <si>
    <t>(단위 : TEU)</t>
    <phoneticPr fontId="10" type="noConversion"/>
  </si>
  <si>
    <t>(단위 : 명)</t>
    <phoneticPr fontId="10" type="noConversion"/>
  </si>
  <si>
    <t>화물
입출항</t>
    <phoneticPr fontId="10" type="noConversion"/>
  </si>
  <si>
    <t>선박
입출항</t>
    <phoneticPr fontId="10" type="noConversion"/>
  </si>
  <si>
    <t>여  객</t>
    <phoneticPr fontId="10" type="noConversion"/>
  </si>
  <si>
    <t>구 분</t>
    <phoneticPr fontId="10" type="noConversion"/>
  </si>
  <si>
    <t>(선박입출항)</t>
    <phoneticPr fontId="10" type="noConversion"/>
  </si>
  <si>
    <t>(화물입출항)</t>
    <phoneticPr fontId="10" type="noConversion"/>
  </si>
  <si>
    <t>(컨테이너)</t>
    <phoneticPr fontId="10" type="noConversion"/>
  </si>
  <si>
    <t xml:space="preserve">□ 연도별 추이 </t>
    <phoneticPr fontId="21" type="noConversion"/>
  </si>
  <si>
    <t>(여 객)</t>
    <phoneticPr fontId="10" type="noConversion"/>
  </si>
  <si>
    <t>`</t>
    <phoneticPr fontId="10" type="noConversion"/>
  </si>
  <si>
    <t xml:space="preserve"> </t>
    <phoneticPr fontId="21" type="noConversion"/>
  </si>
  <si>
    <t>항만운영통계(4월)</t>
    <phoneticPr fontId="10" type="noConversion"/>
  </si>
  <si>
    <t xml:space="preserve"> 4월누계(D) </t>
    <phoneticPr fontId="10" type="noConversion"/>
  </si>
  <si>
    <t>4월(C)</t>
    <phoneticPr fontId="10" type="noConversion"/>
  </si>
  <si>
    <t xml:space="preserve"> 4월누계(B) </t>
    <phoneticPr fontId="10" type="noConversion"/>
  </si>
  <si>
    <t>4월(A)</t>
    <phoneticPr fontId="10" type="noConversion"/>
  </si>
  <si>
    <t>부두별 컨테이너 물동량(4월)</t>
    <phoneticPr fontId="22" type="noConversion"/>
  </si>
  <si>
    <t>2024년도</t>
    <phoneticPr fontId="10" type="noConversion"/>
  </si>
  <si>
    <t>2025년도</t>
    <phoneticPr fontId="10" type="noConversion"/>
  </si>
  <si>
    <t>2025.4.</t>
    <phoneticPr fontId="21" type="noConversion"/>
  </si>
  <si>
    <t>2025년도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</si>
</sst>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  <numFmt numFmtId="177" formatCode="&quot;$&quot;#,##0;[Red]\-&quot;$&quot;#,##0"/>
    <numFmt numFmtId="178" formatCode="&quot;$&quot;#,##0.00;[Red]\-&quot;$&quot;#,##0.00"/>
    <numFmt numFmtId="179" formatCode="_ * #,##0_ ;_ * &quot;₩&quot;&quot;₩&quot;&quot;₩&quot;&quot;₩&quot;&quot;₩&quot;&quot;₩&quot;\-#,##0_ ;_ * &quot;-&quot;_ ;_ @_ "/>
    <numFmt numFmtId="180" formatCode="0_);[Red]\(0\)"/>
    <numFmt numFmtId="181" formatCode="#,##0_ "/>
    <numFmt numFmtId="182" formatCode="#,###,"/>
    <numFmt numFmtId="183" formatCode="#,##0_);[Red]\(#,##0\)"/>
    <numFmt numFmtId="184" formatCode="_-* #,##0.0_-;&quot;△&quot;\ #,##0.0_-;_-* &quot;-&quot;??_-;_-@_-"/>
    <numFmt numFmtId="185" formatCode="_ * #,##0_ ;_ * &quot;△&quot;#,##0_ ;_ * &quot;-&quot;_ ;_ @_ "/>
    <numFmt numFmtId="186" formatCode="0.00_);\(0.00\)"/>
    <numFmt numFmtId="187" formatCode="0.00_);[Red]\(0.00\)"/>
    <numFmt numFmtId="188" formatCode="#,##0,"/>
    <numFmt numFmtId="189" formatCode="0.0"/>
  </numFmts>
  <fonts count="40">
    <font>
      <sz val="12"/>
      <name val="바탕체"/>
      <family val="1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name val="바탕체"/>
      <family val="1"/>
      <charset val="129"/>
    </font>
    <font>
      <sz val="12"/>
      <name val="바탕체"/>
      <family val="1"/>
      <charset val="129"/>
    </font>
    <font>
      <sz val="10"/>
      <name val="바탕체"/>
      <family val="1"/>
      <charset val="129"/>
    </font>
    <font>
      <sz val="8"/>
      <name val="바탕"/>
      <family val="1"/>
      <charset val="129"/>
    </font>
    <font>
      <sz val="10"/>
      <name val="Geneva"/>
      <family val="2"/>
    </font>
    <font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b/>
      <sz val="14"/>
      <name val="굴림체"/>
      <family val="3"/>
      <charset val="129"/>
    </font>
    <font>
      <b/>
      <sz val="10"/>
      <name val="바탕체"/>
      <family val="1"/>
      <charset val="129"/>
    </font>
    <font>
      <b/>
      <sz val="12"/>
      <name val="굴림체"/>
      <family val="3"/>
      <charset val="129"/>
    </font>
    <font>
      <b/>
      <sz val="14"/>
      <name val="돋움"/>
      <family val="3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b/>
      <sz val="11"/>
      <name val="굴림체"/>
      <family val="3"/>
      <charset val="129"/>
    </font>
    <font>
      <sz val="11"/>
      <name val="굴림체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b/>
      <sz val="10.5"/>
      <name val="굴림체"/>
      <family val="3"/>
      <charset val="129"/>
    </font>
    <font>
      <b/>
      <sz val="22"/>
      <name val="휴먼모음T"/>
      <family val="1"/>
      <charset val="129"/>
    </font>
    <font>
      <sz val="10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0"/>
      <color theme="1"/>
      <name val="굴림체"/>
      <family val="3"/>
      <charset val="129"/>
    </font>
    <font>
      <sz val="11"/>
      <color indexed="8"/>
      <name val="맑은 고딕"/>
      <family val="2"/>
      <scheme val="minor"/>
    </font>
    <font>
      <sz val="10"/>
      <name val="굴림"/>
      <family val="3"/>
      <charset val="129"/>
    </font>
    <font>
      <sz val="11"/>
      <color theme="1"/>
      <name val="굴림체"/>
      <family val="3"/>
      <charset val="129"/>
    </font>
    <font>
      <sz val="24"/>
      <color indexed="8"/>
      <name val="HY헤드라인M"/>
      <family val="1"/>
      <charset val="129"/>
    </font>
    <font>
      <sz val="10"/>
      <color indexed="8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5" tint="-0.249977111117893"/>
      <name val="굴림체"/>
      <family val="3"/>
      <charset val="129"/>
    </font>
    <font>
      <sz val="10"/>
      <color theme="1"/>
      <name val="굴림체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FE4A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3"/>
      </bottom>
      <diagonal/>
    </border>
  </borders>
  <cellStyleXfs count="231">
    <xf numFmtId="0" fontId="0" fillId="0" borderId="0"/>
    <xf numFmtId="38" fontId="11" fillId="0" borderId="0" applyFont="0" applyFill="0" applyBorder="0" applyAlignment="0" applyProtection="0"/>
    <xf numFmtId="4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38" fontId="14" fillId="2" borderId="0" applyNumberFormat="0" applyBorder="0" applyAlignment="0" applyProtection="0"/>
    <xf numFmtId="10" fontId="14" fillId="3" borderId="1" applyNumberFormat="0" applyBorder="0" applyAlignment="0" applyProtection="0"/>
    <xf numFmtId="38" fontId="13" fillId="0" borderId="0" applyFont="0" applyFill="0" applyBorder="0" applyAlignment="0" applyProtection="0"/>
    <xf numFmtId="40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8" fontId="13" fillId="0" borderId="0" applyFont="0" applyFill="0" applyBorder="0" applyAlignment="0" applyProtection="0"/>
    <xf numFmtId="179" fontId="12" fillId="0" borderId="0"/>
    <xf numFmtId="0" fontId="11" fillId="0" borderId="0"/>
    <xf numFmtId="10" fontId="12" fillId="0" borderId="0" applyFont="0" applyFill="0" applyBorder="0" applyAlignment="0" applyProtection="0"/>
    <xf numFmtId="9" fontId="13" fillId="0" borderId="2" applyNumberFormat="0" applyBorder="0"/>
    <xf numFmtId="176" fontId="8" fillId="0" borderId="0" applyFont="0" applyFill="0" applyBorder="0" applyAlignment="0" applyProtection="0"/>
    <xf numFmtId="0" fontId="8" fillId="0" borderId="0"/>
    <xf numFmtId="0" fontId="25" fillId="0" borderId="0">
      <alignment vertical="center"/>
    </xf>
    <xf numFmtId="0" fontId="6" fillId="0" borderId="0">
      <alignment vertical="center"/>
    </xf>
    <xf numFmtId="0" fontId="8" fillId="0" borderId="0"/>
    <xf numFmtId="176" fontId="8" fillId="0" borderId="0" applyFont="0" applyFill="0" applyBorder="0" applyAlignment="0" applyProtection="0"/>
    <xf numFmtId="0" fontId="5" fillId="0" borderId="0">
      <alignment vertical="center"/>
    </xf>
    <xf numFmtId="0" fontId="32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/>
    <xf numFmtId="176" fontId="8" fillId="0" borderId="0" applyFon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0" fontId="36" fillId="0" borderId="0"/>
    <xf numFmtId="0" fontId="25" fillId="0" borderId="0">
      <alignment vertical="center"/>
    </xf>
    <xf numFmtId="0" fontId="37" fillId="0" borderId="0">
      <alignment vertical="center"/>
    </xf>
    <xf numFmtId="0" fontId="25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66">
    <xf numFmtId="0" fontId="0" fillId="0" borderId="0" xfId="0"/>
    <xf numFmtId="18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9" fillId="0" borderId="0" xfId="0" applyFont="1" applyAlignment="1">
      <alignment horizontal="right" vertical="center"/>
    </xf>
    <xf numFmtId="180" fontId="9" fillId="0" borderId="0" xfId="0" applyNumberFormat="1" applyFont="1" applyAlignment="1">
      <alignment horizontal="right" vertical="center"/>
    </xf>
    <xf numFmtId="176" fontId="15" fillId="0" borderId="0" xfId="0" applyNumberFormat="1" applyFont="1" applyFill="1" applyBorder="1" applyAlignment="1">
      <alignment horizontal="center" vertical="center"/>
    </xf>
    <xf numFmtId="176" fontId="16" fillId="0" borderId="0" xfId="0" applyNumberFormat="1" applyFont="1" applyFill="1" applyBorder="1" applyAlignment="1">
      <alignment horizontal="right" vertical="center"/>
    </xf>
    <xf numFmtId="181" fontId="16" fillId="0" borderId="0" xfId="0" applyNumberFormat="1" applyFont="1" applyFill="1" applyBorder="1" applyAlignment="1">
      <alignment horizontal="right" vertical="center"/>
    </xf>
    <xf numFmtId="9" fontId="16" fillId="0" borderId="0" xfId="0" quotePrefix="1" applyNumberFormat="1" applyFont="1" applyFill="1" applyBorder="1" applyAlignment="1">
      <alignment horizontal="right" vertical="center"/>
    </xf>
    <xf numFmtId="176" fontId="18" fillId="0" borderId="0" xfId="0" applyNumberFormat="1" applyFont="1" applyFill="1" applyBorder="1" applyAlignment="1">
      <alignment horizontal="right" vertical="center"/>
    </xf>
    <xf numFmtId="9" fontId="18" fillId="0" borderId="0" xfId="0" applyNumberFormat="1" applyFont="1" applyFill="1" applyBorder="1" applyAlignment="1">
      <alignment horizontal="right" vertical="center"/>
    </xf>
    <xf numFmtId="0" fontId="20" fillId="0" borderId="0" xfId="0" applyFont="1"/>
    <xf numFmtId="0" fontId="8" fillId="0" borderId="0" xfId="16"/>
    <xf numFmtId="0" fontId="23" fillId="0" borderId="0" xfId="0" applyFont="1" applyBorder="1" applyAlignment="1">
      <alignment horizontal="center" vertical="center"/>
    </xf>
    <xf numFmtId="183" fontId="24" fillId="0" borderId="0" xfId="0" applyNumberFormat="1" applyFont="1" applyBorder="1" applyAlignment="1">
      <alignment vertical="center"/>
    </xf>
    <xf numFmtId="0" fontId="8" fillId="0" borderId="0" xfId="16" applyAlignment="1">
      <alignment horizontal="right"/>
    </xf>
    <xf numFmtId="180" fontId="8" fillId="0" borderId="0" xfId="16" applyNumberFormat="1" applyAlignment="1">
      <alignment horizontal="right"/>
    </xf>
    <xf numFmtId="0" fontId="9" fillId="0" borderId="0" xfId="16" applyFont="1" applyAlignment="1">
      <alignment horizontal="right" vertical="center"/>
    </xf>
    <xf numFmtId="180" fontId="9" fillId="0" borderId="0" xfId="16" applyNumberFormat="1" applyFont="1" applyAlignment="1">
      <alignment horizontal="right" vertical="center"/>
    </xf>
    <xf numFmtId="0" fontId="17" fillId="0" borderId="0" xfId="16" applyFont="1" applyAlignment="1">
      <alignment vertical="center"/>
    </xf>
    <xf numFmtId="0" fontId="25" fillId="0" borderId="0" xfId="17">
      <alignment vertical="center"/>
    </xf>
    <xf numFmtId="0" fontId="25" fillId="0" borderId="0" xfId="17" applyAlignment="1">
      <alignment horizontal="right"/>
    </xf>
    <xf numFmtId="180" fontId="25" fillId="0" borderId="0" xfId="17" applyNumberFormat="1" applyAlignment="1">
      <alignment horizontal="right"/>
    </xf>
    <xf numFmtId="0" fontId="9" fillId="0" borderId="0" xfId="17" applyFont="1" applyAlignment="1">
      <alignment horizontal="right" vertical="center"/>
    </xf>
    <xf numFmtId="180" fontId="9" fillId="0" borderId="0" xfId="17" applyNumberFormat="1" applyFont="1" applyAlignment="1">
      <alignment horizontal="right" vertical="center"/>
    </xf>
    <xf numFmtId="0" fontId="28" fillId="0" borderId="0" xfId="17" applyFont="1">
      <alignment vertical="center"/>
    </xf>
    <xf numFmtId="0" fontId="0" fillId="0" borderId="0" xfId="16" applyFont="1"/>
    <xf numFmtId="0" fontId="0" fillId="0" borderId="0" xfId="0" applyFont="1"/>
    <xf numFmtId="0" fontId="25" fillId="0" borderId="0" xfId="17" applyFont="1">
      <alignment vertical="center"/>
    </xf>
    <xf numFmtId="3" fontId="0" fillId="0" borderId="0" xfId="0" applyNumberFormat="1"/>
    <xf numFmtId="43" fontId="25" fillId="0" borderId="0" xfId="17" applyNumberFormat="1">
      <alignment vertical="center"/>
    </xf>
    <xf numFmtId="0" fontId="25" fillId="0" borderId="0" xfId="17" applyFont="1" applyAlignment="1">
      <alignment horizontal="center" vertical="center"/>
    </xf>
    <xf numFmtId="0" fontId="25" fillId="0" borderId="0" xfId="17" applyAlignment="1">
      <alignment horizontal="center" vertical="center"/>
    </xf>
    <xf numFmtId="176" fontId="25" fillId="0" borderId="1" xfId="15" applyFont="1" applyBorder="1" applyAlignment="1">
      <alignment horizontal="center" vertical="center"/>
    </xf>
    <xf numFmtId="0" fontId="25" fillId="0" borderId="1" xfId="15" applyNumberFormat="1" applyFont="1" applyBorder="1" applyAlignment="1">
      <alignment horizontal="center" vertical="center"/>
    </xf>
    <xf numFmtId="41" fontId="25" fillId="0" borderId="1" xfId="15" applyNumberFormat="1" applyFont="1" applyBorder="1" applyAlignment="1">
      <alignment horizontal="center" vertical="center"/>
    </xf>
    <xf numFmtId="189" fontId="25" fillId="0" borderId="0" xfId="17" applyNumberFormat="1">
      <alignment vertical="center"/>
    </xf>
    <xf numFmtId="176" fontId="16" fillId="0" borderId="0" xfId="0" applyNumberFormat="1" applyFont="1" applyBorder="1" applyAlignment="1">
      <alignment horizontal="right" vertical="center"/>
    </xf>
    <xf numFmtId="0" fontId="7" fillId="0" borderId="0" xfId="0" applyFont="1" applyBorder="1" applyAlignment="1">
      <alignment horizontal="right" vertical="center"/>
    </xf>
    <xf numFmtId="0" fontId="25" fillId="0" borderId="0" xfId="65">
      <alignment vertical="center"/>
    </xf>
    <xf numFmtId="0" fontId="25" fillId="0" borderId="0" xfId="65" applyAlignment="1">
      <alignment horizontal="center" vertical="center"/>
    </xf>
    <xf numFmtId="0" fontId="0" fillId="0" borderId="0" xfId="0" applyAlignment="1">
      <alignment horizontal="center" vertical="center"/>
    </xf>
    <xf numFmtId="180" fontId="0" fillId="0" borderId="0" xfId="0" applyNumberFormat="1" applyBorder="1" applyAlignment="1">
      <alignment horizontal="center"/>
    </xf>
    <xf numFmtId="180" fontId="0" fillId="0" borderId="0" xfId="0" applyNumberFormat="1" applyFill="1" applyBorder="1" applyAlignment="1">
      <alignment horizontal="center"/>
    </xf>
    <xf numFmtId="0" fontId="0" fillId="0" borderId="0" xfId="0" applyFill="1" applyBorder="1"/>
    <xf numFmtId="0" fontId="25" fillId="0" borderId="0" xfId="65" applyFill="1" applyBorder="1">
      <alignment vertical="center"/>
    </xf>
    <xf numFmtId="0" fontId="8" fillId="0" borderId="0" xfId="16" applyFill="1" applyBorder="1"/>
    <xf numFmtId="186" fontId="23" fillId="0" borderId="0" xfId="0" applyNumberFormat="1" applyFont="1" applyFill="1" applyBorder="1" applyAlignment="1">
      <alignment horizontal="center" vertical="center"/>
    </xf>
    <xf numFmtId="176" fontId="30" fillId="0" borderId="0" xfId="15" applyFont="1" applyFill="1" applyBorder="1" applyAlignment="1">
      <alignment horizontal="center" vertical="center"/>
    </xf>
    <xf numFmtId="187" fontId="23" fillId="0" borderId="0" xfId="0" quotePrefix="1" applyNumberFormat="1" applyFont="1" applyFill="1" applyBorder="1" applyAlignment="1">
      <alignment horizontal="center" vertical="center"/>
    </xf>
    <xf numFmtId="176" fontId="30" fillId="0" borderId="0" xfId="15" applyFont="1" applyFill="1" applyBorder="1" applyAlignment="1">
      <alignment horizontal="center" vertical="center" shrinkToFit="1"/>
    </xf>
    <xf numFmtId="0" fontId="17" fillId="0" borderId="0" xfId="16" applyFont="1" applyFill="1" applyBorder="1" applyAlignment="1">
      <alignment vertical="center"/>
    </xf>
    <xf numFmtId="176" fontId="16" fillId="8" borderId="6" xfId="0" applyNumberFormat="1" applyFont="1" applyFill="1" applyBorder="1" applyAlignment="1">
      <alignment horizontal="right" vertical="center"/>
    </xf>
    <xf numFmtId="9" fontId="16" fillId="8" borderId="6" xfId="0" quotePrefix="1" applyNumberFormat="1" applyFont="1" applyFill="1" applyBorder="1" applyAlignment="1">
      <alignment horizontal="right" vertical="center"/>
    </xf>
    <xf numFmtId="9" fontId="15" fillId="4" borderId="6" xfId="0" quotePrefix="1" applyNumberFormat="1" applyFont="1" applyFill="1" applyBorder="1" applyAlignment="1">
      <alignment horizontal="right" vertical="center"/>
    </xf>
    <xf numFmtId="176" fontId="9" fillId="4" borderId="6" xfId="0" applyNumberFormat="1" applyFont="1" applyFill="1" applyBorder="1" applyAlignment="1">
      <alignment horizontal="right" vertical="center"/>
    </xf>
    <xf numFmtId="9" fontId="9" fillId="4" borderId="6" xfId="0" applyNumberFormat="1" applyFont="1" applyFill="1" applyBorder="1" applyAlignment="1">
      <alignment horizontal="right" vertical="center"/>
    </xf>
    <xf numFmtId="176" fontId="15" fillId="0" borderId="6" xfId="0" applyNumberFormat="1" applyFont="1" applyFill="1" applyBorder="1" applyAlignment="1">
      <alignment horizontal="right" vertical="center"/>
    </xf>
    <xf numFmtId="182" fontId="16" fillId="8" borderId="6" xfId="0" applyNumberFormat="1" applyFont="1" applyFill="1" applyBorder="1" applyAlignment="1">
      <alignment horizontal="right" vertical="center"/>
    </xf>
    <xf numFmtId="176" fontId="16" fillId="8" borderId="6" xfId="0" applyNumberFormat="1" applyFont="1" applyFill="1" applyBorder="1" applyAlignment="1">
      <alignment horizontal="center" vertical="center"/>
    </xf>
    <xf numFmtId="181" fontId="18" fillId="8" borderId="6" xfId="0" applyNumberFormat="1" applyFont="1" applyFill="1" applyBorder="1" applyAlignment="1">
      <alignment horizontal="right" vertical="center"/>
    </xf>
    <xf numFmtId="176" fontId="15" fillId="4" borderId="6" xfId="0" applyNumberFormat="1" applyFont="1" applyFill="1" applyBorder="1" applyAlignment="1">
      <alignment horizontal="center" vertical="center"/>
    </xf>
    <xf numFmtId="182" fontId="15" fillId="0" borderId="6" xfId="0" applyNumberFormat="1" applyFont="1" applyBorder="1" applyAlignment="1">
      <alignment horizontal="right" vertical="center"/>
    </xf>
    <xf numFmtId="182" fontId="15" fillId="0" borderId="6" xfId="0" applyNumberFormat="1" applyFont="1" applyFill="1" applyBorder="1" applyAlignment="1">
      <alignment horizontal="right" vertical="center"/>
    </xf>
    <xf numFmtId="176" fontId="29" fillId="4" borderId="6" xfId="0" applyNumberFormat="1" applyFont="1" applyFill="1" applyBorder="1" applyAlignment="1">
      <alignment horizontal="center" vertical="center"/>
    </xf>
    <xf numFmtId="182" fontId="9" fillId="4" borderId="6" xfId="0" applyNumberFormat="1" applyFont="1" applyFill="1" applyBorder="1" applyAlignment="1">
      <alignment horizontal="right" vertical="center"/>
    </xf>
    <xf numFmtId="9" fontId="9" fillId="4" borderId="11" xfId="0" applyNumberFormat="1" applyFont="1" applyFill="1" applyBorder="1" applyAlignment="1">
      <alignment horizontal="right" vertical="center"/>
    </xf>
    <xf numFmtId="9" fontId="18" fillId="8" borderId="11" xfId="0" applyNumberFormat="1" applyFont="1" applyFill="1" applyBorder="1" applyAlignment="1">
      <alignment horizontal="right" vertical="center"/>
    </xf>
    <xf numFmtId="176" fontId="15" fillId="0" borderId="6" xfId="0" applyNumberFormat="1" applyFont="1" applyBorder="1" applyAlignment="1">
      <alignment horizontal="center" vertical="center"/>
    </xf>
    <xf numFmtId="176" fontId="15" fillId="0" borderId="6" xfId="0" applyNumberFormat="1" applyFont="1" applyFill="1" applyBorder="1" applyAlignment="1">
      <alignment horizontal="center" vertical="center"/>
    </xf>
    <xf numFmtId="176" fontId="29" fillId="4" borderId="6" xfId="0" applyNumberFormat="1" applyFont="1" applyFill="1" applyBorder="1" applyAlignment="1">
      <alignment horizontal="right" vertical="center"/>
    </xf>
    <xf numFmtId="176" fontId="16" fillId="6" borderId="8" xfId="0" quotePrefix="1" applyNumberFormat="1" applyFont="1" applyFill="1" applyBorder="1" applyAlignment="1">
      <alignment horizontal="center" vertical="center"/>
    </xf>
    <xf numFmtId="0" fontId="16" fillId="4" borderId="10" xfId="0" applyFont="1" applyFill="1" applyBorder="1" applyAlignment="1">
      <alignment horizontal="left"/>
    </xf>
    <xf numFmtId="176" fontId="29" fillId="4" borderId="11" xfId="0" applyNumberFormat="1" applyFont="1" applyFill="1" applyBorder="1" applyAlignment="1">
      <alignment horizontal="center" vertical="center"/>
    </xf>
    <xf numFmtId="176" fontId="16" fillId="6" borderId="18" xfId="0" applyNumberFormat="1" applyFont="1" applyFill="1" applyBorder="1" applyAlignment="1">
      <alignment horizontal="center" vertical="center"/>
    </xf>
    <xf numFmtId="176" fontId="16" fillId="6" borderId="18" xfId="0" applyNumberFormat="1" applyFont="1" applyFill="1" applyBorder="1" applyAlignment="1">
      <alignment horizontal="center" vertical="center" wrapText="1"/>
    </xf>
    <xf numFmtId="9" fontId="16" fillId="6" borderId="18" xfId="0" applyNumberFormat="1" applyFont="1" applyFill="1" applyBorder="1" applyAlignment="1">
      <alignment horizontal="center" vertical="center"/>
    </xf>
    <xf numFmtId="0" fontId="18" fillId="6" borderId="18" xfId="0" applyFont="1" applyFill="1" applyBorder="1" applyAlignment="1">
      <alignment horizontal="center" vertical="center"/>
    </xf>
    <xf numFmtId="180" fontId="16" fillId="6" borderId="19" xfId="0" applyNumberFormat="1" applyFont="1" applyFill="1" applyBorder="1" applyAlignment="1">
      <alignment horizontal="center" vertical="center"/>
    </xf>
    <xf numFmtId="176" fontId="15" fillId="0" borderId="20" xfId="0" applyNumberFormat="1" applyFont="1" applyBorder="1" applyAlignment="1">
      <alignment horizontal="right" vertical="center"/>
    </xf>
    <xf numFmtId="176" fontId="15" fillId="4" borderId="20" xfId="0" applyNumberFormat="1" applyFont="1" applyFill="1" applyBorder="1" applyAlignment="1">
      <alignment horizontal="right" vertical="center"/>
    </xf>
    <xf numFmtId="9" fontId="15" fillId="4" borderId="20" xfId="0" quotePrefix="1" applyNumberFormat="1" applyFont="1" applyFill="1" applyBorder="1" applyAlignment="1">
      <alignment horizontal="right" vertical="center"/>
    </xf>
    <xf numFmtId="9" fontId="9" fillId="4" borderId="21" xfId="0" applyNumberFormat="1" applyFont="1" applyFill="1" applyBorder="1" applyAlignment="1">
      <alignment horizontal="right" vertical="center"/>
    </xf>
    <xf numFmtId="176" fontId="16" fillId="8" borderId="23" xfId="0" applyNumberFormat="1" applyFont="1" applyFill="1" applyBorder="1" applyAlignment="1">
      <alignment horizontal="right" vertical="center"/>
    </xf>
    <xf numFmtId="9" fontId="16" fillId="8" borderId="23" xfId="0" quotePrefix="1" applyNumberFormat="1" applyFont="1" applyFill="1" applyBorder="1" applyAlignment="1">
      <alignment horizontal="right" vertical="center"/>
    </xf>
    <xf numFmtId="9" fontId="18" fillId="8" borderId="24" xfId="0" applyNumberFormat="1" applyFont="1" applyFill="1" applyBorder="1" applyAlignment="1">
      <alignment horizontal="right" vertical="center"/>
    </xf>
    <xf numFmtId="176" fontId="15" fillId="0" borderId="18" xfId="0" applyNumberFormat="1" applyFont="1" applyFill="1" applyBorder="1" applyAlignment="1">
      <alignment horizontal="right" vertical="center"/>
    </xf>
    <xf numFmtId="9" fontId="15" fillId="0" borderId="18" xfId="0" quotePrefix="1" applyNumberFormat="1" applyFont="1" applyFill="1" applyBorder="1" applyAlignment="1">
      <alignment horizontal="right" vertical="center"/>
    </xf>
    <xf numFmtId="9" fontId="9" fillId="0" borderId="19" xfId="0" applyNumberFormat="1" applyFont="1" applyFill="1" applyBorder="1" applyAlignment="1">
      <alignment horizontal="right" vertical="center"/>
    </xf>
    <xf numFmtId="176" fontId="16" fillId="8" borderId="20" xfId="0" applyNumberFormat="1" applyFont="1" applyFill="1" applyBorder="1" applyAlignment="1">
      <alignment horizontal="center" vertical="center"/>
    </xf>
    <xf numFmtId="182" fontId="16" fillId="8" borderId="20" xfId="0" applyNumberFormat="1" applyFont="1" applyFill="1" applyBorder="1" applyAlignment="1">
      <alignment horizontal="right" vertical="center"/>
    </xf>
    <xf numFmtId="176" fontId="16" fillId="8" borderId="20" xfId="0" applyNumberFormat="1" applyFont="1" applyFill="1" applyBorder="1" applyAlignment="1">
      <alignment horizontal="right" vertical="center"/>
    </xf>
    <xf numFmtId="9" fontId="16" fillId="8" borderId="20" xfId="0" quotePrefix="1" applyNumberFormat="1" applyFont="1" applyFill="1" applyBorder="1" applyAlignment="1">
      <alignment horizontal="right" vertical="center"/>
    </xf>
    <xf numFmtId="9" fontId="18" fillId="8" borderId="21" xfId="0" applyNumberFormat="1" applyFont="1" applyFill="1" applyBorder="1" applyAlignment="1">
      <alignment horizontal="right" vertical="center"/>
    </xf>
    <xf numFmtId="182" fontId="16" fillId="8" borderId="23" xfId="0" applyNumberFormat="1" applyFont="1" applyFill="1" applyBorder="1" applyAlignment="1">
      <alignment horizontal="right" vertical="center"/>
    </xf>
    <xf numFmtId="182" fontId="18" fillId="8" borderId="23" xfId="0" applyNumberFormat="1" applyFont="1" applyFill="1" applyBorder="1" applyAlignment="1">
      <alignment horizontal="right" vertical="center"/>
    </xf>
    <xf numFmtId="0" fontId="15" fillId="4" borderId="18" xfId="0" applyFont="1" applyFill="1" applyBorder="1" applyAlignment="1">
      <alignment horizontal="center"/>
    </xf>
    <xf numFmtId="176" fontId="15" fillId="0" borderId="18" xfId="0" applyNumberFormat="1" applyFont="1" applyBorder="1" applyAlignment="1">
      <alignment horizontal="right" vertical="center"/>
    </xf>
    <xf numFmtId="176" fontId="15" fillId="0" borderId="18" xfId="0" applyNumberFormat="1" applyFont="1" applyBorder="1" applyAlignment="1">
      <alignment horizontal="center" vertical="center"/>
    </xf>
    <xf numFmtId="176" fontId="16" fillId="4" borderId="18" xfId="0" applyNumberFormat="1" applyFont="1" applyFill="1" applyBorder="1" applyAlignment="1">
      <alignment horizontal="right" vertical="center"/>
    </xf>
    <xf numFmtId="9" fontId="18" fillId="8" borderId="20" xfId="0" applyNumberFormat="1" applyFont="1" applyFill="1" applyBorder="1" applyAlignment="1">
      <alignment horizontal="right" vertical="center"/>
    </xf>
    <xf numFmtId="176" fontId="16" fillId="8" borderId="23" xfId="0" applyNumberFormat="1" applyFont="1" applyFill="1" applyBorder="1" applyAlignment="1">
      <alignment horizontal="center" vertical="center" shrinkToFit="1"/>
    </xf>
    <xf numFmtId="176" fontId="16" fillId="8" borderId="23" xfId="0" applyNumberFormat="1" applyFont="1" applyFill="1" applyBorder="1" applyAlignment="1">
      <alignment horizontal="center" vertical="center"/>
    </xf>
    <xf numFmtId="176" fontId="16" fillId="8" borderId="23" xfId="0" applyNumberFormat="1" applyFont="1" applyFill="1" applyBorder="1" applyAlignment="1">
      <alignment horizontal="right" vertical="center" shrinkToFit="1"/>
    </xf>
    <xf numFmtId="9" fontId="16" fillId="8" borderId="23" xfId="0" quotePrefix="1" applyNumberFormat="1" applyFont="1" applyFill="1" applyBorder="1" applyAlignment="1">
      <alignment horizontal="right" vertical="center" shrinkToFit="1"/>
    </xf>
    <xf numFmtId="41" fontId="15" fillId="0" borderId="18" xfId="0" applyNumberFormat="1" applyFont="1" applyFill="1" applyBorder="1" applyAlignment="1">
      <alignment horizontal="center" vertical="center"/>
    </xf>
    <xf numFmtId="176" fontId="29" fillId="4" borderId="18" xfId="0" applyNumberFormat="1" applyFont="1" applyFill="1" applyBorder="1" applyAlignment="1">
      <alignment horizontal="right" vertical="center"/>
    </xf>
    <xf numFmtId="176" fontId="29" fillId="4" borderId="18" xfId="0" applyNumberFormat="1" applyFont="1" applyFill="1" applyBorder="1" applyAlignment="1">
      <alignment horizontal="center" vertical="center"/>
    </xf>
    <xf numFmtId="176" fontId="9" fillId="4" borderId="18" xfId="0" applyNumberFormat="1" applyFont="1" applyFill="1" applyBorder="1" applyAlignment="1">
      <alignment horizontal="right" vertical="center"/>
    </xf>
    <xf numFmtId="176" fontId="29" fillId="4" borderId="19" xfId="0" applyNumberFormat="1" applyFont="1" applyFill="1" applyBorder="1" applyAlignment="1">
      <alignment horizontal="center" vertical="center"/>
    </xf>
    <xf numFmtId="181" fontId="16" fillId="8" borderId="23" xfId="0" applyNumberFormat="1" applyFont="1" applyFill="1" applyBorder="1" applyAlignment="1">
      <alignment horizontal="right" vertical="center"/>
    </xf>
    <xf numFmtId="176" fontId="15" fillId="0" borderId="0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23" fillId="4" borderId="6" xfId="17" applyFont="1" applyFill="1" applyBorder="1" applyAlignment="1">
      <alignment horizontal="center" vertical="center"/>
    </xf>
    <xf numFmtId="184" fontId="16" fillId="4" borderId="6" xfId="17" quotePrefix="1" applyNumberFormat="1" applyFont="1" applyFill="1" applyBorder="1" applyAlignment="1">
      <alignment horizontal="right" vertical="center" shrinkToFit="1"/>
    </xf>
    <xf numFmtId="176" fontId="16" fillId="4" borderId="6" xfId="17" applyNumberFormat="1" applyFont="1" applyFill="1" applyBorder="1" applyAlignment="1">
      <alignment horizontal="right" vertical="center" shrinkToFit="1"/>
    </xf>
    <xf numFmtId="41" fontId="24" fillId="0" borderId="6" xfId="23" applyFont="1" applyFill="1" applyBorder="1" applyAlignment="1">
      <alignment horizontal="right" vertical="center"/>
    </xf>
    <xf numFmtId="0" fontId="23" fillId="0" borderId="6" xfId="17" applyFont="1" applyFill="1" applyBorder="1" applyAlignment="1">
      <alignment horizontal="center" vertical="center"/>
    </xf>
    <xf numFmtId="184" fontId="16" fillId="4" borderId="11" xfId="17" quotePrefix="1" applyNumberFormat="1" applyFont="1" applyFill="1" applyBorder="1" applyAlignment="1">
      <alignment horizontal="right" vertical="center" shrinkToFit="1"/>
    </xf>
    <xf numFmtId="0" fontId="23" fillId="4" borderId="13" xfId="17" applyFont="1" applyFill="1" applyBorder="1" applyAlignment="1">
      <alignment horizontal="center" vertical="center"/>
    </xf>
    <xf numFmtId="184" fontId="16" fillId="4" borderId="13" xfId="17" quotePrefix="1" applyNumberFormat="1" applyFont="1" applyFill="1" applyBorder="1" applyAlignment="1">
      <alignment horizontal="right" vertical="center" shrinkToFit="1"/>
    </xf>
    <xf numFmtId="176" fontId="16" fillId="4" borderId="13" xfId="17" applyNumberFormat="1" applyFont="1" applyFill="1" applyBorder="1" applyAlignment="1">
      <alignment horizontal="right" vertical="center" shrinkToFit="1"/>
    </xf>
    <xf numFmtId="184" fontId="16" fillId="4" borderId="14" xfId="17" quotePrefix="1" applyNumberFormat="1" applyFont="1" applyFill="1" applyBorder="1" applyAlignment="1">
      <alignment horizontal="right" vertical="center" shrinkToFit="1"/>
    </xf>
    <xf numFmtId="176" fontId="16" fillId="6" borderId="18" xfId="17" applyNumberFormat="1" applyFont="1" applyFill="1" applyBorder="1" applyAlignment="1">
      <alignment horizontal="center" vertical="center"/>
    </xf>
    <xf numFmtId="176" fontId="31" fillId="6" borderId="18" xfId="17" applyNumberFormat="1" applyFont="1" applyFill="1" applyBorder="1" applyAlignment="1">
      <alignment horizontal="center" vertical="center"/>
    </xf>
    <xf numFmtId="9" fontId="16" fillId="6" borderId="18" xfId="17" applyNumberFormat="1" applyFont="1" applyFill="1" applyBorder="1" applyAlignment="1">
      <alignment horizontal="center" vertical="center"/>
    </xf>
    <xf numFmtId="0" fontId="18" fillId="6" borderId="18" xfId="17" applyFont="1" applyFill="1" applyBorder="1" applyAlignment="1">
      <alignment horizontal="center" vertical="center"/>
    </xf>
    <xf numFmtId="180" fontId="16" fillId="6" borderId="19" xfId="17" applyNumberFormat="1" applyFont="1" applyFill="1" applyBorder="1" applyAlignment="1">
      <alignment horizontal="center" vertical="center"/>
    </xf>
    <xf numFmtId="0" fontId="23" fillId="8" borderId="28" xfId="17" applyFont="1" applyFill="1" applyBorder="1" applyAlignment="1">
      <alignment horizontal="center" vertical="center"/>
    </xf>
    <xf numFmtId="183" fontId="23" fillId="8" borderId="28" xfId="17" applyNumberFormat="1" applyFont="1" applyFill="1" applyBorder="1" applyAlignment="1">
      <alignment vertical="center" shrinkToFit="1"/>
    </xf>
    <xf numFmtId="41" fontId="23" fillId="8" borderId="28" xfId="15" applyNumberFormat="1" applyFont="1" applyFill="1" applyBorder="1" applyAlignment="1">
      <alignment horizontal="center" vertical="center" shrinkToFit="1"/>
    </xf>
    <xf numFmtId="185" fontId="16" fillId="8" borderId="28" xfId="17" applyNumberFormat="1" applyFont="1" applyFill="1" applyBorder="1" applyAlignment="1">
      <alignment horizontal="right" vertical="center" shrinkToFit="1"/>
    </xf>
    <xf numFmtId="184" fontId="16" fillId="8" borderId="28" xfId="17" quotePrefix="1" applyNumberFormat="1" applyFont="1" applyFill="1" applyBorder="1" applyAlignment="1">
      <alignment horizontal="right" vertical="center" shrinkToFit="1"/>
    </xf>
    <xf numFmtId="176" fontId="16" fillId="8" borderId="28" xfId="17" applyNumberFormat="1" applyFont="1" applyFill="1" applyBorder="1" applyAlignment="1">
      <alignment horizontal="right" vertical="center" shrinkToFit="1"/>
    </xf>
    <xf numFmtId="184" fontId="16" fillId="8" borderId="29" xfId="17" quotePrefix="1" applyNumberFormat="1" applyFont="1" applyFill="1" applyBorder="1" applyAlignment="1">
      <alignment horizontal="right" vertical="center" shrinkToFit="1"/>
    </xf>
    <xf numFmtId="0" fontId="23" fillId="8" borderId="15" xfId="17" applyFont="1" applyFill="1" applyBorder="1" applyAlignment="1">
      <alignment horizontal="center" vertical="center"/>
    </xf>
    <xf numFmtId="183" fontId="23" fillId="8" borderId="15" xfId="17" applyNumberFormat="1" applyFont="1" applyFill="1" applyBorder="1" applyAlignment="1">
      <alignment vertical="center" shrinkToFit="1"/>
    </xf>
    <xf numFmtId="41" fontId="23" fillId="8" borderId="15" xfId="15" applyNumberFormat="1" applyFont="1" applyFill="1" applyBorder="1" applyAlignment="1">
      <alignment horizontal="center" vertical="center" shrinkToFit="1"/>
    </xf>
    <xf numFmtId="185" fontId="16" fillId="8" borderId="15" xfId="17" applyNumberFormat="1" applyFont="1" applyFill="1" applyBorder="1" applyAlignment="1">
      <alignment horizontal="right" vertical="center" shrinkToFit="1"/>
    </xf>
    <xf numFmtId="184" fontId="16" fillId="8" borderId="15" xfId="17" quotePrefix="1" applyNumberFormat="1" applyFont="1" applyFill="1" applyBorder="1" applyAlignment="1">
      <alignment horizontal="right" vertical="center" shrinkToFit="1"/>
    </xf>
    <xf numFmtId="176" fontId="16" fillId="8" borderId="15" xfId="17" applyNumberFormat="1" applyFont="1" applyFill="1" applyBorder="1" applyAlignment="1">
      <alignment horizontal="right" vertical="center" shrinkToFit="1"/>
    </xf>
    <xf numFmtId="184" fontId="16" fillId="8" borderId="16" xfId="17" quotePrefix="1" applyNumberFormat="1" applyFont="1" applyFill="1" applyBorder="1" applyAlignment="1">
      <alignment horizontal="right" vertical="center" shrinkToFit="1"/>
    </xf>
    <xf numFmtId="0" fontId="23" fillId="9" borderId="6" xfId="17" applyFont="1" applyFill="1" applyBorder="1" applyAlignment="1">
      <alignment horizontal="center" vertical="center"/>
    </xf>
    <xf numFmtId="3" fontId="24" fillId="9" borderId="6" xfId="0" applyNumberFormat="1" applyFont="1" applyFill="1" applyBorder="1" applyAlignment="1">
      <alignment horizontal="right" vertical="center"/>
    </xf>
    <xf numFmtId="184" fontId="16" fillId="9" borderId="6" xfId="17" quotePrefix="1" applyNumberFormat="1" applyFont="1" applyFill="1" applyBorder="1" applyAlignment="1">
      <alignment horizontal="right" vertical="center" shrinkToFit="1"/>
    </xf>
    <xf numFmtId="176" fontId="16" fillId="9" borderId="6" xfId="17" applyNumberFormat="1" applyFont="1" applyFill="1" applyBorder="1" applyAlignment="1">
      <alignment horizontal="right" vertical="center" shrinkToFit="1"/>
    </xf>
    <xf numFmtId="184" fontId="16" fillId="9" borderId="11" xfId="17" quotePrefix="1" applyNumberFormat="1" applyFont="1" applyFill="1" applyBorder="1" applyAlignment="1">
      <alignment horizontal="right" vertical="center" shrinkToFit="1"/>
    </xf>
    <xf numFmtId="41" fontId="24" fillId="9" borderId="6" xfId="23" applyFont="1" applyFill="1" applyBorder="1" applyAlignment="1">
      <alignment horizontal="right" vertical="center"/>
    </xf>
    <xf numFmtId="0" fontId="23" fillId="6" borderId="7" xfId="0" applyFont="1" applyFill="1" applyBorder="1" applyAlignment="1">
      <alignment horizontal="center" vertical="center"/>
    </xf>
    <xf numFmtId="0" fontId="27" fillId="0" borderId="12" xfId="0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/>
    </xf>
    <xf numFmtId="186" fontId="23" fillId="6" borderId="32" xfId="0" applyNumberFormat="1" applyFont="1" applyFill="1" applyBorder="1" applyAlignment="1">
      <alignment horizontal="center" vertical="center"/>
    </xf>
    <xf numFmtId="176" fontId="38" fillId="0" borderId="33" xfId="15" applyFont="1" applyBorder="1" applyAlignment="1">
      <alignment horizontal="center" vertical="center"/>
    </xf>
    <xf numFmtId="187" fontId="23" fillId="6" borderId="32" xfId="0" quotePrefix="1" applyNumberFormat="1" applyFont="1" applyFill="1" applyBorder="1" applyAlignment="1">
      <alignment horizontal="center" vertical="center"/>
    </xf>
    <xf numFmtId="188" fontId="38" fillId="0" borderId="33" xfId="0" applyNumberFormat="1" applyFont="1" applyBorder="1" applyAlignment="1">
      <alignment horizontal="center" vertical="center"/>
    </xf>
    <xf numFmtId="176" fontId="38" fillId="0" borderId="33" xfId="15" applyFont="1" applyBorder="1" applyAlignment="1">
      <alignment horizontal="center" vertical="center" shrinkToFit="1"/>
    </xf>
    <xf numFmtId="0" fontId="25" fillId="0" borderId="0" xfId="17" applyFill="1">
      <alignment vertical="center"/>
    </xf>
    <xf numFmtId="182" fontId="15" fillId="0" borderId="6" xfId="0" applyNumberFormat="1" applyFont="1" applyBorder="1" applyAlignment="1">
      <alignment horizontal="right" vertical="center"/>
    </xf>
    <xf numFmtId="0" fontId="23" fillId="9" borderId="28" xfId="17" applyFont="1" applyFill="1" applyBorder="1" applyAlignment="1">
      <alignment horizontal="center" vertical="center"/>
    </xf>
    <xf numFmtId="3" fontId="24" fillId="9" borderId="28" xfId="0" applyNumberFormat="1" applyFont="1" applyFill="1" applyBorder="1" applyAlignment="1">
      <alignment horizontal="right" vertical="center"/>
    </xf>
    <xf numFmtId="184" fontId="16" fillId="9" borderId="28" xfId="17" quotePrefix="1" applyNumberFormat="1" applyFont="1" applyFill="1" applyBorder="1" applyAlignment="1">
      <alignment horizontal="right" vertical="center" shrinkToFit="1"/>
    </xf>
    <xf numFmtId="176" fontId="16" fillId="9" borderId="28" xfId="17" applyNumberFormat="1" applyFont="1" applyFill="1" applyBorder="1" applyAlignment="1">
      <alignment horizontal="right" vertical="center" shrinkToFit="1"/>
    </xf>
    <xf numFmtId="184" fontId="16" fillId="9" borderId="35" xfId="17" quotePrefix="1" applyNumberFormat="1" applyFont="1" applyFill="1" applyBorder="1" applyAlignment="1">
      <alignment horizontal="right" vertical="center" shrinkToFit="1"/>
    </xf>
    <xf numFmtId="176" fontId="15" fillId="0" borderId="6" xfId="0" applyNumberFormat="1" applyFont="1" applyFill="1" applyBorder="1" applyAlignment="1">
      <alignment horizontal="center" vertical="center"/>
    </xf>
    <xf numFmtId="176" fontId="15" fillId="4" borderId="15" xfId="0" applyNumberFormat="1" applyFont="1" applyFill="1" applyBorder="1" applyAlignment="1">
      <alignment horizontal="center" vertical="center"/>
    </xf>
    <xf numFmtId="182" fontId="36" fillId="0" borderId="6" xfId="22" applyNumberFormat="1" applyFont="1" applyBorder="1">
      <alignment vertical="center"/>
    </xf>
    <xf numFmtId="182" fontId="33" fillId="0" borderId="6" xfId="22" applyNumberFormat="1" applyFont="1" applyBorder="1" applyAlignment="1">
      <alignment horizontal="right" vertical="center"/>
    </xf>
    <xf numFmtId="176" fontId="15" fillId="0" borderId="20" xfId="19" applyNumberFormat="1" applyFont="1" applyFill="1" applyBorder="1" applyAlignment="1">
      <alignment horizontal="center" vertical="center"/>
    </xf>
    <xf numFmtId="176" fontId="15" fillId="0" borderId="6" xfId="19" applyNumberFormat="1" applyFont="1" applyFill="1" applyBorder="1" applyAlignment="1">
      <alignment horizontal="center" vertical="center"/>
    </xf>
    <xf numFmtId="176" fontId="15" fillId="0" borderId="18" xfId="19" applyNumberFormat="1" applyFont="1" applyFill="1" applyBorder="1" applyAlignment="1">
      <alignment horizontal="center" vertical="center"/>
    </xf>
    <xf numFmtId="0" fontId="23" fillId="5" borderId="6" xfId="17" applyFont="1" applyFill="1" applyBorder="1" applyAlignment="1">
      <alignment horizontal="center" vertical="center"/>
    </xf>
    <xf numFmtId="184" fontId="16" fillId="5" borderId="6" xfId="17" quotePrefix="1" applyNumberFormat="1" applyFont="1" applyFill="1" applyBorder="1" applyAlignment="1">
      <alignment horizontal="right" vertical="center" shrinkToFit="1"/>
    </xf>
    <xf numFmtId="176" fontId="16" fillId="5" borderId="6" xfId="17" applyNumberFormat="1" applyFont="1" applyFill="1" applyBorder="1" applyAlignment="1">
      <alignment horizontal="right" vertical="center" shrinkToFit="1"/>
    </xf>
    <xf numFmtId="184" fontId="16" fillId="5" borderId="11" xfId="17" quotePrefix="1" applyNumberFormat="1" applyFont="1" applyFill="1" applyBorder="1" applyAlignment="1">
      <alignment horizontal="right" vertical="center" shrinkToFit="1"/>
    </xf>
    <xf numFmtId="185" fontId="16" fillId="9" borderId="36" xfId="17" applyNumberFormat="1" applyFont="1" applyFill="1" applyBorder="1" applyAlignment="1">
      <alignment horizontal="right" vertical="center" shrinkToFit="1"/>
    </xf>
    <xf numFmtId="185" fontId="16" fillId="5" borderId="37" xfId="17" applyNumberFormat="1" applyFont="1" applyFill="1" applyBorder="1" applyAlignment="1">
      <alignment horizontal="right" vertical="center" shrinkToFit="1"/>
    </xf>
    <xf numFmtId="185" fontId="16" fillId="9" borderId="37" xfId="17" applyNumberFormat="1" applyFont="1" applyFill="1" applyBorder="1" applyAlignment="1">
      <alignment horizontal="right" vertical="center" shrinkToFit="1"/>
    </xf>
    <xf numFmtId="185" fontId="16" fillId="4" borderId="37" xfId="17" applyNumberFormat="1" applyFont="1" applyFill="1" applyBorder="1" applyAlignment="1">
      <alignment horizontal="right" vertical="center" shrinkToFit="1"/>
    </xf>
    <xf numFmtId="185" fontId="16" fillId="4" borderId="38" xfId="17" applyNumberFormat="1" applyFont="1" applyFill="1" applyBorder="1" applyAlignment="1">
      <alignment horizontal="right" vertical="center" shrinkToFit="1"/>
    </xf>
    <xf numFmtId="3" fontId="24" fillId="5" borderId="6" xfId="0" applyNumberFormat="1" applyFont="1" applyFill="1" applyBorder="1" applyAlignment="1">
      <alignment horizontal="right" vertical="center"/>
    </xf>
    <xf numFmtId="3" fontId="34" fillId="9" borderId="6" xfId="0" applyNumberFormat="1" applyFont="1" applyFill="1" applyBorder="1" applyAlignment="1">
      <alignment horizontal="right" vertical="center"/>
    </xf>
    <xf numFmtId="3" fontId="24" fillId="5" borderId="39" xfId="0" applyNumberFormat="1" applyFont="1" applyFill="1" applyBorder="1" applyAlignment="1">
      <alignment horizontal="right" vertical="center"/>
    </xf>
    <xf numFmtId="176" fontId="33" fillId="5" borderId="20" xfId="15" applyFont="1" applyFill="1" applyBorder="1" applyAlignment="1">
      <alignment horizontal="right" vertical="center"/>
    </xf>
    <xf numFmtId="176" fontId="33" fillId="5" borderId="18" xfId="15" applyFont="1" applyFill="1" applyBorder="1" applyAlignment="1">
      <alignment horizontal="right" vertical="center"/>
    </xf>
    <xf numFmtId="182" fontId="36" fillId="0" borderId="6" xfId="22" applyNumberFormat="1" applyFont="1" applyBorder="1">
      <alignment vertical="center"/>
    </xf>
    <xf numFmtId="182" fontId="39" fillId="5" borderId="6" xfId="15" applyNumberFormat="1" applyFont="1" applyFill="1" applyBorder="1" applyAlignment="1">
      <alignment horizontal="right" vertical="center"/>
    </xf>
    <xf numFmtId="176" fontId="15" fillId="0" borderId="6" xfId="0" applyNumberFormat="1" applyFont="1" applyFill="1" applyBorder="1" applyAlignment="1">
      <alignment horizontal="center" vertical="center"/>
    </xf>
    <xf numFmtId="176" fontId="15" fillId="0" borderId="20" xfId="0" applyNumberFormat="1" applyFont="1" applyBorder="1" applyAlignment="1">
      <alignment horizontal="right" vertical="center"/>
    </xf>
    <xf numFmtId="176" fontId="15" fillId="0" borderId="18" xfId="0" applyNumberFormat="1" applyFont="1" applyFill="1" applyBorder="1" applyAlignment="1">
      <alignment horizontal="right" vertical="center"/>
    </xf>
    <xf numFmtId="182" fontId="15" fillId="0" borderId="6" xfId="0" applyNumberFormat="1" applyFont="1" applyBorder="1" applyAlignment="1">
      <alignment horizontal="right" vertical="center"/>
    </xf>
    <xf numFmtId="182" fontId="36" fillId="0" borderId="6" xfId="22" applyNumberFormat="1" applyFont="1" applyBorder="1">
      <alignment vertical="center"/>
    </xf>
    <xf numFmtId="182" fontId="33" fillId="0" borderId="6" xfId="22" applyNumberFormat="1" applyFont="1" applyBorder="1" applyAlignment="1">
      <alignment horizontal="right" vertical="center"/>
    </xf>
    <xf numFmtId="176" fontId="15" fillId="0" borderId="20" xfId="19" applyNumberFormat="1" applyFont="1" applyFill="1" applyBorder="1" applyAlignment="1">
      <alignment horizontal="center" vertical="center"/>
    </xf>
    <xf numFmtId="176" fontId="15" fillId="0" borderId="6" xfId="19" applyNumberFormat="1" applyFont="1" applyFill="1" applyBorder="1" applyAlignment="1">
      <alignment horizontal="center" vertical="center"/>
    </xf>
    <xf numFmtId="176" fontId="15" fillId="0" borderId="18" xfId="19" applyNumberFormat="1" applyFont="1" applyFill="1" applyBorder="1" applyAlignment="1">
      <alignment horizontal="center" vertical="center"/>
    </xf>
    <xf numFmtId="182" fontId="39" fillId="5" borderId="6" xfId="15" applyNumberFormat="1" applyFont="1" applyFill="1" applyBorder="1" applyAlignment="1">
      <alignment horizontal="right" vertical="center"/>
    </xf>
    <xf numFmtId="176" fontId="15" fillId="0" borderId="6" xfId="15" applyFont="1" applyFill="1" applyBorder="1" applyAlignment="1">
      <alignment horizontal="center" vertical="center"/>
    </xf>
    <xf numFmtId="176" fontId="15" fillId="0" borderId="6" xfId="15" applyFont="1" applyFill="1" applyBorder="1" applyAlignment="1">
      <alignment horizontal="right" vertical="center"/>
    </xf>
    <xf numFmtId="176" fontId="15" fillId="5" borderId="6" xfId="15" applyFont="1" applyFill="1" applyBorder="1" applyAlignment="1">
      <alignment horizontal="right" vertical="center"/>
    </xf>
    <xf numFmtId="180" fontId="23" fillId="6" borderId="8" xfId="0" quotePrefix="1" applyNumberFormat="1" applyFont="1" applyFill="1" applyBorder="1" applyAlignment="1">
      <alignment horizontal="center" vertical="center"/>
    </xf>
    <xf numFmtId="176" fontId="24" fillId="0" borderId="13" xfId="15" applyFont="1" applyBorder="1" applyAlignment="1">
      <alignment horizontal="center" vertical="center"/>
    </xf>
    <xf numFmtId="180" fontId="23" fillId="6" borderId="31" xfId="0" quotePrefix="1" applyNumberFormat="1" applyFont="1" applyFill="1" applyBorder="1" applyAlignment="1">
      <alignment horizontal="center" vertical="center"/>
    </xf>
    <xf numFmtId="176" fontId="24" fillId="0" borderId="25" xfId="15" applyFont="1" applyBorder="1" applyAlignment="1">
      <alignment horizontal="center" vertical="center"/>
    </xf>
    <xf numFmtId="180" fontId="23" fillId="6" borderId="8" xfId="0" quotePrefix="1" applyNumberFormat="1" applyFont="1" applyFill="1" applyBorder="1" applyAlignment="1">
      <alignment horizontal="center" vertical="center"/>
    </xf>
    <xf numFmtId="176" fontId="24" fillId="0" borderId="13" xfId="15" applyFont="1" applyBorder="1" applyAlignment="1">
      <alignment horizontal="center" vertical="center" shrinkToFit="1"/>
    </xf>
    <xf numFmtId="180" fontId="23" fillId="6" borderId="31" xfId="0" quotePrefix="1" applyNumberFormat="1" applyFont="1" applyFill="1" applyBorder="1" applyAlignment="1">
      <alignment horizontal="center" vertical="center"/>
    </xf>
    <xf numFmtId="176" fontId="24" fillId="0" borderId="25" xfId="15" applyFont="1" applyBorder="1" applyAlignment="1">
      <alignment horizontal="center" vertical="center"/>
    </xf>
    <xf numFmtId="176" fontId="24" fillId="0" borderId="25" xfId="15" applyFont="1" applyBorder="1" applyAlignment="1">
      <alignment horizontal="center" vertical="center" shrinkToFit="1"/>
    </xf>
    <xf numFmtId="180" fontId="23" fillId="6" borderId="8" xfId="0" quotePrefix="1" applyNumberFormat="1" applyFont="1" applyFill="1" applyBorder="1" applyAlignment="1">
      <alignment horizontal="center" vertical="center"/>
    </xf>
    <xf numFmtId="188" fontId="24" fillId="0" borderId="13" xfId="0" applyNumberFormat="1" applyFont="1" applyBorder="1" applyAlignment="1">
      <alignment horizontal="center" vertical="center"/>
    </xf>
    <xf numFmtId="180" fontId="23" fillId="6" borderId="31" xfId="0" quotePrefix="1" applyNumberFormat="1" applyFont="1" applyFill="1" applyBorder="1" applyAlignment="1">
      <alignment horizontal="center" vertical="center"/>
    </xf>
    <xf numFmtId="188" fontId="24" fillId="0" borderId="25" xfId="0" applyNumberFormat="1" applyFont="1" applyBorder="1" applyAlignment="1">
      <alignment horizontal="center" vertical="center"/>
    </xf>
    <xf numFmtId="188" fontId="24" fillId="0" borderId="25" xfId="15" applyNumberFormat="1" applyFont="1" applyBorder="1" applyAlignment="1">
      <alignment horizontal="center" vertical="center"/>
    </xf>
    <xf numFmtId="180" fontId="23" fillId="6" borderId="8" xfId="0" quotePrefix="1" applyNumberFormat="1" applyFont="1" applyFill="1" applyBorder="1" applyAlignment="1">
      <alignment horizontal="center" vertical="center"/>
    </xf>
    <xf numFmtId="176" fontId="24" fillId="0" borderId="13" xfId="15" applyFont="1" applyBorder="1" applyAlignment="1">
      <alignment horizontal="center" vertical="center"/>
    </xf>
    <xf numFmtId="180" fontId="23" fillId="6" borderId="31" xfId="0" quotePrefix="1" applyNumberFormat="1" applyFont="1" applyFill="1" applyBorder="1" applyAlignment="1">
      <alignment horizontal="center" vertical="center"/>
    </xf>
    <xf numFmtId="176" fontId="24" fillId="0" borderId="25" xfId="15" applyFont="1" applyBorder="1" applyAlignment="1">
      <alignment horizontal="center" vertical="center"/>
    </xf>
    <xf numFmtId="41" fontId="24" fillId="9" borderId="28" xfId="40" applyNumberFormat="1" applyFont="1" applyFill="1" applyBorder="1" applyAlignment="1">
      <alignment horizontal="center" vertical="center"/>
    </xf>
    <xf numFmtId="41" fontId="24" fillId="5" borderId="6" xfId="40" applyNumberFormat="1" applyFont="1" applyFill="1" applyBorder="1" applyAlignment="1">
      <alignment horizontal="center" vertical="center"/>
    </xf>
    <xf numFmtId="41" fontId="24" fillId="9" borderId="6" xfId="40" applyNumberFormat="1" applyFont="1" applyFill="1" applyBorder="1" applyAlignment="1">
      <alignment horizontal="center" vertical="center"/>
    </xf>
    <xf numFmtId="41" fontId="24" fillId="9" borderId="6" xfId="23" applyNumberFormat="1" applyFont="1" applyFill="1" applyBorder="1" applyAlignment="1">
      <alignment horizontal="right" vertical="center"/>
    </xf>
    <xf numFmtId="41" fontId="24" fillId="0" borderId="6" xfId="23" applyNumberFormat="1" applyFont="1" applyFill="1" applyBorder="1" applyAlignment="1">
      <alignment horizontal="right" vertical="center"/>
    </xf>
    <xf numFmtId="41" fontId="24" fillId="5" borderId="13" xfId="40" applyNumberFormat="1" applyFont="1" applyFill="1" applyBorder="1" applyAlignment="1">
      <alignment horizontal="center" vertical="center"/>
    </xf>
    <xf numFmtId="41" fontId="24" fillId="9" borderId="28" xfId="0" applyNumberFormat="1" applyFont="1" applyFill="1" applyBorder="1" applyAlignment="1">
      <alignment vertical="center"/>
    </xf>
    <xf numFmtId="41" fontId="24" fillId="5" borderId="6" xfId="0" applyNumberFormat="1" applyFont="1" applyFill="1" applyBorder="1" applyAlignment="1">
      <alignment vertical="center"/>
    </xf>
    <xf numFmtId="176" fontId="16" fillId="8" borderId="22" xfId="15" applyFont="1" applyFill="1" applyBorder="1" applyAlignment="1">
      <alignment horizontal="right" vertical="center"/>
    </xf>
    <xf numFmtId="176" fontId="16" fillId="8" borderId="22" xfId="0" applyNumberFormat="1" applyFont="1" applyFill="1" applyBorder="1" applyAlignment="1">
      <alignment horizontal="center" vertical="center"/>
    </xf>
    <xf numFmtId="176" fontId="16" fillId="8" borderId="23" xfId="0" applyNumberFormat="1" applyFont="1" applyFill="1" applyBorder="1" applyAlignment="1">
      <alignment horizontal="center" vertical="center"/>
    </xf>
    <xf numFmtId="0" fontId="35" fillId="7" borderId="4" xfId="65" applyFont="1" applyFill="1" applyBorder="1" applyAlignment="1">
      <alignment horizontal="center" vertical="center"/>
    </xf>
    <xf numFmtId="0" fontId="35" fillId="7" borderId="5" xfId="65" applyFont="1" applyFill="1" applyBorder="1" applyAlignment="1">
      <alignment horizontal="center" vertical="center"/>
    </xf>
    <xf numFmtId="0" fontId="35" fillId="7" borderId="3" xfId="65" applyFont="1" applyFill="1" applyBorder="1" applyAlignment="1">
      <alignment horizontal="center" vertical="center"/>
    </xf>
    <xf numFmtId="176" fontId="16" fillId="6" borderId="8" xfId="0" applyNumberFormat="1" applyFont="1" applyFill="1" applyBorder="1" applyAlignment="1">
      <alignment horizontal="center" vertical="center"/>
    </xf>
    <xf numFmtId="0" fontId="18" fillId="0" borderId="0" xfId="0" applyFont="1" applyBorder="1" applyAlignment="1">
      <alignment horizontal="right"/>
    </xf>
    <xf numFmtId="176" fontId="15" fillId="0" borderId="6" xfId="0" applyNumberFormat="1" applyFont="1" applyFill="1" applyBorder="1" applyAlignment="1">
      <alignment horizontal="center" vertical="center"/>
    </xf>
    <xf numFmtId="176" fontId="16" fillId="6" borderId="12" xfId="0" applyNumberFormat="1" applyFont="1" applyFill="1" applyBorder="1" applyAlignment="1">
      <alignment horizontal="center" vertical="center"/>
    </xf>
    <xf numFmtId="176" fontId="16" fillId="6" borderId="13" xfId="0" applyNumberFormat="1" applyFont="1" applyFill="1" applyBorder="1" applyAlignment="1">
      <alignment horizontal="center" vertical="center"/>
    </xf>
    <xf numFmtId="176" fontId="16" fillId="6" borderId="25" xfId="0" applyNumberFormat="1" applyFont="1" applyFill="1" applyBorder="1" applyAlignment="1">
      <alignment horizontal="center" vertical="center"/>
    </xf>
    <xf numFmtId="9" fontId="16" fillId="4" borderId="18" xfId="0" applyNumberFormat="1" applyFont="1" applyFill="1" applyBorder="1" applyAlignment="1">
      <alignment horizontal="right"/>
    </xf>
    <xf numFmtId="9" fontId="16" fillId="4" borderId="18" xfId="0" quotePrefix="1" applyNumberFormat="1" applyFont="1" applyFill="1" applyBorder="1" applyAlignment="1">
      <alignment horizontal="right"/>
    </xf>
    <xf numFmtId="9" fontId="16" fillId="4" borderId="19" xfId="0" quotePrefix="1" applyNumberFormat="1" applyFont="1" applyFill="1" applyBorder="1" applyAlignment="1">
      <alignment horizontal="right"/>
    </xf>
    <xf numFmtId="176" fontId="16" fillId="6" borderId="17" xfId="0" applyNumberFormat="1" applyFont="1" applyFill="1" applyBorder="1" applyAlignment="1">
      <alignment horizontal="center" vertical="center"/>
    </xf>
    <xf numFmtId="176" fontId="16" fillId="6" borderId="10" xfId="0" applyNumberFormat="1" applyFont="1" applyFill="1" applyBorder="1" applyAlignment="1">
      <alignment horizontal="center" vertical="center"/>
    </xf>
    <xf numFmtId="176" fontId="16" fillId="6" borderId="17" xfId="0" applyNumberFormat="1" applyFont="1" applyFill="1" applyBorder="1" applyAlignment="1">
      <alignment horizontal="center" vertical="center" wrapText="1"/>
    </xf>
    <xf numFmtId="176" fontId="16" fillId="6" borderId="9" xfId="0" applyNumberFormat="1" applyFont="1" applyFill="1" applyBorder="1" applyAlignment="1">
      <alignment horizontal="center" vertical="center"/>
    </xf>
    <xf numFmtId="176" fontId="15" fillId="6" borderId="7" xfId="0" applyNumberFormat="1" applyFont="1" applyFill="1" applyBorder="1" applyAlignment="1">
      <alignment horizontal="center" vertical="center"/>
    </xf>
    <xf numFmtId="0" fontId="0" fillId="6" borderId="8" xfId="0" applyFont="1" applyFill="1" applyBorder="1"/>
    <xf numFmtId="0" fontId="0" fillId="6" borderId="10" xfId="0" applyFont="1" applyFill="1" applyBorder="1"/>
    <xf numFmtId="0" fontId="0" fillId="6" borderId="18" xfId="0" applyFont="1" applyFill="1" applyBorder="1"/>
    <xf numFmtId="176" fontId="15" fillId="0" borderId="20" xfId="0" applyNumberFormat="1" applyFont="1" applyFill="1" applyBorder="1" applyAlignment="1">
      <alignment horizontal="center" vertical="center"/>
    </xf>
    <xf numFmtId="176" fontId="15" fillId="0" borderId="18" xfId="0" applyNumberFormat="1" applyFont="1" applyFill="1" applyBorder="1" applyAlignment="1">
      <alignment horizontal="center" vertical="center"/>
    </xf>
    <xf numFmtId="0" fontId="35" fillId="7" borderId="1" xfId="65" applyFont="1" applyFill="1" applyBorder="1" applyAlignment="1">
      <alignment horizontal="center" vertical="center"/>
    </xf>
    <xf numFmtId="0" fontId="19" fillId="0" borderId="0" xfId="16" applyFont="1" applyAlignment="1">
      <alignment horizontal="left" vertical="center"/>
    </xf>
    <xf numFmtId="0" fontId="17" fillId="0" borderId="0" xfId="16" applyFont="1" applyAlignment="1">
      <alignment horizontal="left" vertical="center"/>
    </xf>
    <xf numFmtId="180" fontId="18" fillId="0" borderId="0" xfId="0" applyNumberFormat="1" applyFont="1" applyBorder="1" applyAlignment="1">
      <alignment horizontal="right"/>
    </xf>
    <xf numFmtId="176" fontId="16" fillId="6" borderId="7" xfId="17" applyNumberFormat="1" applyFont="1" applyFill="1" applyBorder="1" applyAlignment="1">
      <alignment horizontal="center" vertical="center"/>
    </xf>
    <xf numFmtId="176" fontId="16" fillId="6" borderId="26" xfId="17" applyNumberFormat="1" applyFont="1" applyFill="1" applyBorder="1" applyAlignment="1">
      <alignment horizontal="center" vertical="center"/>
    </xf>
    <xf numFmtId="0" fontId="23" fillId="8" borderId="27" xfId="17" applyFont="1" applyFill="1" applyBorder="1" applyAlignment="1">
      <alignment horizontal="center" vertical="center"/>
    </xf>
    <xf numFmtId="0" fontId="23" fillId="8" borderId="30" xfId="17" applyFont="1" applyFill="1" applyBorder="1" applyAlignment="1">
      <alignment horizontal="center" vertical="center"/>
    </xf>
    <xf numFmtId="0" fontId="24" fillId="6" borderId="34" xfId="17" applyFont="1" applyFill="1" applyBorder="1" applyAlignment="1">
      <alignment horizontal="center" vertical="center"/>
    </xf>
    <xf numFmtId="0" fontId="24" fillId="6" borderId="10" xfId="17" applyFont="1" applyFill="1" applyBorder="1" applyAlignment="1">
      <alignment horizontal="center" vertical="center"/>
    </xf>
    <xf numFmtId="176" fontId="16" fillId="6" borderId="8" xfId="17" applyNumberFormat="1" applyFont="1" applyFill="1" applyBorder="1" applyAlignment="1">
      <alignment horizontal="center" vertical="center"/>
    </xf>
    <xf numFmtId="176" fontId="16" fillId="6" borderId="9" xfId="17" applyNumberFormat="1" applyFont="1" applyFill="1" applyBorder="1" applyAlignment="1">
      <alignment horizontal="center" vertical="center"/>
    </xf>
    <xf numFmtId="0" fontId="26" fillId="6" borderId="8" xfId="17" applyFont="1" applyFill="1" applyBorder="1" applyAlignment="1">
      <alignment horizontal="center" vertical="center"/>
    </xf>
    <xf numFmtId="0" fontId="26" fillId="6" borderId="18" xfId="17" applyFont="1" applyFill="1" applyBorder="1" applyAlignment="1">
      <alignment horizontal="center" vertical="center"/>
    </xf>
    <xf numFmtId="0" fontId="24" fillId="6" borderId="12" xfId="17" applyFont="1" applyFill="1" applyBorder="1" applyAlignment="1">
      <alignment horizontal="center" vertical="center"/>
    </xf>
  </cellXfs>
  <cellStyles count="231">
    <cellStyle name="Comma [0]_5year" xfId="1"/>
    <cellStyle name="Comma_495ALL" xfId="2"/>
    <cellStyle name="Currency [0]_5year" xfId="3"/>
    <cellStyle name="Currency_495ALL" xfId="4"/>
    <cellStyle name="Grey" xfId="5"/>
    <cellStyle name="Input [yellow]" xfId="6"/>
    <cellStyle name="Milliers [0]_AR1194" xfId="7"/>
    <cellStyle name="Milliers_AR1194" xfId="8"/>
    <cellStyle name="Mon?aire [0]_AR1194" xfId="9"/>
    <cellStyle name="Mon?aire_AR1194" xfId="10"/>
    <cellStyle name="Normal - Style1" xfId="11"/>
    <cellStyle name="Normal_495ALL" xfId="12"/>
    <cellStyle name="Percent [2]" xfId="13"/>
    <cellStyle name="PERCENTAGE" xfId="14"/>
    <cellStyle name="백분율 2" xfId="59"/>
    <cellStyle name="백분율 3" xfId="60"/>
    <cellStyle name="백분율 4" xfId="58"/>
    <cellStyle name="쉼표 [0]" xfId="15" builtinId="6"/>
    <cellStyle name="쉼표 [0] 2" xfId="20"/>
    <cellStyle name="쉼표 [0] 2 2" xfId="62"/>
    <cellStyle name="쉼표 [0] 3" xfId="23"/>
    <cellStyle name="쉼표 [0] 3 2" xfId="33"/>
    <cellStyle name="쉼표 [0] 3 3" xfId="63"/>
    <cellStyle name="쉼표 [0] 4" xfId="40"/>
    <cellStyle name="쉼표 [0] 5" xfId="56"/>
    <cellStyle name="쉼표 [0] 5 2" xfId="102"/>
    <cellStyle name="쉼표 [0] 5 2 2" xfId="166"/>
    <cellStyle name="쉼표 [0] 5 2 3" xfId="230"/>
    <cellStyle name="쉼표 [0] 5 3" xfId="134"/>
    <cellStyle name="쉼표 [0] 5 4" xfId="198"/>
    <cellStyle name="쉼표 [0] 6" xfId="61"/>
    <cellStyle name="표준" xfId="0" builtinId="0"/>
    <cellStyle name="표준 2" xfId="19"/>
    <cellStyle name="표준 2 2" xfId="64"/>
    <cellStyle name="표준 3" xfId="18"/>
    <cellStyle name="표준 3 10" xfId="71"/>
    <cellStyle name="표준 3 10 2" xfId="135"/>
    <cellStyle name="표준 3 10 3" xfId="199"/>
    <cellStyle name="표준 3 11" xfId="103"/>
    <cellStyle name="표준 3 12" xfId="167"/>
    <cellStyle name="표준 3 2" xfId="21"/>
    <cellStyle name="표준 3 2 2" xfId="29"/>
    <cellStyle name="표준 3 2 2 2" xfId="39"/>
    <cellStyle name="표준 3 2 2 2 2" xfId="55"/>
    <cellStyle name="표준 3 2 2 2 2 2" xfId="101"/>
    <cellStyle name="표준 3 2 2 2 2 2 2" xfId="165"/>
    <cellStyle name="표준 3 2 2 2 2 2 3" xfId="229"/>
    <cellStyle name="표준 3 2 2 2 2 3" xfId="133"/>
    <cellStyle name="표준 3 2 2 2 2 4" xfId="197"/>
    <cellStyle name="표준 3 2 2 2 3" xfId="86"/>
    <cellStyle name="표준 3 2 2 2 3 2" xfId="150"/>
    <cellStyle name="표준 3 2 2 2 3 3" xfId="214"/>
    <cellStyle name="표준 3 2 2 2 4" xfId="118"/>
    <cellStyle name="표준 3 2 2 2 5" xfId="182"/>
    <cellStyle name="표준 3 2 2 3" xfId="47"/>
    <cellStyle name="표준 3 2 2 3 2" xfId="93"/>
    <cellStyle name="표준 3 2 2 3 2 2" xfId="157"/>
    <cellStyle name="표준 3 2 2 3 2 3" xfId="221"/>
    <cellStyle name="표준 3 2 2 3 3" xfId="125"/>
    <cellStyle name="표준 3 2 2 3 4" xfId="189"/>
    <cellStyle name="표준 3 2 2 4" xfId="78"/>
    <cellStyle name="표준 3 2 2 4 2" xfId="142"/>
    <cellStyle name="표준 3 2 2 4 3" xfId="206"/>
    <cellStyle name="표준 3 2 2 5" xfId="110"/>
    <cellStyle name="표준 3 2 2 6" xfId="174"/>
    <cellStyle name="표준 3 2 3" xfId="27"/>
    <cellStyle name="표준 3 2 3 2" xfId="37"/>
    <cellStyle name="표준 3 2 3 2 2" xfId="53"/>
    <cellStyle name="표준 3 2 3 2 2 2" xfId="99"/>
    <cellStyle name="표준 3 2 3 2 2 2 2" xfId="163"/>
    <cellStyle name="표준 3 2 3 2 2 2 3" xfId="227"/>
    <cellStyle name="표준 3 2 3 2 2 3" xfId="131"/>
    <cellStyle name="표준 3 2 3 2 2 4" xfId="195"/>
    <cellStyle name="표준 3 2 3 2 3" xfId="84"/>
    <cellStyle name="표준 3 2 3 2 3 2" xfId="148"/>
    <cellStyle name="표준 3 2 3 2 3 3" xfId="212"/>
    <cellStyle name="표준 3 2 3 2 4" xfId="116"/>
    <cellStyle name="표준 3 2 3 2 5" xfId="180"/>
    <cellStyle name="표준 3 2 3 3" xfId="45"/>
    <cellStyle name="표준 3 2 3 3 2" xfId="91"/>
    <cellStyle name="표준 3 2 3 3 2 2" xfId="155"/>
    <cellStyle name="표준 3 2 3 3 2 3" xfId="219"/>
    <cellStyle name="표준 3 2 3 3 3" xfId="123"/>
    <cellStyle name="표준 3 2 3 3 4" xfId="187"/>
    <cellStyle name="표준 3 2 3 4" xfId="76"/>
    <cellStyle name="표준 3 2 3 4 2" xfId="140"/>
    <cellStyle name="표준 3 2 3 4 3" xfId="204"/>
    <cellStyle name="표준 3 2 3 5" xfId="108"/>
    <cellStyle name="표준 3 2 3 6" xfId="172"/>
    <cellStyle name="표준 3 2 4" xfId="35"/>
    <cellStyle name="표준 3 2 4 2" xfId="51"/>
    <cellStyle name="표준 3 2 4 2 2" xfId="97"/>
    <cellStyle name="표준 3 2 4 2 2 2" xfId="161"/>
    <cellStyle name="표준 3 2 4 2 2 3" xfId="225"/>
    <cellStyle name="표준 3 2 4 2 3" xfId="129"/>
    <cellStyle name="표준 3 2 4 2 4" xfId="193"/>
    <cellStyle name="표준 3 2 4 3" xfId="82"/>
    <cellStyle name="표준 3 2 4 3 2" xfId="146"/>
    <cellStyle name="표준 3 2 4 3 3" xfId="210"/>
    <cellStyle name="표준 3 2 4 4" xfId="114"/>
    <cellStyle name="표준 3 2 4 5" xfId="178"/>
    <cellStyle name="표준 3 2 5" xfId="43"/>
    <cellStyle name="표준 3 2 5 2" xfId="89"/>
    <cellStyle name="표준 3 2 5 2 2" xfId="153"/>
    <cellStyle name="표준 3 2 5 2 3" xfId="217"/>
    <cellStyle name="표준 3 2 5 3" xfId="121"/>
    <cellStyle name="표준 3 2 5 4" xfId="185"/>
    <cellStyle name="표준 3 2 6" xfId="25"/>
    <cellStyle name="표준 3 2 6 2" xfId="74"/>
    <cellStyle name="표준 3 2 6 2 2" xfId="138"/>
    <cellStyle name="표준 3 2 6 2 3" xfId="202"/>
    <cellStyle name="표준 3 2 6 3" xfId="106"/>
    <cellStyle name="표준 3 2 6 4" xfId="170"/>
    <cellStyle name="표준 3 2 7" xfId="72"/>
    <cellStyle name="표준 3 2 7 2" xfId="136"/>
    <cellStyle name="표준 3 2 7 3" xfId="200"/>
    <cellStyle name="표준 3 2 8" xfId="104"/>
    <cellStyle name="표준 3 2 9" xfId="168"/>
    <cellStyle name="표준 3 3" xfId="28"/>
    <cellStyle name="표준 3 3 2" xfId="38"/>
    <cellStyle name="표준 3 3 2 2" xfId="54"/>
    <cellStyle name="표준 3 3 2 2 2" xfId="100"/>
    <cellStyle name="표준 3 3 2 2 2 2" xfId="164"/>
    <cellStyle name="표준 3 3 2 2 2 3" xfId="228"/>
    <cellStyle name="표준 3 3 2 2 3" xfId="132"/>
    <cellStyle name="표준 3 3 2 2 4" xfId="196"/>
    <cellStyle name="표준 3 3 2 3" xfId="85"/>
    <cellStyle name="표준 3 3 2 3 2" xfId="149"/>
    <cellStyle name="표준 3 3 2 3 3" xfId="213"/>
    <cellStyle name="표준 3 3 2 4" xfId="117"/>
    <cellStyle name="표준 3 3 2 5" xfId="181"/>
    <cellStyle name="표준 3 3 3" xfId="46"/>
    <cellStyle name="표준 3 3 3 2" xfId="92"/>
    <cellStyle name="표준 3 3 3 2 2" xfId="156"/>
    <cellStyle name="표준 3 3 3 2 3" xfId="220"/>
    <cellStyle name="표준 3 3 3 3" xfId="124"/>
    <cellStyle name="표준 3 3 3 4" xfId="188"/>
    <cellStyle name="표준 3 3 4" xfId="77"/>
    <cellStyle name="표준 3 3 4 2" xfId="141"/>
    <cellStyle name="표준 3 3 4 3" xfId="205"/>
    <cellStyle name="표준 3 3 5" xfId="109"/>
    <cellStyle name="표준 3 3 6" xfId="173"/>
    <cellStyle name="표준 3 4" xfId="26"/>
    <cellStyle name="표준 3 4 2" xfId="36"/>
    <cellStyle name="표준 3 4 2 2" xfId="52"/>
    <cellStyle name="표준 3 4 2 2 2" xfId="98"/>
    <cellStyle name="표준 3 4 2 2 2 2" xfId="162"/>
    <cellStyle name="표준 3 4 2 2 2 3" xfId="226"/>
    <cellStyle name="표준 3 4 2 2 3" xfId="130"/>
    <cellStyle name="표준 3 4 2 2 4" xfId="194"/>
    <cellStyle name="표준 3 4 2 3" xfId="83"/>
    <cellStyle name="표준 3 4 2 3 2" xfId="147"/>
    <cellStyle name="표준 3 4 2 3 3" xfId="211"/>
    <cellStyle name="표준 3 4 2 4" xfId="115"/>
    <cellStyle name="표준 3 4 2 5" xfId="179"/>
    <cellStyle name="표준 3 4 3" xfId="44"/>
    <cellStyle name="표준 3 4 3 2" xfId="90"/>
    <cellStyle name="표준 3 4 3 2 2" xfId="154"/>
    <cellStyle name="표준 3 4 3 2 3" xfId="218"/>
    <cellStyle name="표준 3 4 3 3" xfId="122"/>
    <cellStyle name="표준 3 4 3 4" xfId="186"/>
    <cellStyle name="표준 3 4 4" xfId="75"/>
    <cellStyle name="표준 3 4 4 2" xfId="139"/>
    <cellStyle name="표준 3 4 4 3" xfId="203"/>
    <cellStyle name="표준 3 4 5" xfId="107"/>
    <cellStyle name="표준 3 4 6" xfId="171"/>
    <cellStyle name="표준 3 5" xfId="30"/>
    <cellStyle name="표준 3 5 2" xfId="48"/>
    <cellStyle name="표준 3 5 2 2" xfId="94"/>
    <cellStyle name="표준 3 5 2 2 2" xfId="158"/>
    <cellStyle name="표준 3 5 2 2 3" xfId="222"/>
    <cellStyle name="표준 3 5 2 3" xfId="126"/>
    <cellStyle name="표준 3 5 2 4" xfId="190"/>
    <cellStyle name="표준 3 5 3" xfId="79"/>
    <cellStyle name="표준 3 5 3 2" xfId="143"/>
    <cellStyle name="표준 3 5 3 3" xfId="207"/>
    <cellStyle name="표준 3 5 4" xfId="111"/>
    <cellStyle name="표준 3 5 5" xfId="175"/>
    <cellStyle name="표준 3 6" xfId="34"/>
    <cellStyle name="표준 3 6 2" xfId="50"/>
    <cellStyle name="표준 3 6 2 2" xfId="96"/>
    <cellStyle name="표준 3 6 2 2 2" xfId="160"/>
    <cellStyle name="표준 3 6 2 2 3" xfId="224"/>
    <cellStyle name="표준 3 6 2 3" xfId="128"/>
    <cellStyle name="표준 3 6 2 4" xfId="192"/>
    <cellStyle name="표준 3 6 3" xfId="81"/>
    <cellStyle name="표준 3 6 3 2" xfId="145"/>
    <cellStyle name="표준 3 6 3 3" xfId="209"/>
    <cellStyle name="표준 3 6 4" xfId="113"/>
    <cellStyle name="표준 3 6 5" xfId="177"/>
    <cellStyle name="표준 3 7" xfId="42"/>
    <cellStyle name="표준 3 7 2" xfId="88"/>
    <cellStyle name="표준 3 7 2 2" xfId="152"/>
    <cellStyle name="표준 3 7 2 3" xfId="216"/>
    <cellStyle name="표준 3 7 3" xfId="120"/>
    <cellStyle name="표준 3 7 4" xfId="184"/>
    <cellStyle name="표준 3 8" xfId="24"/>
    <cellStyle name="표준 3 8 2" xfId="73"/>
    <cellStyle name="표준 3 8 2 2" xfId="137"/>
    <cellStyle name="표준 3 8 2 3" xfId="201"/>
    <cellStyle name="표준 3 8 3" xfId="105"/>
    <cellStyle name="표준 3 8 4" xfId="169"/>
    <cellStyle name="표준 3 9" xfId="65"/>
    <cellStyle name="표준 4" xfId="22"/>
    <cellStyle name="표준 4 2" xfId="66"/>
    <cellStyle name="표준 5" xfId="32"/>
    <cellStyle name="표준 5 2" xfId="67"/>
    <cellStyle name="표준 6" xfId="31"/>
    <cellStyle name="표준 6 2" xfId="49"/>
    <cellStyle name="표준 6 2 2" xfId="95"/>
    <cellStyle name="표준 6 2 2 2" xfId="159"/>
    <cellStyle name="표준 6 2 2 3" xfId="223"/>
    <cellStyle name="표준 6 2 3" xfId="127"/>
    <cellStyle name="표준 6 2 4" xfId="191"/>
    <cellStyle name="표준 6 3" xfId="68"/>
    <cellStyle name="표준 6 4" xfId="80"/>
    <cellStyle name="표준 6 4 2" xfId="144"/>
    <cellStyle name="표준 6 4 3" xfId="208"/>
    <cellStyle name="표준 6 5" xfId="112"/>
    <cellStyle name="표준 6 6" xfId="176"/>
    <cellStyle name="표준 7" xfId="41"/>
    <cellStyle name="표준 7 2" xfId="69"/>
    <cellStyle name="표준 7 3" xfId="87"/>
    <cellStyle name="표준 7 3 2" xfId="151"/>
    <cellStyle name="표준 7 3 3" xfId="215"/>
    <cellStyle name="표준 7 4" xfId="119"/>
    <cellStyle name="표준 7 5" xfId="183"/>
    <cellStyle name="표준 8" xfId="70"/>
    <cellStyle name="표준 9" xfId="57"/>
    <cellStyle name="표준_2008년 03월 평택.당진항 항만운영통계" xfId="16"/>
    <cellStyle name="표준_부두별입출항 실적(03)" xfId="17"/>
  </cellStyles>
  <dxfs count="0"/>
  <tableStyles count="0" defaultTableStyle="TableStyleMedium9" defaultPivotStyle="PivotStyleLight16"/>
  <colors>
    <mruColors>
      <color rgb="FF0000FF"/>
      <color rgb="FFCCFFCC"/>
      <color rgb="FF99FFCC"/>
      <color rgb="FF99FF99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35071642942488"/>
          <c:y val="0.10236220472440972"/>
          <c:w val="0.74951971474536849"/>
          <c:h val="0.62204724409452195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수송실적'!$K$6:$P$6</c:f>
              <c:strCache>
                <c:ptCount val="6"/>
                <c:pt idx="0">
                  <c:v>2020 </c:v>
                </c:pt>
                <c:pt idx="1">
                  <c:v>2021 </c:v>
                </c:pt>
                <c:pt idx="2">
                  <c:v>2022 </c:v>
                </c:pt>
                <c:pt idx="3">
                  <c:v>2023 </c:v>
                </c:pt>
                <c:pt idx="4">
                  <c:v>2024 </c:v>
                </c:pt>
                <c:pt idx="5">
                  <c:v>2025.4.</c:v>
                </c:pt>
              </c:strCache>
            </c:strRef>
          </c:cat>
          <c:val>
            <c:numRef>
              <c:f>'연도별 수송실적'!$K$7:$P$7</c:f>
              <c:numCache>
                <c:formatCode>#,##0,</c:formatCode>
                <c:ptCount val="6"/>
                <c:pt idx="0">
                  <c:v>106847350</c:v>
                </c:pt>
                <c:pt idx="1">
                  <c:v>116876152</c:v>
                </c:pt>
                <c:pt idx="2">
                  <c:v>116171568</c:v>
                </c:pt>
                <c:pt idx="3">
                  <c:v>116607017</c:v>
                </c:pt>
                <c:pt idx="4">
                  <c:v>116714212</c:v>
                </c:pt>
                <c:pt idx="5">
                  <c:v>38085150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034-453A-8CBA-AAEDE759D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539072"/>
        <c:axId val="150279680"/>
      </c:lineChart>
      <c:catAx>
        <c:axId val="211539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화물입출항 실적</a:t>
                </a:r>
              </a:p>
            </c:rich>
          </c:tx>
          <c:layout>
            <c:manualLayout>
              <c:xMode val="edge"/>
              <c:yMode val="edge"/>
              <c:x val="0.48362302134913548"/>
              <c:y val="0.8779529617621325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502796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027968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2.06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6242714506047576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1539072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17834531553121"/>
          <c:y val="0.12566179227596547"/>
          <c:w val="0.68998173328004464"/>
          <c:h val="0.63492309540512892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수송실적'!$C$9:$H$9</c:f>
              <c:strCache>
                <c:ptCount val="6"/>
                <c:pt idx="0">
                  <c:v>2019 </c:v>
                </c:pt>
                <c:pt idx="1">
                  <c:v>2020 </c:v>
                </c:pt>
                <c:pt idx="2">
                  <c:v>2021 </c:v>
                </c:pt>
                <c:pt idx="3">
                  <c:v>2022 </c:v>
                </c:pt>
                <c:pt idx="4">
                  <c:v>2023 </c:v>
                </c:pt>
                <c:pt idx="5">
                  <c:v>2025.4.</c:v>
                </c:pt>
              </c:strCache>
            </c:strRef>
          </c:cat>
          <c:val>
            <c:numRef>
              <c:f>'연도별 수송실적'!$C$10:$H$10</c:f>
              <c:numCache>
                <c:formatCode>_ * #,##0_ ;_ * \-#,##0_ ;_ * "-"_ ;_ @_ </c:formatCode>
                <c:ptCount val="6"/>
                <c:pt idx="0">
                  <c:v>792643</c:v>
                </c:pt>
                <c:pt idx="1">
                  <c:v>936246</c:v>
                </c:pt>
                <c:pt idx="2">
                  <c:v>851953</c:v>
                </c:pt>
                <c:pt idx="3">
                  <c:v>820289</c:v>
                </c:pt>
                <c:pt idx="4">
                  <c:v>924735.5</c:v>
                </c:pt>
                <c:pt idx="5">
                  <c:v>298952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5EA-4263-8FD2-A370638DD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300160"/>
        <c:axId val="150302080"/>
      </c:lineChart>
      <c:catAx>
        <c:axId val="1503001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컨테이너</a:t>
                </a:r>
              </a:p>
            </c:rich>
          </c:tx>
          <c:layout>
            <c:manualLayout>
              <c:xMode val="edge"/>
              <c:yMode val="edge"/>
              <c:x val="0.55765649739126733"/>
              <c:y val="0.8926455026455484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503020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030208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TEU)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1.7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5.2929962702030674E-2"/>
              <c:y val="0.736587093280006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50300160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291852820111876"/>
          <c:y val="0.11646632022747329"/>
          <c:w val="0.71011740610315865"/>
          <c:h val="0.62650848122364933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수송실적'!$K$9:$P$9</c:f>
              <c:strCache>
                <c:ptCount val="6"/>
                <c:pt idx="0">
                  <c:v>2020 </c:v>
                </c:pt>
                <c:pt idx="1">
                  <c:v>2021 </c:v>
                </c:pt>
                <c:pt idx="2">
                  <c:v>2022 </c:v>
                </c:pt>
                <c:pt idx="3">
                  <c:v>2023 </c:v>
                </c:pt>
                <c:pt idx="4">
                  <c:v>2024 </c:v>
                </c:pt>
                <c:pt idx="5">
                  <c:v>2025.4.</c:v>
                </c:pt>
              </c:strCache>
            </c:strRef>
          </c:cat>
          <c:val>
            <c:numRef>
              <c:f>'연도별 수송실적'!$K$10:$P$10</c:f>
              <c:numCache>
                <c:formatCode>_ * #,##0_ ;_ * \-#,##0_ ;_ * "-"_ ;_ @_ </c:formatCode>
                <c:ptCount val="6"/>
                <c:pt idx="0">
                  <c:v>40267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86E-493C-8F5F-56CB97617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322560"/>
        <c:axId val="150332928"/>
      </c:lineChart>
      <c:catAx>
        <c:axId val="1503225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여 객</a:t>
                </a:r>
              </a:p>
            </c:rich>
          </c:tx>
          <c:layout>
            <c:manualLayout>
              <c:xMode val="edge"/>
              <c:yMode val="edge"/>
              <c:x val="0.56809424809424813"/>
              <c:y val="0.887553595800498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503329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033292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명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endParaRPr lang="en-US" altLang="ko-KR"/>
              </a:p>
              <a:p>
                <a:pPr>
                  <a:defRPr/>
                </a:pPr>
                <a:r>
                  <a:rPr lang="en-US" altLang="ko-KR"/>
                  <a:t>-0.07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280168721113934E-2"/>
              <c:y val="0.733413543307086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50322560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354784780343869"/>
          <c:y val="0.12706733923884511"/>
          <c:w val="0.75236364341221218"/>
          <c:h val="0.63492309540512948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수송실적'!$C$6:$H$6</c:f>
              <c:strCache>
                <c:ptCount val="6"/>
                <c:pt idx="0">
                  <c:v>2020 </c:v>
                </c:pt>
                <c:pt idx="1">
                  <c:v>2021 </c:v>
                </c:pt>
                <c:pt idx="2">
                  <c:v>2022 </c:v>
                </c:pt>
                <c:pt idx="3">
                  <c:v>2023 </c:v>
                </c:pt>
                <c:pt idx="4">
                  <c:v>2024 </c:v>
                </c:pt>
                <c:pt idx="5">
                  <c:v>2025.4.</c:v>
                </c:pt>
              </c:strCache>
            </c:strRef>
          </c:cat>
          <c:val>
            <c:numRef>
              <c:f>'연도별 수송실적'!$C$7:$H$7</c:f>
              <c:numCache>
                <c:formatCode>_ * #,##0_ ;_ * \-#,##0_ ;_ * "-"_ ;_ @_ </c:formatCode>
                <c:ptCount val="6"/>
                <c:pt idx="0">
                  <c:v>17409</c:v>
                </c:pt>
                <c:pt idx="1">
                  <c:v>16473</c:v>
                </c:pt>
                <c:pt idx="2">
                  <c:v>16626</c:v>
                </c:pt>
                <c:pt idx="3">
                  <c:v>17324</c:v>
                </c:pt>
                <c:pt idx="4">
                  <c:v>17502</c:v>
                </c:pt>
                <c:pt idx="5">
                  <c:v>5736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039-4935-B959-D16333445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490112"/>
        <c:axId val="150500480"/>
      </c:lineChart>
      <c:catAx>
        <c:axId val="150490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75754791263"/>
              <c:y val="0.873019813699817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505004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050048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8.6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23829591752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50490112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</xdr:colOff>
      <xdr:row>13</xdr:row>
      <xdr:rowOff>0</xdr:rowOff>
    </xdr:from>
    <xdr:to>
      <xdr:col>15</xdr:col>
      <xdr:colOff>752475</xdr:colOff>
      <xdr:row>20</xdr:row>
      <xdr:rowOff>295275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23</xdr:row>
      <xdr:rowOff>0</xdr:rowOff>
    </xdr:from>
    <xdr:to>
      <xdr:col>7</xdr:col>
      <xdr:colOff>733425</xdr:colOff>
      <xdr:row>30</xdr:row>
      <xdr:rowOff>266700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28575</xdr:colOff>
      <xdr:row>23</xdr:row>
      <xdr:rowOff>9525</xdr:rowOff>
    </xdr:from>
    <xdr:to>
      <xdr:col>15</xdr:col>
      <xdr:colOff>742950</xdr:colOff>
      <xdr:row>30</xdr:row>
      <xdr:rowOff>257175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28575</xdr:colOff>
      <xdr:row>13</xdr:row>
      <xdr:rowOff>0</xdr:rowOff>
    </xdr:from>
    <xdr:to>
      <xdr:col>7</xdr:col>
      <xdr:colOff>752475</xdr:colOff>
      <xdr:row>20</xdr:row>
      <xdr:rowOff>295275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99" zoomScaleSheetLayoutView="68" workbookViewId="0"/>
  </sheetViews>
  <sheetFormatPr defaultRowHeight="14.25"/>
  <sheetData/>
  <phoneticPr fontId="1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P30"/>
  <sheetViews>
    <sheetView showGridLines="0" topLeftCell="A13" zoomScaleNormal="100" zoomScaleSheetLayoutView="110" workbookViewId="0">
      <selection activeCell="E33" sqref="E33"/>
    </sheetView>
  </sheetViews>
  <sheetFormatPr defaultRowHeight="24" customHeight="1"/>
  <cols>
    <col min="1" max="1" width="3.625" customWidth="1"/>
    <col min="2" max="2" width="10" bestFit="1" customWidth="1"/>
    <col min="3" max="3" width="7.25" customWidth="1"/>
    <col min="4" max="4" width="4.875" customWidth="1"/>
    <col min="5" max="5" width="11.875" customWidth="1"/>
    <col min="6" max="6" width="12.625" bestFit="1" customWidth="1"/>
    <col min="7" max="7" width="13.875" customWidth="1"/>
    <col min="8" max="8" width="12.625" bestFit="1" customWidth="1"/>
    <col min="9" max="9" width="13.875" customWidth="1"/>
    <col min="10" max="10" width="12.625" style="2" bestFit="1" customWidth="1"/>
    <col min="11" max="11" width="7.75" style="1" customWidth="1"/>
    <col min="12" max="12" width="13.75" style="3" bestFit="1" customWidth="1"/>
    <col min="13" max="13" width="7.75" style="4" customWidth="1"/>
    <col min="14" max="18" width="9" customWidth="1"/>
    <col min="20" max="21" width="9" customWidth="1"/>
  </cols>
  <sheetData>
    <row r="1" spans="2:16" ht="13.5" customHeight="1"/>
    <row r="2" spans="2:16" ht="13.5" customHeight="1"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</row>
    <row r="3" spans="2:16" ht="42.95" customHeight="1">
      <c r="B3" s="229" t="s">
        <v>102</v>
      </c>
      <c r="C3" s="230"/>
      <c r="D3" s="230"/>
      <c r="E3" s="230"/>
      <c r="F3" s="230"/>
      <c r="G3" s="230"/>
      <c r="H3" s="230"/>
      <c r="I3" s="230"/>
      <c r="J3" s="230"/>
      <c r="K3" s="230"/>
      <c r="L3" s="230"/>
      <c r="M3" s="231"/>
      <c r="N3" s="39"/>
      <c r="O3" s="39"/>
      <c r="P3" s="39"/>
    </row>
    <row r="4" spans="2:16" ht="21" customHeight="1">
      <c r="B4" s="111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</row>
    <row r="5" spans="2:16" ht="21" customHeight="1">
      <c r="B5" s="37"/>
      <c r="C5" s="38"/>
      <c r="D5" s="38"/>
      <c r="E5" s="38"/>
      <c r="F5" s="38"/>
      <c r="G5" s="38"/>
      <c r="H5" s="38"/>
      <c r="I5" s="38"/>
      <c r="J5" s="38"/>
      <c r="K5" s="233" t="s">
        <v>85</v>
      </c>
      <c r="L5" s="233"/>
      <c r="M5" s="233"/>
    </row>
    <row r="6" spans="2:16" ht="21" customHeight="1">
      <c r="B6" s="245" t="s">
        <v>7</v>
      </c>
      <c r="C6" s="246"/>
      <c r="D6" s="246"/>
      <c r="E6" s="71"/>
      <c r="F6" s="232" t="s">
        <v>108</v>
      </c>
      <c r="G6" s="232"/>
      <c r="H6" s="232" t="s">
        <v>109</v>
      </c>
      <c r="I6" s="232"/>
      <c r="J6" s="232" t="s">
        <v>15</v>
      </c>
      <c r="K6" s="232"/>
      <c r="L6" s="232"/>
      <c r="M6" s="244"/>
    </row>
    <row r="7" spans="2:16" ht="21" customHeight="1" thickBot="1">
      <c r="B7" s="247"/>
      <c r="C7" s="248"/>
      <c r="D7" s="248"/>
      <c r="E7" s="74" t="s">
        <v>11</v>
      </c>
      <c r="F7" s="75" t="s">
        <v>106</v>
      </c>
      <c r="G7" s="74" t="s">
        <v>105</v>
      </c>
      <c r="H7" s="74" t="s">
        <v>104</v>
      </c>
      <c r="I7" s="74" t="s">
        <v>103</v>
      </c>
      <c r="J7" s="74" t="s">
        <v>37</v>
      </c>
      <c r="K7" s="76" t="s">
        <v>16</v>
      </c>
      <c r="L7" s="77" t="s">
        <v>18</v>
      </c>
      <c r="M7" s="78" t="s">
        <v>16</v>
      </c>
    </row>
    <row r="8" spans="2:16" ht="20.100000000000001" customHeight="1" thickBot="1">
      <c r="B8" s="241" t="s">
        <v>19</v>
      </c>
      <c r="C8" s="227" t="s">
        <v>12</v>
      </c>
      <c r="D8" s="228"/>
      <c r="E8" s="83">
        <f>SUM(E9:E10)</f>
        <v>17502</v>
      </c>
      <c r="F8" s="83">
        <f>SUM(F9:F10)</f>
        <v>1459</v>
      </c>
      <c r="G8" s="83">
        <f>SUM(G9:G10)</f>
        <v>5661</v>
      </c>
      <c r="H8" s="83">
        <f>SUM(H9:H10)</f>
        <v>1488</v>
      </c>
      <c r="I8" s="83">
        <f>SUM(I9:I10)</f>
        <v>5736</v>
      </c>
      <c r="J8" s="83">
        <f>H8-F8</f>
        <v>29</v>
      </c>
      <c r="K8" s="84">
        <f>H8/F8</f>
        <v>1.0198766278272791</v>
      </c>
      <c r="L8" s="83">
        <f t="shared" ref="L8:L13" si="0">I8-G8</f>
        <v>75</v>
      </c>
      <c r="M8" s="85">
        <f>I8/G8</f>
        <v>1.0132485426603073</v>
      </c>
    </row>
    <row r="9" spans="2:16" ht="20.100000000000001" customHeight="1">
      <c r="B9" s="242"/>
      <c r="C9" s="249" t="s">
        <v>9</v>
      </c>
      <c r="D9" s="249"/>
      <c r="E9" s="183">
        <v>10370</v>
      </c>
      <c r="F9" s="188">
        <v>897</v>
      </c>
      <c r="G9" s="188">
        <v>3438</v>
      </c>
      <c r="H9" s="79">
        <f>447+447</f>
        <v>894</v>
      </c>
      <c r="I9" s="79">
        <f>1698+1697</f>
        <v>3395</v>
      </c>
      <c r="J9" s="80">
        <f>H9-F9</f>
        <v>-3</v>
      </c>
      <c r="K9" s="81">
        <f>H9/F9</f>
        <v>0.99665551839464883</v>
      </c>
      <c r="L9" s="80">
        <f t="shared" si="0"/>
        <v>-43</v>
      </c>
      <c r="M9" s="82">
        <f>I9/G9</f>
        <v>0.98749272833042467</v>
      </c>
    </row>
    <row r="10" spans="2:16" ht="20.100000000000001" customHeight="1" thickBot="1">
      <c r="B10" s="242"/>
      <c r="C10" s="250" t="s">
        <v>10</v>
      </c>
      <c r="D10" s="250"/>
      <c r="E10" s="184">
        <v>7132</v>
      </c>
      <c r="F10" s="189">
        <v>562</v>
      </c>
      <c r="G10" s="189">
        <v>2223</v>
      </c>
      <c r="H10" s="86">
        <f>299+295</f>
        <v>594</v>
      </c>
      <c r="I10" s="86">
        <f>1178+1163</f>
        <v>2341</v>
      </c>
      <c r="J10" s="86">
        <f>H10-F10</f>
        <v>32</v>
      </c>
      <c r="K10" s="87">
        <f>H10/F10</f>
        <v>1.0569395017793595</v>
      </c>
      <c r="L10" s="86">
        <f t="shared" si="0"/>
        <v>118</v>
      </c>
      <c r="M10" s="88">
        <f>I10/G10</f>
        <v>1.0530814215024742</v>
      </c>
      <c r="O10" t="s">
        <v>100</v>
      </c>
    </row>
    <row r="11" spans="2:16" ht="20.100000000000001" customHeight="1" thickBot="1">
      <c r="B11" s="241" t="s">
        <v>20</v>
      </c>
      <c r="C11" s="227" t="s">
        <v>8</v>
      </c>
      <c r="D11" s="228"/>
      <c r="E11" s="94">
        <f>E12+E16</f>
        <v>116714212</v>
      </c>
      <c r="F11" s="94">
        <f>F12+F16</f>
        <v>10035025</v>
      </c>
      <c r="G11" s="94">
        <f>G12+G16</f>
        <v>39181234</v>
      </c>
      <c r="H11" s="94">
        <f>H12+H16</f>
        <v>9922813</v>
      </c>
      <c r="I11" s="94">
        <f>I12+I16</f>
        <v>38085150</v>
      </c>
      <c r="J11" s="94">
        <f t="shared" ref="J11:J29" si="1">H11-F11</f>
        <v>-112212</v>
      </c>
      <c r="K11" s="84">
        <f t="shared" ref="K11:K29" si="2">H11/F11</f>
        <v>0.98881796507731667</v>
      </c>
      <c r="L11" s="95">
        <f t="shared" si="0"/>
        <v>-1096084</v>
      </c>
      <c r="M11" s="85">
        <f t="shared" ref="M11:M29" si="3">I11/G11</f>
        <v>0.97202528128644439</v>
      </c>
    </row>
    <row r="12" spans="2:16" ht="20.100000000000001" customHeight="1">
      <c r="B12" s="242"/>
      <c r="C12" s="249" t="s">
        <v>1</v>
      </c>
      <c r="D12" s="89" t="s">
        <v>0</v>
      </c>
      <c r="E12" s="90">
        <f>SUM(E13:E15)</f>
        <v>106101439</v>
      </c>
      <c r="F12" s="90">
        <f>SUM(F13:F15)</f>
        <v>9155827</v>
      </c>
      <c r="G12" s="90">
        <f>SUM(G13:G15)</f>
        <v>35514609</v>
      </c>
      <c r="H12" s="90">
        <f>SUM(H13:H15)</f>
        <v>9063151</v>
      </c>
      <c r="I12" s="90">
        <f>SUM(I13:I15)</f>
        <v>34739003</v>
      </c>
      <c r="J12" s="91">
        <f t="shared" si="1"/>
        <v>-92676</v>
      </c>
      <c r="K12" s="92">
        <f t="shared" si="2"/>
        <v>0.98987792145919751</v>
      </c>
      <c r="L12" s="91">
        <f t="shared" si="0"/>
        <v>-775606</v>
      </c>
      <c r="M12" s="93">
        <f t="shared" si="3"/>
        <v>0.9781609309002951</v>
      </c>
    </row>
    <row r="13" spans="2:16" ht="20.100000000000001" customHeight="1">
      <c r="B13" s="242"/>
      <c r="C13" s="234"/>
      <c r="D13" s="61" t="s">
        <v>5</v>
      </c>
      <c r="E13" s="185">
        <v>86063790</v>
      </c>
      <c r="F13" s="191">
        <v>7488143</v>
      </c>
      <c r="G13" s="190">
        <v>28993969</v>
      </c>
      <c r="H13" s="166">
        <v>7172456</v>
      </c>
      <c r="I13" s="158">
        <f>7265437+5866795+7390254+7172456</f>
        <v>27694942</v>
      </c>
      <c r="J13" s="57">
        <f>H13-F13</f>
        <v>-315687</v>
      </c>
      <c r="K13" s="54">
        <f t="shared" si="2"/>
        <v>0.95784175061827748</v>
      </c>
      <c r="L13" s="57">
        <f t="shared" si="0"/>
        <v>-1299027</v>
      </c>
      <c r="M13" s="66">
        <f t="shared" si="3"/>
        <v>0.95519664796496129</v>
      </c>
      <c r="O13" s="29"/>
    </row>
    <row r="14" spans="2:16" ht="20.100000000000001" customHeight="1">
      <c r="B14" s="242"/>
      <c r="C14" s="234"/>
      <c r="D14" s="61" t="s">
        <v>6</v>
      </c>
      <c r="E14" s="185">
        <v>17423605</v>
      </c>
      <c r="F14" s="191">
        <v>1499151</v>
      </c>
      <c r="G14" s="190">
        <v>5618238</v>
      </c>
      <c r="H14" s="166">
        <v>1683210</v>
      </c>
      <c r="I14" s="158">
        <f>1421273+1409756+1704227+1683210</f>
        <v>6218466</v>
      </c>
      <c r="J14" s="57">
        <f t="shared" si="1"/>
        <v>184059</v>
      </c>
      <c r="K14" s="54">
        <f t="shared" si="2"/>
        <v>1.1227754909278651</v>
      </c>
      <c r="L14" s="57">
        <f t="shared" ref="L14:L29" si="4">I14-G14</f>
        <v>600228</v>
      </c>
      <c r="M14" s="66">
        <f t="shared" si="3"/>
        <v>1.1068356306728195</v>
      </c>
    </row>
    <row r="15" spans="2:16" ht="20.100000000000001" customHeight="1">
      <c r="B15" s="242"/>
      <c r="C15" s="234"/>
      <c r="D15" s="61" t="s">
        <v>13</v>
      </c>
      <c r="E15" s="186">
        <v>2614044</v>
      </c>
      <c r="F15" s="191">
        <v>168533</v>
      </c>
      <c r="G15" s="190">
        <v>902402</v>
      </c>
      <c r="H15" s="166">
        <f>119242+88243</f>
        <v>207485</v>
      </c>
      <c r="I15" s="158">
        <f>70944+59464+132811+109897+143400+101594+88243+119242</f>
        <v>825595</v>
      </c>
      <c r="J15" s="57">
        <f t="shared" si="1"/>
        <v>38952</v>
      </c>
      <c r="K15" s="54">
        <f>H15/F15</f>
        <v>1.231123874849436</v>
      </c>
      <c r="L15" s="57">
        <f t="shared" si="4"/>
        <v>-76807</v>
      </c>
      <c r="M15" s="66">
        <f t="shared" si="3"/>
        <v>0.91488604856815481</v>
      </c>
    </row>
    <row r="16" spans="2:16" ht="20.100000000000001" customHeight="1">
      <c r="B16" s="242"/>
      <c r="C16" s="234" t="s">
        <v>2</v>
      </c>
      <c r="D16" s="59" t="s">
        <v>0</v>
      </c>
      <c r="E16" s="58">
        <f>SUM(E17:E19)</f>
        <v>10612773</v>
      </c>
      <c r="F16" s="58">
        <f>SUM(F17:F19)</f>
        <v>879198</v>
      </c>
      <c r="G16" s="58">
        <f>SUM(G17:G19)</f>
        <v>3666625</v>
      </c>
      <c r="H16" s="58">
        <f>SUM(H17:H19)</f>
        <v>859662</v>
      </c>
      <c r="I16" s="58">
        <f>SUM(I17:I19)</f>
        <v>3346147</v>
      </c>
      <c r="J16" s="52">
        <f t="shared" si="1"/>
        <v>-19536</v>
      </c>
      <c r="K16" s="53">
        <f t="shared" si="2"/>
        <v>0.97777974927149514</v>
      </c>
      <c r="L16" s="60">
        <f t="shared" si="4"/>
        <v>-320478</v>
      </c>
      <c r="M16" s="67">
        <f t="shared" si="3"/>
        <v>0.9125959158626803</v>
      </c>
    </row>
    <row r="17" spans="2:13" ht="20.100000000000001" customHeight="1">
      <c r="B17" s="242"/>
      <c r="C17" s="234"/>
      <c r="D17" s="61" t="s">
        <v>3</v>
      </c>
      <c r="E17" s="196">
        <v>7573836</v>
      </c>
      <c r="F17" s="192">
        <v>619025</v>
      </c>
      <c r="G17" s="190">
        <v>2567580</v>
      </c>
      <c r="H17" s="167">
        <v>623142</v>
      </c>
      <c r="I17" s="158">
        <f>619030+510047+650054+623142</f>
        <v>2402273</v>
      </c>
      <c r="J17" s="57">
        <f t="shared" si="1"/>
        <v>4117</v>
      </c>
      <c r="K17" s="54">
        <f t="shared" si="2"/>
        <v>1.0066507814708614</v>
      </c>
      <c r="L17" s="57">
        <f t="shared" si="4"/>
        <v>-165307</v>
      </c>
      <c r="M17" s="66">
        <f t="shared" si="3"/>
        <v>0.935617585430639</v>
      </c>
    </row>
    <row r="18" spans="2:13" ht="20.100000000000001" customHeight="1">
      <c r="B18" s="242"/>
      <c r="C18" s="234"/>
      <c r="D18" s="61" t="s">
        <v>4</v>
      </c>
      <c r="E18" s="196">
        <v>3038937</v>
      </c>
      <c r="F18" s="192">
        <v>260173</v>
      </c>
      <c r="G18" s="190">
        <v>1099045</v>
      </c>
      <c r="H18" s="167">
        <v>236520</v>
      </c>
      <c r="I18" s="158">
        <f>239646+194603+273105+236520</f>
        <v>943874</v>
      </c>
      <c r="J18" s="57">
        <f>H18-F18</f>
        <v>-23653</v>
      </c>
      <c r="K18" s="54">
        <f t="shared" si="2"/>
        <v>0.90908741491238521</v>
      </c>
      <c r="L18" s="57">
        <f t="shared" si="4"/>
        <v>-155171</v>
      </c>
      <c r="M18" s="66">
        <f t="shared" si="3"/>
        <v>0.85881287845356646</v>
      </c>
    </row>
    <row r="19" spans="2:13" ht="20.100000000000001" customHeight="1">
      <c r="B19" s="242"/>
      <c r="C19" s="234"/>
      <c r="D19" s="61" t="s">
        <v>17</v>
      </c>
      <c r="E19" s="158">
        <v>0</v>
      </c>
      <c r="F19" s="62">
        <v>0</v>
      </c>
      <c r="G19" s="158">
        <v>0</v>
      </c>
      <c r="H19" s="62">
        <v>0</v>
      </c>
      <c r="I19" s="158">
        <v>0</v>
      </c>
      <c r="J19" s="63">
        <f t="shared" si="1"/>
        <v>0</v>
      </c>
      <c r="K19" s="64">
        <v>0</v>
      </c>
      <c r="L19" s="65">
        <f t="shared" si="4"/>
        <v>0</v>
      </c>
      <c r="M19" s="66" t="s">
        <v>75</v>
      </c>
    </row>
    <row r="20" spans="2:13" ht="20.100000000000001" customHeight="1" thickBot="1">
      <c r="B20" s="72"/>
      <c r="C20" s="96"/>
      <c r="D20" s="165"/>
      <c r="E20" s="97"/>
      <c r="F20" s="98"/>
      <c r="G20" s="98"/>
      <c r="H20" s="98"/>
      <c r="I20" s="97"/>
      <c r="J20" s="99"/>
      <c r="K20" s="238" t="s">
        <v>21</v>
      </c>
      <c r="L20" s="239"/>
      <c r="M20" s="240"/>
    </row>
    <row r="21" spans="2:13" ht="20.100000000000001" customHeight="1" thickBot="1">
      <c r="B21" s="243" t="s">
        <v>86</v>
      </c>
      <c r="C21" s="227" t="s">
        <v>8</v>
      </c>
      <c r="D21" s="228"/>
      <c r="E21" s="101">
        <f>SUM(E22,E26)</f>
        <v>924735.5</v>
      </c>
      <c r="F21" s="102">
        <f>SUM(F22,F26)</f>
        <v>84302</v>
      </c>
      <c r="G21" s="102">
        <f>SUM(G22,G26)</f>
        <v>288758</v>
      </c>
      <c r="H21" s="101">
        <f>SUM(H22,H26)</f>
        <v>81798</v>
      </c>
      <c r="I21" s="101">
        <f>SUM(I22,I26)</f>
        <v>298952</v>
      </c>
      <c r="J21" s="103">
        <f t="shared" si="1"/>
        <v>-2504</v>
      </c>
      <c r="K21" s="104">
        <f t="shared" si="2"/>
        <v>0.97029726459633225</v>
      </c>
      <c r="L21" s="103">
        <f t="shared" si="4"/>
        <v>10194</v>
      </c>
      <c r="M21" s="85">
        <f>I21/G21</f>
        <v>1.0353029180143927</v>
      </c>
    </row>
    <row r="22" spans="2:13" ht="20.100000000000001" customHeight="1">
      <c r="B22" s="242"/>
      <c r="C22" s="249" t="s">
        <v>1</v>
      </c>
      <c r="D22" s="89" t="s">
        <v>0</v>
      </c>
      <c r="E22" s="89">
        <f>SUM(E23:E25)</f>
        <v>924735.5</v>
      </c>
      <c r="F22" s="89">
        <f>SUM(F23:F25)</f>
        <v>84302</v>
      </c>
      <c r="G22" s="89">
        <f>SUM(G23:G25)</f>
        <v>288758</v>
      </c>
      <c r="H22" s="89">
        <f>SUM(H23:H25)</f>
        <v>81798</v>
      </c>
      <c r="I22" s="89">
        <f>SUM(I23:I25)</f>
        <v>298952</v>
      </c>
      <c r="J22" s="91">
        <f t="shared" si="1"/>
        <v>-2504</v>
      </c>
      <c r="K22" s="100">
        <f t="shared" si="2"/>
        <v>0.97029726459633225</v>
      </c>
      <c r="L22" s="91">
        <f t="shared" si="4"/>
        <v>10194</v>
      </c>
      <c r="M22" s="93">
        <f t="shared" si="3"/>
        <v>1.0353029180143927</v>
      </c>
    </row>
    <row r="23" spans="2:13" ht="20.100000000000001" customHeight="1">
      <c r="B23" s="242"/>
      <c r="C23" s="234"/>
      <c r="D23" s="69" t="s">
        <v>5</v>
      </c>
      <c r="E23" s="198">
        <v>453945.75</v>
      </c>
      <c r="F23" s="193">
        <v>43378</v>
      </c>
      <c r="G23" s="187">
        <v>146747</v>
      </c>
      <c r="H23" s="168">
        <v>40372</v>
      </c>
      <c r="I23" s="164">
        <v>148851</v>
      </c>
      <c r="J23" s="57">
        <f t="shared" si="1"/>
        <v>-3006</v>
      </c>
      <c r="K23" s="56">
        <f t="shared" si="2"/>
        <v>0.93070219927152009</v>
      </c>
      <c r="L23" s="57">
        <f t="shared" si="4"/>
        <v>2104</v>
      </c>
      <c r="M23" s="66">
        <f t="shared" si="3"/>
        <v>1.0143376014501149</v>
      </c>
    </row>
    <row r="24" spans="2:13" ht="20.100000000000001" customHeight="1">
      <c r="B24" s="242"/>
      <c r="C24" s="234"/>
      <c r="D24" s="68" t="s">
        <v>14</v>
      </c>
      <c r="E24" s="199">
        <v>456908.25</v>
      </c>
      <c r="F24" s="194">
        <v>40198</v>
      </c>
      <c r="G24" s="187">
        <v>138886</v>
      </c>
      <c r="H24" s="169">
        <v>40000</v>
      </c>
      <c r="I24" s="164">
        <v>145179</v>
      </c>
      <c r="J24" s="57">
        <f t="shared" si="1"/>
        <v>-198</v>
      </c>
      <c r="K24" s="56">
        <f t="shared" si="2"/>
        <v>0.99507438181004026</v>
      </c>
      <c r="L24" s="57">
        <f t="shared" si="4"/>
        <v>6293</v>
      </c>
      <c r="M24" s="66">
        <f t="shared" si="3"/>
        <v>1.0453105424592832</v>
      </c>
    </row>
    <row r="25" spans="2:13" ht="20.100000000000001" customHeight="1">
      <c r="B25" s="242"/>
      <c r="C25" s="234"/>
      <c r="D25" s="68" t="s">
        <v>13</v>
      </c>
      <c r="E25" s="197">
        <v>13881.5</v>
      </c>
      <c r="F25" s="195">
        <v>726</v>
      </c>
      <c r="G25" s="187">
        <v>3125</v>
      </c>
      <c r="H25" s="170">
        <v>1426</v>
      </c>
      <c r="I25" s="164">
        <v>4922</v>
      </c>
      <c r="J25" s="57">
        <f t="shared" si="1"/>
        <v>700</v>
      </c>
      <c r="K25" s="56">
        <f t="shared" si="2"/>
        <v>1.9641873278236914</v>
      </c>
      <c r="L25" s="57">
        <f t="shared" si="4"/>
        <v>1797</v>
      </c>
      <c r="M25" s="66">
        <f t="shared" si="3"/>
        <v>1.57504</v>
      </c>
    </row>
    <row r="26" spans="2:13" ht="20.100000000000001" customHeight="1">
      <c r="B26" s="242"/>
      <c r="C26" s="234" t="s">
        <v>2</v>
      </c>
      <c r="D26" s="61" t="s">
        <v>49</v>
      </c>
      <c r="E26" s="64">
        <f>SUM(E27:E28)</f>
        <v>0</v>
      </c>
      <c r="F26" s="64">
        <f>SUM(F27:F28)</f>
        <v>0</v>
      </c>
      <c r="G26" s="64">
        <f>SUM(G27:G28)</f>
        <v>0</v>
      </c>
      <c r="H26" s="64">
        <v>0</v>
      </c>
      <c r="I26" s="64">
        <f>SUM(I27:I28)</f>
        <v>0</v>
      </c>
      <c r="J26" s="70">
        <f t="shared" si="1"/>
        <v>0</v>
      </c>
      <c r="K26" s="64">
        <v>0</v>
      </c>
      <c r="L26" s="55">
        <f t="shared" si="4"/>
        <v>0</v>
      </c>
      <c r="M26" s="73">
        <v>0</v>
      </c>
    </row>
    <row r="27" spans="2:13" ht="20.100000000000001" customHeight="1">
      <c r="B27" s="242"/>
      <c r="C27" s="234"/>
      <c r="D27" s="61" t="s">
        <v>49</v>
      </c>
      <c r="E27" s="69">
        <v>0</v>
      </c>
      <c r="F27" s="69">
        <v>0</v>
      </c>
      <c r="G27" s="69">
        <v>0</v>
      </c>
      <c r="H27" s="69">
        <v>0</v>
      </c>
      <c r="I27" s="69">
        <v>0</v>
      </c>
      <c r="J27" s="70">
        <f t="shared" si="1"/>
        <v>0</v>
      </c>
      <c r="K27" s="64">
        <v>0</v>
      </c>
      <c r="L27" s="55">
        <f t="shared" si="4"/>
        <v>0</v>
      </c>
      <c r="M27" s="73">
        <v>0</v>
      </c>
    </row>
    <row r="28" spans="2:13" ht="20.100000000000001" customHeight="1" thickBot="1">
      <c r="B28" s="242"/>
      <c r="C28" s="234"/>
      <c r="D28" s="61" t="s">
        <v>49</v>
      </c>
      <c r="E28" s="105">
        <v>0</v>
      </c>
      <c r="F28" s="105">
        <v>0</v>
      </c>
      <c r="G28" s="105">
        <v>0</v>
      </c>
      <c r="H28" s="105">
        <v>0</v>
      </c>
      <c r="I28" s="105">
        <v>0</v>
      </c>
      <c r="J28" s="106">
        <f t="shared" si="1"/>
        <v>0</v>
      </c>
      <c r="K28" s="107">
        <v>0</v>
      </c>
      <c r="L28" s="108">
        <f t="shared" si="4"/>
        <v>0</v>
      </c>
      <c r="M28" s="109">
        <v>0</v>
      </c>
    </row>
    <row r="29" spans="2:13" s="27" customFormat="1" ht="20.100000000000001" customHeight="1" thickBot="1">
      <c r="B29" s="235" t="s">
        <v>47</v>
      </c>
      <c r="C29" s="236"/>
      <c r="D29" s="237"/>
      <c r="E29" s="226">
        <v>1560628</v>
      </c>
      <c r="F29" s="110">
        <v>140390</v>
      </c>
      <c r="G29" s="110">
        <f>128190+119479+142013+140390</f>
        <v>530072</v>
      </c>
      <c r="H29" s="110">
        <v>150853</v>
      </c>
      <c r="I29" s="110">
        <f>99612+118713+141523+150853</f>
        <v>510701</v>
      </c>
      <c r="J29" s="103">
        <f t="shared" si="1"/>
        <v>10463</v>
      </c>
      <c r="K29" s="84">
        <f t="shared" si="2"/>
        <v>1.0745281002920435</v>
      </c>
      <c r="L29" s="103">
        <f t="shared" si="4"/>
        <v>-19371</v>
      </c>
      <c r="M29" s="85">
        <f t="shared" si="3"/>
        <v>0.9634559078766658</v>
      </c>
    </row>
    <row r="30" spans="2:13" ht="12.75" customHeight="1">
      <c r="B30" s="5"/>
      <c r="C30" s="5"/>
      <c r="D30" s="5"/>
      <c r="E30" s="6"/>
      <c r="F30" s="7"/>
      <c r="G30" s="7"/>
      <c r="H30" s="7"/>
      <c r="I30" s="7"/>
      <c r="J30" s="6"/>
      <c r="K30" s="8"/>
      <c r="L30" s="9"/>
      <c r="M30" s="10"/>
    </row>
  </sheetData>
  <mergeCells count="20">
    <mergeCell ref="B29:D29"/>
    <mergeCell ref="K20:M20"/>
    <mergeCell ref="H6:I6"/>
    <mergeCell ref="C16:C19"/>
    <mergeCell ref="B8:B10"/>
    <mergeCell ref="B21:B28"/>
    <mergeCell ref="C11:D11"/>
    <mergeCell ref="C8:D8"/>
    <mergeCell ref="J6:M6"/>
    <mergeCell ref="B6:D7"/>
    <mergeCell ref="C22:C25"/>
    <mergeCell ref="C9:D9"/>
    <mergeCell ref="C10:D10"/>
    <mergeCell ref="C12:C15"/>
    <mergeCell ref="B11:B19"/>
    <mergeCell ref="C21:D21"/>
    <mergeCell ref="B3:M3"/>
    <mergeCell ref="F6:G6"/>
    <mergeCell ref="K5:M5"/>
    <mergeCell ref="C26:C28"/>
  </mergeCells>
  <phoneticPr fontId="10" type="noConversion"/>
  <printOptions horizontalCentered="1" gridLinesSet="0"/>
  <pageMargins left="0.19685039370078741" right="0.19685039370078741" top="0.15748031496062992" bottom="0.23622047244094491" header="0.19685039370078741" footer="0.23622047244094491"/>
  <pageSetup paperSize="9" scale="61" orientation="landscape" verticalDpi="597" r:id="rId1"/>
  <headerFooter alignWithMargins="0"/>
  <ignoredErrors>
    <ignoredError sqref="E26:G26 H22 I26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C32"/>
  <sheetViews>
    <sheetView showGridLines="0" zoomScaleNormal="100" workbookViewId="0">
      <selection activeCell="P7" sqref="P7"/>
    </sheetView>
  </sheetViews>
  <sheetFormatPr defaultRowHeight="14.25"/>
  <cols>
    <col min="1" max="1" width="3.625" customWidth="1"/>
    <col min="2" max="8" width="10.125" customWidth="1"/>
    <col min="9" max="9" width="3.625" style="44" customWidth="1"/>
    <col min="10" max="16" width="10.125" customWidth="1"/>
    <col min="19" max="19" width="10.75" bestFit="1" customWidth="1"/>
  </cols>
  <sheetData>
    <row r="1" spans="2:29" ht="13.5" customHeight="1">
      <c r="L1" s="2"/>
      <c r="M1" s="1"/>
      <c r="N1" s="3"/>
      <c r="O1" s="4"/>
    </row>
    <row r="2" spans="2:29" ht="13.5" customHeight="1">
      <c r="C2" s="39"/>
      <c r="D2" s="39"/>
      <c r="E2" s="39"/>
      <c r="F2" s="39"/>
      <c r="G2" s="39"/>
      <c r="H2" s="39"/>
      <c r="I2" s="45"/>
      <c r="J2" s="39"/>
      <c r="K2" s="39"/>
      <c r="L2" s="39"/>
      <c r="M2" s="39"/>
      <c r="N2" s="39"/>
      <c r="O2" s="39"/>
      <c r="P2" s="39"/>
      <c r="Q2" s="39"/>
      <c r="R2" s="39"/>
    </row>
    <row r="3" spans="2:29" ht="42.95" customHeight="1">
      <c r="B3" s="251" t="s">
        <v>87</v>
      </c>
      <c r="C3" s="251"/>
      <c r="D3" s="251"/>
      <c r="E3" s="251"/>
      <c r="F3" s="251"/>
      <c r="G3" s="251"/>
      <c r="H3" s="251"/>
      <c r="I3" s="251"/>
      <c r="J3" s="251"/>
      <c r="K3" s="251"/>
      <c r="L3" s="251"/>
      <c r="M3" s="251"/>
      <c r="N3" s="251"/>
      <c r="O3" s="251"/>
      <c r="P3" s="251"/>
      <c r="Q3" s="39"/>
      <c r="R3" s="39"/>
    </row>
    <row r="4" spans="2:29" s="12" customFormat="1" ht="21" customHeight="1">
      <c r="B4" s="11"/>
      <c r="I4" s="46"/>
    </row>
    <row r="5" spans="2:29" s="12" customFormat="1" ht="21" customHeight="1" thickBot="1">
      <c r="B5"/>
      <c r="C5"/>
      <c r="D5"/>
      <c r="E5" s="42"/>
      <c r="F5" s="42"/>
      <c r="G5" s="254" t="s">
        <v>50</v>
      </c>
      <c r="H5" s="254"/>
      <c r="I5" s="43"/>
      <c r="J5"/>
      <c r="K5"/>
      <c r="L5"/>
      <c r="M5" s="42"/>
      <c r="N5" s="42"/>
      <c r="O5" s="254" t="s">
        <v>88</v>
      </c>
      <c r="P5" s="254"/>
    </row>
    <row r="6" spans="2:29" s="12" customFormat="1" ht="32.25" customHeight="1">
      <c r="B6" s="148" t="s">
        <v>94</v>
      </c>
      <c r="C6" s="200">
        <v>2020</v>
      </c>
      <c r="D6" s="200">
        <v>2021</v>
      </c>
      <c r="E6" s="200">
        <v>2022</v>
      </c>
      <c r="F6" s="202">
        <v>2023</v>
      </c>
      <c r="G6" s="202">
        <v>2024</v>
      </c>
      <c r="H6" s="152" t="s">
        <v>110</v>
      </c>
      <c r="I6" s="47"/>
      <c r="J6" s="148" t="s">
        <v>94</v>
      </c>
      <c r="K6" s="209">
        <v>2020</v>
      </c>
      <c r="L6" s="209">
        <v>2021</v>
      </c>
      <c r="M6" s="209">
        <v>2022</v>
      </c>
      <c r="N6" s="211">
        <v>2023</v>
      </c>
      <c r="O6" s="211">
        <v>2024</v>
      </c>
      <c r="P6" s="154" t="str">
        <f>$H$6</f>
        <v>2025.4.</v>
      </c>
    </row>
    <row r="7" spans="2:29" s="12" customFormat="1" ht="39.200000000000003" customHeight="1" thickBot="1">
      <c r="B7" s="149" t="s">
        <v>92</v>
      </c>
      <c r="C7" s="201">
        <v>17409</v>
      </c>
      <c r="D7" s="201">
        <v>16473</v>
      </c>
      <c r="E7" s="201">
        <v>16626</v>
      </c>
      <c r="F7" s="203">
        <v>17324</v>
      </c>
      <c r="G7" s="203">
        <v>17502</v>
      </c>
      <c r="H7" s="153">
        <f>통계요약!I8</f>
        <v>5736</v>
      </c>
      <c r="I7" s="48"/>
      <c r="J7" s="150" t="s">
        <v>91</v>
      </c>
      <c r="K7" s="210">
        <v>106847350</v>
      </c>
      <c r="L7" s="210">
        <v>116876152</v>
      </c>
      <c r="M7" s="210">
        <v>116171568</v>
      </c>
      <c r="N7" s="212">
        <v>116607017</v>
      </c>
      <c r="O7" s="213">
        <v>116714212</v>
      </c>
      <c r="P7" s="155">
        <f>통계요약!I11</f>
        <v>38085150</v>
      </c>
    </row>
    <row r="8" spans="2:29" s="12" customFormat="1" ht="21" customHeight="1" thickBot="1">
      <c r="B8"/>
      <c r="C8"/>
      <c r="D8"/>
      <c r="E8" s="42"/>
      <c r="F8" s="42"/>
      <c r="G8" s="254" t="s">
        <v>89</v>
      </c>
      <c r="H8" s="254"/>
      <c r="I8" s="43"/>
      <c r="J8" s="13"/>
      <c r="K8" s="14"/>
      <c r="L8" s="14"/>
      <c r="M8" s="42"/>
      <c r="N8" s="42"/>
      <c r="O8" s="254" t="s">
        <v>90</v>
      </c>
      <c r="P8" s="254"/>
    </row>
    <row r="9" spans="2:29" s="12" customFormat="1" ht="32.25" customHeight="1">
      <c r="B9" s="148" t="s">
        <v>94</v>
      </c>
      <c r="C9" s="204">
        <v>2019</v>
      </c>
      <c r="D9" s="204">
        <v>2020</v>
      </c>
      <c r="E9" s="204">
        <v>2021</v>
      </c>
      <c r="F9" s="206">
        <v>2022</v>
      </c>
      <c r="G9" s="206">
        <v>2023</v>
      </c>
      <c r="H9" s="154" t="str">
        <f>$H$6</f>
        <v>2025.4.</v>
      </c>
      <c r="I9" s="49"/>
      <c r="J9" s="148" t="s">
        <v>94</v>
      </c>
      <c r="K9" s="214">
        <v>2020</v>
      </c>
      <c r="L9" s="214">
        <v>2021</v>
      </c>
      <c r="M9" s="214">
        <v>2022</v>
      </c>
      <c r="N9" s="216">
        <v>2023</v>
      </c>
      <c r="O9" s="216">
        <v>2024</v>
      </c>
      <c r="P9" s="154" t="str">
        <f>$H$6</f>
        <v>2025.4.</v>
      </c>
    </row>
    <row r="10" spans="2:29" s="12" customFormat="1" ht="37.5" customHeight="1" thickBot="1">
      <c r="B10" s="151" t="s">
        <v>22</v>
      </c>
      <c r="C10" s="205">
        <v>792643</v>
      </c>
      <c r="D10" s="205">
        <v>936246</v>
      </c>
      <c r="E10" s="205">
        <v>851953</v>
      </c>
      <c r="F10" s="208">
        <v>820289</v>
      </c>
      <c r="G10" s="207">
        <v>924735.5</v>
      </c>
      <c r="H10" s="156">
        <f>통계요약!I21</f>
        <v>298952</v>
      </c>
      <c r="I10" s="50"/>
      <c r="J10" s="151" t="s">
        <v>93</v>
      </c>
      <c r="K10" s="215">
        <v>40267</v>
      </c>
      <c r="L10" s="215">
        <v>0</v>
      </c>
      <c r="M10" s="215">
        <v>0</v>
      </c>
      <c r="N10" s="217">
        <v>0</v>
      </c>
      <c r="O10" s="217">
        <v>0</v>
      </c>
      <c r="P10" s="156"/>
      <c r="S10" s="26" t="s">
        <v>101</v>
      </c>
      <c r="AC10" s="26"/>
    </row>
    <row r="11" spans="2:29" ht="21" customHeight="1"/>
    <row r="12" spans="2:29" s="19" customFormat="1" ht="21" customHeight="1">
      <c r="B12" s="253" t="s">
        <v>98</v>
      </c>
      <c r="C12" s="253"/>
      <c r="D12" s="253"/>
      <c r="I12" s="51"/>
    </row>
    <row r="13" spans="2:29" s="12" customFormat="1" ht="21" customHeight="1">
      <c r="B13" s="252" t="s">
        <v>95</v>
      </c>
      <c r="C13" s="252"/>
      <c r="I13" s="46"/>
      <c r="J13" s="252" t="s">
        <v>96</v>
      </c>
      <c r="K13" s="252"/>
      <c r="L13" s="16"/>
      <c r="M13" s="17"/>
      <c r="N13" s="18"/>
      <c r="O13" s="18"/>
      <c r="P13" s="18"/>
    </row>
    <row r="14" spans="2:29" s="12" customFormat="1" ht="21" customHeight="1">
      <c r="I14" s="46"/>
      <c r="K14" s="15"/>
      <c r="L14" s="16"/>
      <c r="M14" s="17"/>
      <c r="N14" s="18"/>
      <c r="O14" s="18"/>
      <c r="P14" s="18"/>
    </row>
    <row r="15" spans="2:29" s="12" customFormat="1" ht="21" customHeight="1">
      <c r="I15" s="46"/>
      <c r="K15" s="15"/>
      <c r="L15" s="16"/>
      <c r="M15" s="17"/>
      <c r="N15" s="18"/>
      <c r="O15" s="18"/>
      <c r="P15" s="18"/>
    </row>
    <row r="16" spans="2:29" s="12" customFormat="1" ht="21" customHeight="1">
      <c r="I16" s="46"/>
      <c r="K16" s="15"/>
      <c r="L16" s="16"/>
      <c r="M16" s="17"/>
      <c r="N16" s="18"/>
      <c r="O16" s="18"/>
      <c r="P16" s="18"/>
    </row>
    <row r="17" spans="2:16" s="12" customFormat="1" ht="21" customHeight="1">
      <c r="I17" s="46"/>
      <c r="K17" s="15"/>
      <c r="L17" s="16"/>
      <c r="M17" s="17"/>
      <c r="N17" s="18"/>
      <c r="O17" s="18"/>
      <c r="P17" s="18"/>
    </row>
    <row r="18" spans="2:16" s="12" customFormat="1" ht="21" customHeight="1">
      <c r="I18" s="46"/>
      <c r="K18" s="15"/>
      <c r="L18" s="16"/>
      <c r="M18" s="17"/>
      <c r="N18" s="18"/>
      <c r="O18" s="18"/>
      <c r="P18" s="18"/>
    </row>
    <row r="19" spans="2:16" s="12" customFormat="1" ht="21" customHeight="1">
      <c r="I19" s="46"/>
      <c r="K19" s="15"/>
      <c r="L19" s="16"/>
      <c r="M19" s="17"/>
      <c r="N19" s="18"/>
      <c r="O19" s="18"/>
      <c r="P19" s="18"/>
    </row>
    <row r="20" spans="2:16" s="12" customFormat="1" ht="21" customHeight="1">
      <c r="I20" s="46"/>
      <c r="K20" s="15"/>
      <c r="L20" s="16"/>
      <c r="M20" s="17"/>
      <c r="N20" s="18"/>
      <c r="O20" s="18"/>
      <c r="P20" s="18"/>
    </row>
    <row r="21" spans="2:16" s="12" customFormat="1" ht="21" customHeight="1">
      <c r="I21" s="46"/>
      <c r="K21" s="15"/>
      <c r="L21" s="16"/>
      <c r="M21" s="17"/>
      <c r="N21" s="18"/>
      <c r="O21" s="18"/>
      <c r="P21" s="18"/>
    </row>
    <row r="22" spans="2:16" s="12" customFormat="1" ht="21" customHeight="1">
      <c r="I22" s="46"/>
      <c r="K22" s="15"/>
      <c r="L22" s="16"/>
      <c r="M22" s="17"/>
      <c r="N22" s="18"/>
      <c r="O22" s="18"/>
      <c r="P22" s="18"/>
    </row>
    <row r="23" spans="2:16" s="12" customFormat="1" ht="21" customHeight="1">
      <c r="B23" s="252" t="s">
        <v>97</v>
      </c>
      <c r="C23" s="252"/>
      <c r="I23" s="46"/>
      <c r="J23" s="252" t="s">
        <v>99</v>
      </c>
      <c r="K23" s="252"/>
      <c r="L23" s="16"/>
      <c r="M23" s="17"/>
      <c r="N23" s="18"/>
      <c r="O23" s="18"/>
      <c r="P23" s="18"/>
    </row>
    <row r="24" spans="2:16" s="12" customFormat="1" ht="21" customHeight="1">
      <c r="I24" s="46"/>
      <c r="K24" s="15"/>
      <c r="L24" s="16"/>
      <c r="M24" s="17"/>
      <c r="N24" s="18"/>
      <c r="O24" s="18"/>
      <c r="P24" s="18"/>
    </row>
    <row r="25" spans="2:16" s="12" customFormat="1" ht="21" customHeight="1">
      <c r="I25" s="46"/>
      <c r="K25" s="15"/>
      <c r="L25" s="16"/>
      <c r="M25" s="17"/>
      <c r="N25" s="18"/>
      <c r="O25" s="18"/>
      <c r="P25" s="18"/>
    </row>
    <row r="26" spans="2:16" s="12" customFormat="1" ht="21" customHeight="1">
      <c r="I26" s="46"/>
      <c r="K26" s="15"/>
      <c r="L26" s="16"/>
      <c r="M26" s="17"/>
      <c r="N26" s="18"/>
      <c r="O26" s="18"/>
      <c r="P26" s="18"/>
    </row>
    <row r="27" spans="2:16" s="12" customFormat="1" ht="21" customHeight="1">
      <c r="I27" s="46"/>
      <c r="K27" s="15"/>
      <c r="L27" s="16"/>
      <c r="M27" s="17"/>
      <c r="N27" s="18"/>
      <c r="O27" s="18"/>
      <c r="P27" s="18"/>
    </row>
    <row r="28" spans="2:16" s="12" customFormat="1" ht="21" customHeight="1">
      <c r="I28" s="46"/>
      <c r="K28" s="15"/>
      <c r="L28" s="16"/>
      <c r="M28" s="17"/>
      <c r="N28" s="18"/>
      <c r="O28" s="18"/>
      <c r="P28" s="18"/>
    </row>
    <row r="29" spans="2:16" s="12" customFormat="1" ht="21" customHeight="1">
      <c r="I29" s="46"/>
      <c r="K29" s="15"/>
      <c r="L29" s="16"/>
      <c r="M29" s="17"/>
      <c r="N29" s="18"/>
      <c r="O29" s="18"/>
      <c r="P29" s="18"/>
    </row>
    <row r="30" spans="2:16" s="12" customFormat="1" ht="21" customHeight="1">
      <c r="I30" s="46"/>
      <c r="K30" s="15"/>
      <c r="L30" s="16"/>
      <c r="M30" s="17"/>
      <c r="N30" s="18"/>
      <c r="O30" s="18"/>
      <c r="P30" s="18"/>
    </row>
    <row r="31" spans="2:16" s="12" customFormat="1" ht="21" customHeight="1">
      <c r="I31" s="46"/>
      <c r="K31" s="15"/>
      <c r="L31" s="16"/>
      <c r="M31" s="17"/>
      <c r="N31" s="18"/>
      <c r="O31" s="18"/>
      <c r="P31" s="18"/>
    </row>
    <row r="32" spans="2:16" ht="21" customHeight="1"/>
  </sheetData>
  <mergeCells count="10">
    <mergeCell ref="B3:P3"/>
    <mergeCell ref="B13:C13"/>
    <mergeCell ref="J13:K13"/>
    <mergeCell ref="B23:C23"/>
    <mergeCell ref="B12:D12"/>
    <mergeCell ref="J23:K23"/>
    <mergeCell ref="G5:H5"/>
    <mergeCell ref="O5:P5"/>
    <mergeCell ref="G8:H8"/>
    <mergeCell ref="O8:P8"/>
  </mergeCells>
  <phoneticPr fontId="21" type="noConversion"/>
  <pageMargins left="0.8" right="0.51181102362204722" top="1.36" bottom="0.98425196850393704" header="0.51181102362204722" footer="0.51181102362204722"/>
  <pageSetup paperSize="9" scale="6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4"/>
  <sheetViews>
    <sheetView showGridLines="0" tabSelected="1" zoomScale="90" zoomScaleNormal="90" workbookViewId="0">
      <selection activeCell="H16" sqref="H16"/>
    </sheetView>
  </sheetViews>
  <sheetFormatPr defaultColWidth="10" defaultRowHeight="13.5"/>
  <cols>
    <col min="1" max="1" width="3.625" style="20" customWidth="1"/>
    <col min="2" max="2" width="17.25" style="32" bestFit="1" customWidth="1"/>
    <col min="3" max="4" width="12.625" style="20" customWidth="1"/>
    <col min="5" max="5" width="12.625" style="32" customWidth="1"/>
    <col min="6" max="12" width="12.625" style="20" customWidth="1"/>
    <col min="13" max="14" width="10" style="20"/>
    <col min="15" max="15" width="0" style="20" hidden="1" customWidth="1"/>
    <col min="16" max="16" width="10.25" style="20" bestFit="1" customWidth="1"/>
    <col min="17" max="17" width="11.5" style="20" bestFit="1" customWidth="1"/>
    <col min="18" max="18" width="10.25" style="20" bestFit="1" customWidth="1"/>
    <col min="19" max="19" width="11.25" style="20" bestFit="1" customWidth="1"/>
    <col min="20" max="20" width="7.75" style="20" customWidth="1"/>
    <col min="21" max="21" width="6.875" style="20" customWidth="1"/>
    <col min="22" max="16384" width="10" style="20"/>
  </cols>
  <sheetData>
    <row r="1" spans="1:35" customFormat="1" ht="13.5" customHeight="1">
      <c r="B1" s="41"/>
      <c r="F1" s="2"/>
      <c r="G1" s="1"/>
      <c r="H1" s="3"/>
      <c r="I1" s="4"/>
    </row>
    <row r="2" spans="1:35" customFormat="1" ht="13.5" customHeight="1">
      <c r="B2" s="40"/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1:35" customFormat="1" ht="42.95" customHeight="1">
      <c r="B3" s="229" t="s">
        <v>107</v>
      </c>
      <c r="C3" s="230"/>
      <c r="D3" s="230"/>
      <c r="E3" s="230"/>
      <c r="F3" s="230"/>
      <c r="G3" s="230"/>
      <c r="H3" s="230"/>
      <c r="I3" s="230"/>
      <c r="J3" s="230"/>
      <c r="K3" s="230"/>
      <c r="L3" s="231"/>
    </row>
    <row r="4" spans="1:35" ht="13.5" customHeight="1">
      <c r="A4" s="25"/>
      <c r="C4" s="28"/>
      <c r="D4" s="28"/>
      <c r="E4" s="31"/>
      <c r="F4" s="21"/>
      <c r="G4" s="22"/>
      <c r="H4" s="23"/>
      <c r="I4" s="24"/>
    </row>
    <row r="5" spans="1:35" ht="13.5" customHeight="1">
      <c r="A5" s="25"/>
      <c r="C5" s="28"/>
      <c r="D5" s="28"/>
      <c r="E5" s="31"/>
      <c r="F5" s="21"/>
      <c r="G5" s="22"/>
      <c r="H5" s="23"/>
      <c r="I5" s="24"/>
    </row>
    <row r="6" spans="1:35" ht="21.95" customHeight="1">
      <c r="B6" s="255" t="s">
        <v>23</v>
      </c>
      <c r="C6" s="263" t="s">
        <v>24</v>
      </c>
      <c r="D6" s="261" t="s">
        <v>108</v>
      </c>
      <c r="E6" s="261"/>
      <c r="F6" s="261"/>
      <c r="G6" s="261" t="s">
        <v>111</v>
      </c>
      <c r="H6" s="261"/>
      <c r="I6" s="261" t="s">
        <v>25</v>
      </c>
      <c r="J6" s="261"/>
      <c r="K6" s="261"/>
      <c r="L6" s="262"/>
      <c r="X6" s="20" t="s">
        <v>84</v>
      </c>
    </row>
    <row r="7" spans="1:35" ht="21.95" customHeight="1" thickBot="1">
      <c r="B7" s="256"/>
      <c r="C7" s="264"/>
      <c r="D7" s="123" t="s">
        <v>26</v>
      </c>
      <c r="E7" s="123" t="str">
        <f>통계요약!F7</f>
        <v>4월(A)</v>
      </c>
      <c r="F7" s="123" t="str">
        <f>통계요약!G7</f>
        <v xml:space="preserve"> 4월누계(B) </v>
      </c>
      <c r="G7" s="124" t="str">
        <f>통계요약!H7</f>
        <v>4월(C)</v>
      </c>
      <c r="H7" s="123" t="str">
        <f>통계요약!I7</f>
        <v xml:space="preserve"> 4월누계(D) </v>
      </c>
      <c r="I7" s="123" t="s">
        <v>27</v>
      </c>
      <c r="J7" s="125" t="s">
        <v>28</v>
      </c>
      <c r="K7" s="126" t="s">
        <v>29</v>
      </c>
      <c r="L7" s="127" t="s">
        <v>28</v>
      </c>
    </row>
    <row r="8" spans="1:35" ht="21.95" customHeight="1">
      <c r="B8" s="257" t="s">
        <v>30</v>
      </c>
      <c r="C8" s="128" t="s">
        <v>31</v>
      </c>
      <c r="D8" s="129">
        <f>SUM(D10,D12,D14,D16,D18,D20,D22,D26,D24,D30,D32,D34,D36,D28)</f>
        <v>924735.5</v>
      </c>
      <c r="E8" s="129">
        <f>SUM(E10,E12,E14,E16,E18,E20,E22,E26,E24,E30,E32,E34,E36,E28)</f>
        <v>84303</v>
      </c>
      <c r="F8" s="129">
        <f>SUM(F10,F12,F14,F16,F18,F20,F22,F26,F24,F30,F32,F34,F36,F28)</f>
        <v>288757</v>
      </c>
      <c r="G8" s="129">
        <f>SUM(G10,G12,G14,G16,G18,G20,G22,G26,G24,G30,G32,G34,G36,G28,)</f>
        <v>81799</v>
      </c>
      <c r="H8" s="130">
        <f>SUM(H10,H12,H14,H16,H18,H20,H22,H26,H24,H30,H32,H34,H36,H28,)</f>
        <v>298952</v>
      </c>
      <c r="I8" s="131">
        <f t="shared" ref="I8:I9" si="0">G8-E8</f>
        <v>-2504</v>
      </c>
      <c r="J8" s="132">
        <f t="shared" ref="J8:J9" si="1">(G8/E8*100)-100</f>
        <v>-2.9702383070590628</v>
      </c>
      <c r="K8" s="133">
        <f t="shared" ref="K8:K9" si="2">H8-F8</f>
        <v>10195</v>
      </c>
      <c r="L8" s="134">
        <f t="shared" ref="L8:L9" si="3">(H8/F8*100)-100</f>
        <v>3.5306503392125563</v>
      </c>
    </row>
    <row r="9" spans="1:35" ht="21.95" customHeight="1" thickBot="1">
      <c r="B9" s="258"/>
      <c r="C9" s="135" t="s">
        <v>32</v>
      </c>
      <c r="D9" s="136">
        <f>SUM(D11,D13,D15,D17,D19,D21,D23,D25,D27,D31,D33,D35,D37,D29)</f>
        <v>14055928</v>
      </c>
      <c r="E9" s="136">
        <f>SUM(E11,E13,E15,E17,E19,E21,E23,E25,E27,E31,E33,E35,E37,E29)</f>
        <v>1304873</v>
      </c>
      <c r="F9" s="136">
        <f>SUM(F11,F13,F15,F17,F19,F21,F23,F25,F27,F31,F33,F35,F37,F29)</f>
        <v>4392767</v>
      </c>
      <c r="G9" s="136">
        <f>SUM(G11,G13,G15,G17,G19,G21,G23,G25,G27,G31,G33,G35,G37,G29)</f>
        <v>1285513</v>
      </c>
      <c r="H9" s="137">
        <f>SUM(H11,H13,H15,H17,H19,H21,H23,H25,H27,H31,H33,H35,H37,H29)</f>
        <v>4633001</v>
      </c>
      <c r="I9" s="138">
        <f t="shared" si="0"/>
        <v>-19360</v>
      </c>
      <c r="J9" s="139">
        <f t="shared" si="1"/>
        <v>-1.4836692919540866</v>
      </c>
      <c r="K9" s="140">
        <f t="shared" si="2"/>
        <v>240234</v>
      </c>
      <c r="L9" s="141">
        <f t="shared" si="3"/>
        <v>5.4688536860707586</v>
      </c>
    </row>
    <row r="10" spans="1:35" ht="21.2" customHeight="1">
      <c r="B10" s="259" t="s">
        <v>33</v>
      </c>
      <c r="C10" s="159" t="s">
        <v>31</v>
      </c>
      <c r="D10" s="218">
        <v>53912</v>
      </c>
      <c r="E10" s="160">
        <v>4667</v>
      </c>
      <c r="F10" s="160">
        <v>17511</v>
      </c>
      <c r="G10" s="147">
        <v>0</v>
      </c>
      <c r="H10" s="224">
        <v>13137</v>
      </c>
      <c r="I10" s="175">
        <f>IFERROR(G10-E10,"-")</f>
        <v>-4667</v>
      </c>
      <c r="J10" s="161">
        <f>IFERROR((G10/E10*100)-100,"-")</f>
        <v>-100</v>
      </c>
      <c r="K10" s="162">
        <f>IFERROR(H10-F10,"-")</f>
        <v>-4374</v>
      </c>
      <c r="L10" s="163">
        <f>IFERROR((H10/F10*100)-100,"-")</f>
        <v>-24.978584889498038</v>
      </c>
      <c r="M10" s="30"/>
      <c r="O10" s="20" t="s">
        <v>51</v>
      </c>
      <c r="U10" s="157"/>
      <c r="V10" s="157"/>
    </row>
    <row r="11" spans="1:35" ht="21.2" customHeight="1">
      <c r="B11" s="260"/>
      <c r="C11" s="171" t="s">
        <v>32</v>
      </c>
      <c r="D11" s="219">
        <v>998726</v>
      </c>
      <c r="E11" s="180">
        <v>89170</v>
      </c>
      <c r="F11" s="180">
        <v>328441</v>
      </c>
      <c r="G11" s="116">
        <v>0</v>
      </c>
      <c r="H11" s="225">
        <v>237788</v>
      </c>
      <c r="I11" s="176">
        <f t="shared" ref="I11:I37" si="4">IFERROR(G11-E11,"-")</f>
        <v>-89170</v>
      </c>
      <c r="J11" s="172">
        <f t="shared" ref="J11:J37" si="5">IFERROR((G11/E11*100)-100,"-")</f>
        <v>-100</v>
      </c>
      <c r="K11" s="173">
        <f t="shared" ref="K11:K37" si="6">IFERROR(H11-F11,"-")</f>
        <v>-90653</v>
      </c>
      <c r="L11" s="174">
        <f t="shared" ref="L11:L37" si="7">IFERROR((H11/F11*100)-100,"-")</f>
        <v>-27.600999875167844</v>
      </c>
      <c r="O11" s="20" t="s">
        <v>51</v>
      </c>
      <c r="U11" s="157"/>
      <c r="V11" s="157"/>
    </row>
    <row r="12" spans="1:35" ht="21.2" customHeight="1">
      <c r="B12" s="260" t="s">
        <v>34</v>
      </c>
      <c r="C12" s="142" t="s">
        <v>31</v>
      </c>
      <c r="D12" s="220">
        <v>57203</v>
      </c>
      <c r="E12" s="181">
        <v>4361</v>
      </c>
      <c r="F12" s="181">
        <v>15926</v>
      </c>
      <c r="G12" s="181">
        <v>7786</v>
      </c>
      <c r="H12" s="181">
        <v>22791</v>
      </c>
      <c r="I12" s="177">
        <f t="shared" si="4"/>
        <v>3425</v>
      </c>
      <c r="J12" s="144">
        <f t="shared" si="5"/>
        <v>78.537032790644332</v>
      </c>
      <c r="K12" s="145">
        <f t="shared" si="6"/>
        <v>6865</v>
      </c>
      <c r="L12" s="146">
        <f t="shared" si="7"/>
        <v>43.105613462262966</v>
      </c>
      <c r="O12" s="20" t="s">
        <v>52</v>
      </c>
      <c r="U12" s="157"/>
      <c r="V12" s="157"/>
      <c r="AC12" s="34" t="s">
        <v>77</v>
      </c>
      <c r="AD12" s="34" t="s">
        <v>78</v>
      </c>
      <c r="AE12" s="34" t="s">
        <v>79</v>
      </c>
      <c r="AF12" s="34" t="s">
        <v>80</v>
      </c>
      <c r="AG12" s="34" t="s">
        <v>81</v>
      </c>
    </row>
    <row r="13" spans="1:35" ht="21.2" customHeight="1">
      <c r="B13" s="260"/>
      <c r="C13" s="171" t="s">
        <v>32</v>
      </c>
      <c r="D13" s="219">
        <v>821405</v>
      </c>
      <c r="E13" s="180">
        <v>58879</v>
      </c>
      <c r="F13" s="180">
        <v>221969</v>
      </c>
      <c r="G13" s="180">
        <v>133351</v>
      </c>
      <c r="H13" s="180">
        <v>358236</v>
      </c>
      <c r="I13" s="176">
        <f t="shared" si="4"/>
        <v>74472</v>
      </c>
      <c r="J13" s="172">
        <f t="shared" si="5"/>
        <v>126.48312641179368</v>
      </c>
      <c r="K13" s="173">
        <f t="shared" si="6"/>
        <v>136267</v>
      </c>
      <c r="L13" s="174">
        <f t="shared" si="7"/>
        <v>61.390104023534832</v>
      </c>
      <c r="O13" s="20" t="s">
        <v>52</v>
      </c>
      <c r="U13" s="157"/>
      <c r="V13" s="157"/>
      <c r="AC13" s="33" t="s">
        <v>82</v>
      </c>
      <c r="AD13" s="35">
        <f>E10+E12</f>
        <v>9028</v>
      </c>
      <c r="AE13" s="35">
        <f>F10+F12</f>
        <v>33437</v>
      </c>
      <c r="AF13" s="35">
        <f>G10+G12</f>
        <v>7786</v>
      </c>
      <c r="AG13" s="35">
        <f>H10+H12</f>
        <v>35928</v>
      </c>
      <c r="AH13" s="36">
        <f t="shared" ref="AH13:AI15" si="8">(AF13/AD13*100)-100</f>
        <v>-13.757199822773586</v>
      </c>
      <c r="AI13" s="36">
        <f t="shared" si="8"/>
        <v>7.4498310255106617</v>
      </c>
    </row>
    <row r="14" spans="1:35" ht="21.2" customHeight="1">
      <c r="B14" s="260" t="s">
        <v>72</v>
      </c>
      <c r="C14" s="142" t="s">
        <v>31</v>
      </c>
      <c r="D14" s="220">
        <v>9</v>
      </c>
      <c r="E14" s="147">
        <v>0</v>
      </c>
      <c r="F14" s="147">
        <v>0</v>
      </c>
      <c r="G14" s="147">
        <v>0</v>
      </c>
      <c r="H14" s="147">
        <v>0</v>
      </c>
      <c r="I14" s="177">
        <f t="shared" si="4"/>
        <v>0</v>
      </c>
      <c r="J14" s="144" t="str">
        <f t="shared" si="5"/>
        <v>-</v>
      </c>
      <c r="K14" s="145">
        <f t="shared" si="6"/>
        <v>0</v>
      </c>
      <c r="L14" s="146" t="str">
        <f t="shared" si="7"/>
        <v>-</v>
      </c>
      <c r="O14" s="20" t="s">
        <v>73</v>
      </c>
      <c r="U14" s="157"/>
      <c r="V14" s="157"/>
      <c r="AC14" s="33" t="s">
        <v>83</v>
      </c>
      <c r="AD14" s="35">
        <f>E18+E20+E22</f>
        <v>52571</v>
      </c>
      <c r="AE14" s="35">
        <f>F18+F20+F22</f>
        <v>178978</v>
      </c>
      <c r="AF14" s="35">
        <f>G18+G20+G22</f>
        <v>44020</v>
      </c>
      <c r="AG14" s="35">
        <f>H18+H20+H22</f>
        <v>161913</v>
      </c>
      <c r="AH14" s="36">
        <f t="shared" si="8"/>
        <v>-16.26562173061194</v>
      </c>
      <c r="AI14" s="36">
        <f t="shared" si="8"/>
        <v>-9.5346914145872717</v>
      </c>
    </row>
    <row r="15" spans="1:35" ht="21.2" customHeight="1">
      <c r="B15" s="260"/>
      <c r="C15" s="113" t="s">
        <v>32</v>
      </c>
      <c r="D15" s="219">
        <v>213</v>
      </c>
      <c r="E15" s="116">
        <v>0</v>
      </c>
      <c r="F15" s="116">
        <v>0</v>
      </c>
      <c r="G15" s="116">
        <v>0</v>
      </c>
      <c r="H15" s="116">
        <v>0</v>
      </c>
      <c r="I15" s="178">
        <f t="shared" si="4"/>
        <v>0</v>
      </c>
      <c r="J15" s="114" t="str">
        <f t="shared" si="5"/>
        <v>-</v>
      </c>
      <c r="K15" s="115">
        <f t="shared" si="6"/>
        <v>0</v>
      </c>
      <c r="L15" s="118" t="str">
        <f t="shared" si="7"/>
        <v>-</v>
      </c>
      <c r="O15" s="20" t="s">
        <v>73</v>
      </c>
      <c r="AC15" s="33" t="s">
        <v>76</v>
      </c>
      <c r="AD15" s="35">
        <f>E32+E34+E36</f>
        <v>22704</v>
      </c>
      <c r="AE15" s="35">
        <f>F32+F34+F36</f>
        <v>76130</v>
      </c>
      <c r="AF15" s="35">
        <f>G32+G34+G36</f>
        <v>29993</v>
      </c>
      <c r="AG15" s="35">
        <f>H32+H34+H36</f>
        <v>101111</v>
      </c>
      <c r="AH15" s="36">
        <f t="shared" si="8"/>
        <v>32.104474982381959</v>
      </c>
      <c r="AI15" s="36">
        <f t="shared" si="8"/>
        <v>32.813608301589397</v>
      </c>
    </row>
    <row r="16" spans="1:35" ht="21.2" customHeight="1">
      <c r="B16" s="260" t="s">
        <v>46</v>
      </c>
      <c r="C16" s="142" t="s">
        <v>31</v>
      </c>
      <c r="D16" s="221">
        <v>212</v>
      </c>
      <c r="E16" s="147">
        <v>0</v>
      </c>
      <c r="F16" s="147">
        <v>212</v>
      </c>
      <c r="G16" s="147">
        <v>0</v>
      </c>
      <c r="H16" s="147">
        <v>0</v>
      </c>
      <c r="I16" s="177">
        <f t="shared" si="4"/>
        <v>0</v>
      </c>
      <c r="J16" s="144" t="str">
        <f t="shared" si="5"/>
        <v>-</v>
      </c>
      <c r="K16" s="145">
        <f t="shared" si="6"/>
        <v>-212</v>
      </c>
      <c r="L16" s="146">
        <f t="shared" si="7"/>
        <v>-100</v>
      </c>
      <c r="O16" s="20" t="s">
        <v>53</v>
      </c>
    </row>
    <row r="17" spans="2:15" ht="21.2" customHeight="1">
      <c r="B17" s="260"/>
      <c r="C17" s="113" t="s">
        <v>45</v>
      </c>
      <c r="D17" s="222">
        <v>5372</v>
      </c>
      <c r="E17" s="116">
        <v>0</v>
      </c>
      <c r="F17" s="116">
        <v>5372</v>
      </c>
      <c r="G17" s="116">
        <v>0</v>
      </c>
      <c r="H17" s="116">
        <v>0</v>
      </c>
      <c r="I17" s="178">
        <f t="shared" si="4"/>
        <v>0</v>
      </c>
      <c r="J17" s="114" t="str">
        <f t="shared" si="5"/>
        <v>-</v>
      </c>
      <c r="K17" s="115">
        <f t="shared" si="6"/>
        <v>-5372</v>
      </c>
      <c r="L17" s="118">
        <f t="shared" si="7"/>
        <v>-100</v>
      </c>
      <c r="O17" s="20" t="s">
        <v>53</v>
      </c>
    </row>
    <row r="18" spans="2:15" ht="21.2" customHeight="1">
      <c r="B18" s="260" t="s">
        <v>35</v>
      </c>
      <c r="C18" s="142" t="s">
        <v>31</v>
      </c>
      <c r="D18" s="220">
        <v>142959.25</v>
      </c>
      <c r="E18" s="143">
        <v>15829</v>
      </c>
      <c r="F18" s="143">
        <v>44309</v>
      </c>
      <c r="G18" s="143">
        <v>16188</v>
      </c>
      <c r="H18" s="143">
        <v>60247</v>
      </c>
      <c r="I18" s="177">
        <f t="shared" si="4"/>
        <v>359</v>
      </c>
      <c r="J18" s="144">
        <f t="shared" si="5"/>
        <v>2.2679891338682125</v>
      </c>
      <c r="K18" s="145">
        <f t="shared" si="6"/>
        <v>15938</v>
      </c>
      <c r="L18" s="146">
        <f t="shared" si="7"/>
        <v>35.970118937461905</v>
      </c>
      <c r="M18" s="30"/>
      <c r="O18" s="20" t="s">
        <v>54</v>
      </c>
    </row>
    <row r="19" spans="2:15" ht="21.2" customHeight="1">
      <c r="B19" s="260"/>
      <c r="C19" s="113" t="s">
        <v>32</v>
      </c>
      <c r="D19" s="219">
        <v>2340460</v>
      </c>
      <c r="E19" s="180">
        <v>259593</v>
      </c>
      <c r="F19" s="180">
        <v>744803</v>
      </c>
      <c r="G19" s="180">
        <v>227417</v>
      </c>
      <c r="H19" s="180">
        <v>851552</v>
      </c>
      <c r="I19" s="178">
        <f t="shared" si="4"/>
        <v>-32176</v>
      </c>
      <c r="J19" s="114">
        <f t="shared" si="5"/>
        <v>-12.394787224617005</v>
      </c>
      <c r="K19" s="115">
        <f t="shared" si="6"/>
        <v>106749</v>
      </c>
      <c r="L19" s="118">
        <f t="shared" si="7"/>
        <v>14.332514772362615</v>
      </c>
      <c r="O19" s="20" t="s">
        <v>55</v>
      </c>
    </row>
    <row r="20" spans="2:15" ht="21.2" customHeight="1">
      <c r="B20" s="260" t="s">
        <v>42</v>
      </c>
      <c r="C20" s="142" t="s">
        <v>31</v>
      </c>
      <c r="D20" s="220">
        <v>233375.5</v>
      </c>
      <c r="E20" s="143">
        <v>21615</v>
      </c>
      <c r="F20" s="143">
        <v>77353</v>
      </c>
      <c r="G20" s="143">
        <v>15975</v>
      </c>
      <c r="H20" s="143">
        <v>57438</v>
      </c>
      <c r="I20" s="177">
        <f t="shared" si="4"/>
        <v>-5640</v>
      </c>
      <c r="J20" s="144">
        <f t="shared" si="5"/>
        <v>-26.092990978487165</v>
      </c>
      <c r="K20" s="145">
        <f t="shared" si="6"/>
        <v>-19915</v>
      </c>
      <c r="L20" s="146">
        <f t="shared" si="7"/>
        <v>-25.745607798016877</v>
      </c>
      <c r="O20" s="20" t="s">
        <v>56</v>
      </c>
    </row>
    <row r="21" spans="2:15" ht="21.2" customHeight="1">
      <c r="B21" s="260"/>
      <c r="C21" s="113" t="s">
        <v>32</v>
      </c>
      <c r="D21" s="219">
        <v>3245962</v>
      </c>
      <c r="E21" s="180">
        <v>320379</v>
      </c>
      <c r="F21" s="180">
        <v>1024704</v>
      </c>
      <c r="G21" s="180">
        <v>287791</v>
      </c>
      <c r="H21" s="180">
        <v>1015543</v>
      </c>
      <c r="I21" s="178">
        <f t="shared" si="4"/>
        <v>-32588</v>
      </c>
      <c r="J21" s="114">
        <f t="shared" si="5"/>
        <v>-10.171702889390374</v>
      </c>
      <c r="K21" s="115">
        <f t="shared" si="6"/>
        <v>-9161</v>
      </c>
      <c r="L21" s="118">
        <f t="shared" si="7"/>
        <v>-0.89401427143837964</v>
      </c>
      <c r="O21" s="20" t="s">
        <v>57</v>
      </c>
    </row>
    <row r="22" spans="2:15" ht="21.2" customHeight="1">
      <c r="B22" s="260" t="s">
        <v>36</v>
      </c>
      <c r="C22" s="142" t="s">
        <v>31</v>
      </c>
      <c r="D22" s="220">
        <v>163176.75</v>
      </c>
      <c r="E22" s="143">
        <v>15127</v>
      </c>
      <c r="F22" s="143">
        <v>57316</v>
      </c>
      <c r="G22" s="143">
        <v>11857</v>
      </c>
      <c r="H22" s="143">
        <v>44228</v>
      </c>
      <c r="I22" s="177">
        <f t="shared" si="4"/>
        <v>-3270</v>
      </c>
      <c r="J22" s="144">
        <f t="shared" si="5"/>
        <v>-21.616976267600975</v>
      </c>
      <c r="K22" s="145">
        <f t="shared" si="6"/>
        <v>-13088</v>
      </c>
      <c r="L22" s="146">
        <f t="shared" si="7"/>
        <v>-22.83481052411193</v>
      </c>
      <c r="O22" s="20" t="s">
        <v>58</v>
      </c>
    </row>
    <row r="23" spans="2:15" ht="21.2" customHeight="1">
      <c r="B23" s="260"/>
      <c r="C23" s="113" t="s">
        <v>32</v>
      </c>
      <c r="D23" s="219">
        <v>2560713</v>
      </c>
      <c r="E23" s="180">
        <v>232376</v>
      </c>
      <c r="F23" s="180">
        <v>897397</v>
      </c>
      <c r="G23" s="180">
        <v>203666</v>
      </c>
      <c r="H23" s="180">
        <v>693761</v>
      </c>
      <c r="I23" s="178">
        <f t="shared" si="4"/>
        <v>-28710</v>
      </c>
      <c r="J23" s="114">
        <f t="shared" si="5"/>
        <v>-12.35497641753021</v>
      </c>
      <c r="K23" s="115">
        <f t="shared" si="6"/>
        <v>-203636</v>
      </c>
      <c r="L23" s="118">
        <f t="shared" si="7"/>
        <v>-22.691852101132497</v>
      </c>
      <c r="O23" s="20" t="s">
        <v>59</v>
      </c>
    </row>
    <row r="24" spans="2:15" ht="21.2" customHeight="1">
      <c r="B24" s="260" t="s">
        <v>48</v>
      </c>
      <c r="C24" s="142" t="s">
        <v>31</v>
      </c>
      <c r="D24" s="221">
        <v>8</v>
      </c>
      <c r="E24" s="147">
        <v>0</v>
      </c>
      <c r="F24" s="147">
        <v>0</v>
      </c>
      <c r="G24" s="147">
        <v>0</v>
      </c>
      <c r="H24" s="147">
        <v>0</v>
      </c>
      <c r="I24" s="177">
        <f t="shared" si="4"/>
        <v>0</v>
      </c>
      <c r="J24" s="144" t="str">
        <f t="shared" si="5"/>
        <v>-</v>
      </c>
      <c r="K24" s="145">
        <f t="shared" si="6"/>
        <v>0</v>
      </c>
      <c r="L24" s="146" t="str">
        <f t="shared" si="7"/>
        <v>-</v>
      </c>
      <c r="O24" s="20" t="s">
        <v>60</v>
      </c>
    </row>
    <row r="25" spans="2:15" ht="21.2" customHeight="1">
      <c r="B25" s="260"/>
      <c r="C25" s="117" t="s">
        <v>32</v>
      </c>
      <c r="D25" s="222">
        <v>175</v>
      </c>
      <c r="E25" s="116">
        <v>0</v>
      </c>
      <c r="F25" s="116">
        <v>0</v>
      </c>
      <c r="G25" s="116">
        <v>0</v>
      </c>
      <c r="H25" s="116">
        <v>0</v>
      </c>
      <c r="I25" s="178">
        <f t="shared" si="4"/>
        <v>0</v>
      </c>
      <c r="J25" s="114" t="str">
        <f t="shared" si="5"/>
        <v>-</v>
      </c>
      <c r="K25" s="115">
        <f t="shared" si="6"/>
        <v>0</v>
      </c>
      <c r="L25" s="118" t="str">
        <f t="shared" si="7"/>
        <v>-</v>
      </c>
      <c r="O25" s="20" t="s">
        <v>61</v>
      </c>
    </row>
    <row r="26" spans="2:15" ht="21.2" customHeight="1">
      <c r="B26" s="260" t="s">
        <v>71</v>
      </c>
      <c r="C26" s="142" t="s">
        <v>31</v>
      </c>
      <c r="D26" s="221">
        <v>0</v>
      </c>
      <c r="E26" s="147">
        <v>0</v>
      </c>
      <c r="F26" s="147">
        <v>0</v>
      </c>
      <c r="G26" s="147">
        <v>0</v>
      </c>
      <c r="H26" s="147">
        <v>0</v>
      </c>
      <c r="I26" s="177">
        <f t="shared" si="4"/>
        <v>0</v>
      </c>
      <c r="J26" s="144" t="str">
        <f t="shared" si="5"/>
        <v>-</v>
      </c>
      <c r="K26" s="145">
        <f t="shared" si="6"/>
        <v>0</v>
      </c>
      <c r="L26" s="146" t="str">
        <f t="shared" si="7"/>
        <v>-</v>
      </c>
      <c r="O26" s="20" t="s">
        <v>74</v>
      </c>
    </row>
    <row r="27" spans="2:15" ht="21.2" customHeight="1">
      <c r="B27" s="260"/>
      <c r="C27" s="113" t="s">
        <v>32</v>
      </c>
      <c r="D27" s="222">
        <v>0</v>
      </c>
      <c r="E27" s="116">
        <v>0</v>
      </c>
      <c r="F27" s="116">
        <v>0</v>
      </c>
      <c r="G27" s="116">
        <v>0</v>
      </c>
      <c r="H27" s="116">
        <v>0</v>
      </c>
      <c r="I27" s="178">
        <f t="shared" si="4"/>
        <v>0</v>
      </c>
      <c r="J27" s="114" t="str">
        <f t="shared" si="5"/>
        <v>-</v>
      </c>
      <c r="K27" s="115">
        <f t="shared" si="6"/>
        <v>0</v>
      </c>
      <c r="L27" s="118" t="str">
        <f t="shared" si="7"/>
        <v>-</v>
      </c>
      <c r="O27" s="20" t="s">
        <v>74</v>
      </c>
    </row>
    <row r="28" spans="2:15" ht="21.2" customHeight="1">
      <c r="B28" s="260" t="s">
        <v>43</v>
      </c>
      <c r="C28" s="142" t="s">
        <v>44</v>
      </c>
      <c r="D28" s="220">
        <v>36</v>
      </c>
      <c r="E28" s="147">
        <v>0</v>
      </c>
      <c r="F28" s="147">
        <v>0</v>
      </c>
      <c r="G28" s="147">
        <v>0</v>
      </c>
      <c r="H28" s="147">
        <v>0</v>
      </c>
      <c r="I28" s="177">
        <f t="shared" si="4"/>
        <v>0</v>
      </c>
      <c r="J28" s="144" t="str">
        <f t="shared" si="5"/>
        <v>-</v>
      </c>
      <c r="K28" s="145">
        <f t="shared" si="6"/>
        <v>0</v>
      </c>
      <c r="L28" s="146" t="str">
        <f t="shared" si="7"/>
        <v>-</v>
      </c>
      <c r="O28" s="20" t="s">
        <v>62</v>
      </c>
    </row>
    <row r="29" spans="2:15" ht="21.2" customHeight="1">
      <c r="B29" s="260"/>
      <c r="C29" s="113" t="s">
        <v>45</v>
      </c>
      <c r="D29" s="219">
        <v>956</v>
      </c>
      <c r="E29" s="116">
        <v>0</v>
      </c>
      <c r="F29" s="116">
        <v>0</v>
      </c>
      <c r="G29" s="116">
        <v>0</v>
      </c>
      <c r="H29" s="116">
        <v>0</v>
      </c>
      <c r="I29" s="178">
        <f t="shared" si="4"/>
        <v>0</v>
      </c>
      <c r="J29" s="114" t="str">
        <f t="shared" si="5"/>
        <v>-</v>
      </c>
      <c r="K29" s="115">
        <f t="shared" si="6"/>
        <v>0</v>
      </c>
      <c r="L29" s="118" t="str">
        <f t="shared" si="7"/>
        <v>-</v>
      </c>
      <c r="O29" s="20" t="s">
        <v>62</v>
      </c>
    </row>
    <row r="30" spans="2:15" ht="21.2" customHeight="1">
      <c r="B30" s="260" t="s">
        <v>38</v>
      </c>
      <c r="C30" s="142" t="s">
        <v>31</v>
      </c>
      <c r="D30" s="220">
        <v>0</v>
      </c>
      <c r="E30" s="147">
        <v>0</v>
      </c>
      <c r="F30" s="147">
        <v>0</v>
      </c>
      <c r="G30" s="147">
        <v>0</v>
      </c>
      <c r="H30" s="147">
        <v>0</v>
      </c>
      <c r="I30" s="177">
        <f t="shared" si="4"/>
        <v>0</v>
      </c>
      <c r="J30" s="144" t="str">
        <f t="shared" si="5"/>
        <v>-</v>
      </c>
      <c r="K30" s="145">
        <f t="shared" si="6"/>
        <v>0</v>
      </c>
      <c r="L30" s="146" t="str">
        <f t="shared" si="7"/>
        <v>-</v>
      </c>
      <c r="O30" s="20" t="s">
        <v>63</v>
      </c>
    </row>
    <row r="31" spans="2:15" ht="21.2" customHeight="1">
      <c r="B31" s="260"/>
      <c r="C31" s="113" t="s">
        <v>32</v>
      </c>
      <c r="D31" s="219">
        <v>0</v>
      </c>
      <c r="E31" s="116">
        <v>0</v>
      </c>
      <c r="F31" s="116">
        <v>0</v>
      </c>
      <c r="G31" s="116">
        <v>0</v>
      </c>
      <c r="H31" s="116">
        <v>0</v>
      </c>
      <c r="I31" s="178">
        <f t="shared" si="4"/>
        <v>0</v>
      </c>
      <c r="J31" s="114" t="str">
        <f t="shared" si="5"/>
        <v>-</v>
      </c>
      <c r="K31" s="115">
        <f t="shared" si="6"/>
        <v>0</v>
      </c>
      <c r="L31" s="118" t="str">
        <f t="shared" si="7"/>
        <v>-</v>
      </c>
      <c r="O31" s="20" t="s">
        <v>64</v>
      </c>
    </row>
    <row r="32" spans="2:15" ht="21.2" customHeight="1">
      <c r="B32" s="260" t="s">
        <v>39</v>
      </c>
      <c r="C32" s="142" t="s">
        <v>31</v>
      </c>
      <c r="D32" s="220">
        <v>78522</v>
      </c>
      <c r="E32" s="143">
        <v>6657</v>
      </c>
      <c r="F32" s="143">
        <v>20542</v>
      </c>
      <c r="G32" s="143">
        <v>8303</v>
      </c>
      <c r="H32" s="143">
        <v>28232</v>
      </c>
      <c r="I32" s="177">
        <f t="shared" si="4"/>
        <v>1646</v>
      </c>
      <c r="J32" s="144">
        <f t="shared" si="5"/>
        <v>24.725852486104856</v>
      </c>
      <c r="K32" s="145">
        <f t="shared" si="6"/>
        <v>7690</v>
      </c>
      <c r="L32" s="146">
        <f t="shared" si="7"/>
        <v>37.435498004089197</v>
      </c>
      <c r="O32" s="20" t="s">
        <v>65</v>
      </c>
    </row>
    <row r="33" spans="2:15" ht="21.2" customHeight="1">
      <c r="B33" s="260"/>
      <c r="C33" s="113" t="s">
        <v>32</v>
      </c>
      <c r="D33" s="219">
        <v>1262971</v>
      </c>
      <c r="E33" s="180">
        <v>109738</v>
      </c>
      <c r="F33" s="180">
        <v>329060</v>
      </c>
      <c r="G33" s="180">
        <v>134564</v>
      </c>
      <c r="H33" s="180">
        <v>440323</v>
      </c>
      <c r="I33" s="178">
        <f t="shared" si="4"/>
        <v>24826</v>
      </c>
      <c r="J33" s="114">
        <f t="shared" si="5"/>
        <v>22.622974721609651</v>
      </c>
      <c r="K33" s="115">
        <f t="shared" si="6"/>
        <v>111263</v>
      </c>
      <c r="L33" s="118">
        <f t="shared" si="7"/>
        <v>33.812374642922265</v>
      </c>
      <c r="O33" s="20" t="s">
        <v>66</v>
      </c>
    </row>
    <row r="34" spans="2:15" ht="21.2" customHeight="1">
      <c r="B34" s="260" t="s">
        <v>40</v>
      </c>
      <c r="C34" s="142" t="s">
        <v>31</v>
      </c>
      <c r="D34" s="220">
        <v>144194</v>
      </c>
      <c r="E34" s="143">
        <v>11996</v>
      </c>
      <c r="F34" s="143">
        <v>42551</v>
      </c>
      <c r="G34" s="143">
        <v>15417</v>
      </c>
      <c r="H34" s="143">
        <v>53057</v>
      </c>
      <c r="I34" s="177">
        <f t="shared" si="4"/>
        <v>3421</v>
      </c>
      <c r="J34" s="144">
        <f t="shared" si="5"/>
        <v>28.517839279759926</v>
      </c>
      <c r="K34" s="145">
        <f t="shared" si="6"/>
        <v>10506</v>
      </c>
      <c r="L34" s="146">
        <f t="shared" si="7"/>
        <v>24.690371554135055</v>
      </c>
      <c r="O34" s="20" t="s">
        <v>67</v>
      </c>
    </row>
    <row r="35" spans="2:15" ht="21.2" customHeight="1">
      <c r="B35" s="260"/>
      <c r="C35" s="113" t="s">
        <v>32</v>
      </c>
      <c r="D35" s="219">
        <v>2071805</v>
      </c>
      <c r="E35" s="180">
        <v>173895</v>
      </c>
      <c r="F35" s="180">
        <v>632040</v>
      </c>
      <c r="G35" s="180">
        <v>210798</v>
      </c>
      <c r="H35" s="180">
        <v>762057</v>
      </c>
      <c r="I35" s="178">
        <f>IFERROR(G35-E35,"-")</f>
        <v>36903</v>
      </c>
      <c r="J35" s="114">
        <f t="shared" si="5"/>
        <v>21.221426723022518</v>
      </c>
      <c r="K35" s="115">
        <f t="shared" si="6"/>
        <v>130017</v>
      </c>
      <c r="L35" s="118">
        <f t="shared" si="7"/>
        <v>20.571008164040251</v>
      </c>
      <c r="O35" s="20" t="s">
        <v>68</v>
      </c>
    </row>
    <row r="36" spans="2:15" ht="21.2" customHeight="1">
      <c r="B36" s="260" t="s">
        <v>41</v>
      </c>
      <c r="C36" s="142" t="s">
        <v>31</v>
      </c>
      <c r="D36" s="220">
        <v>51128</v>
      </c>
      <c r="E36" s="143">
        <v>4051</v>
      </c>
      <c r="F36" s="143">
        <v>13037</v>
      </c>
      <c r="G36" s="143">
        <v>6273</v>
      </c>
      <c r="H36" s="143">
        <v>19822</v>
      </c>
      <c r="I36" s="177">
        <f t="shared" si="4"/>
        <v>2222</v>
      </c>
      <c r="J36" s="144">
        <f t="shared" si="5"/>
        <v>54.850654159466785</v>
      </c>
      <c r="K36" s="145">
        <f t="shared" si="6"/>
        <v>6785</v>
      </c>
      <c r="L36" s="146">
        <f t="shared" si="7"/>
        <v>52.044181943698703</v>
      </c>
      <c r="O36" s="20" t="s">
        <v>69</v>
      </c>
    </row>
    <row r="37" spans="2:15" ht="21.2" customHeight="1">
      <c r="B37" s="265"/>
      <c r="C37" s="119" t="s">
        <v>32</v>
      </c>
      <c r="D37" s="223">
        <v>747170</v>
      </c>
      <c r="E37" s="182">
        <v>60843</v>
      </c>
      <c r="F37" s="182">
        <v>208981</v>
      </c>
      <c r="G37" s="182">
        <v>87926</v>
      </c>
      <c r="H37" s="182">
        <v>273741</v>
      </c>
      <c r="I37" s="179">
        <f t="shared" si="4"/>
        <v>27083</v>
      </c>
      <c r="J37" s="120">
        <f t="shared" si="5"/>
        <v>44.512926713015474</v>
      </c>
      <c r="K37" s="121">
        <f t="shared" si="6"/>
        <v>64760</v>
      </c>
      <c r="L37" s="122">
        <f t="shared" si="7"/>
        <v>30.988463066020358</v>
      </c>
      <c r="O37" s="20" t="s">
        <v>70</v>
      </c>
    </row>
    <row r="38" spans="2:15" ht="21.2" customHeight="1">
      <c r="E38" s="20"/>
      <c r="H38" s="32"/>
    </row>
    <row r="39" spans="2:15" ht="21.2" customHeight="1">
      <c r="E39" s="20"/>
      <c r="H39" s="32"/>
    </row>
    <row r="40" spans="2:15">
      <c r="E40" s="20"/>
      <c r="H40" s="32"/>
    </row>
    <row r="41" spans="2:15">
      <c r="E41" s="20"/>
      <c r="H41" s="32"/>
    </row>
    <row r="42" spans="2:15">
      <c r="E42" s="20"/>
      <c r="H42" s="32"/>
    </row>
    <row r="43" spans="2:15">
      <c r="E43" s="20"/>
      <c r="H43" s="32"/>
    </row>
    <row r="44" spans="2:15">
      <c r="E44" s="20"/>
      <c r="H44" s="32"/>
    </row>
  </sheetData>
  <mergeCells count="21">
    <mergeCell ref="B22:B23"/>
    <mergeCell ref="B24:B25"/>
    <mergeCell ref="B26:B27"/>
    <mergeCell ref="B12:B13"/>
    <mergeCell ref="B14:B15"/>
    <mergeCell ref="B16:B17"/>
    <mergeCell ref="B18:B19"/>
    <mergeCell ref="B20:B21"/>
    <mergeCell ref="B28:B29"/>
    <mergeCell ref="B30:B31"/>
    <mergeCell ref="B32:B33"/>
    <mergeCell ref="B34:B35"/>
    <mergeCell ref="B36:B37"/>
    <mergeCell ref="B3:L3"/>
    <mergeCell ref="B6:B7"/>
    <mergeCell ref="B8:B9"/>
    <mergeCell ref="B10:B11"/>
    <mergeCell ref="I6:L6"/>
    <mergeCell ref="C6:C7"/>
    <mergeCell ref="G6:H6"/>
    <mergeCell ref="D6:F6"/>
  </mergeCells>
  <phoneticPr fontId="22" type="noConversion"/>
  <pageMargins left="0.74803149606299213" right="0.70866141732283472" top="0.98425196850393704" bottom="0.39370078740157483" header="0.27559055118110237" footer="0.27559055118110237"/>
  <pageSetup paperSize="9" scale="60" orientation="landscape" verticalDpi="597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통계요약</vt:lpstr>
      <vt:lpstr>연도별 수송실적</vt:lpstr>
      <vt:lpstr>컨테이너 재게</vt:lpstr>
      <vt:lpstr>'연도별 수송실적'!Print_Area</vt:lpstr>
      <vt:lpstr>통계요약!Print_Area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항만청</dc:creator>
  <cp:lastModifiedBy>MOF</cp:lastModifiedBy>
  <cp:lastPrinted>2023-11-01T07:56:07Z</cp:lastPrinted>
  <dcterms:created xsi:type="dcterms:W3CDTF">1998-03-31T03:01:22Z</dcterms:created>
  <dcterms:modified xsi:type="dcterms:W3CDTF">2025-06-10T05:57:03Z</dcterms:modified>
</cp:coreProperties>
</file>