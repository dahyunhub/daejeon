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(8월)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M25" i="32" l="1"/>
  <c r="M24" i="32"/>
  <c r="M11" i="32"/>
  <c r="M10" i="32"/>
  <c r="M26" i="32" l="1"/>
  <c r="M27" i="32"/>
  <c r="K26" i="32"/>
  <c r="K27" i="32"/>
  <c r="E4" i="32"/>
  <c r="I5" i="32" l="1"/>
  <c r="H5" i="32"/>
  <c r="I4" i="32"/>
  <c r="H4" i="32"/>
  <c r="G5" i="32"/>
  <c r="G4" i="32"/>
  <c r="F5" i="32"/>
  <c r="F4" i="32"/>
  <c r="L35" i="32"/>
  <c r="J35" i="32"/>
  <c r="L34" i="32"/>
  <c r="J34" i="32"/>
  <c r="J28" i="21" l="1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E5" i="32" l="1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<sst xmlns="http://schemas.openxmlformats.org/spreadsheetml/2006/main" count="160" uniqueCount="107">
  <si>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</si>
  <si>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</si>
  <si>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</si>
  <si>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</si>
  <si>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</si>
  <si>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</si>
  <si>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</si>
  <si>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</si>
  <si>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</si>
  <si>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</si>
  <si>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</si>
  <si>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</si>
  <si>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</si>
  <si>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</si>
  <si>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</si>
  <si>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</si>
  <si>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</si>
  <si>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</si>
  <si>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</si>
  <si>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</si>
  <si>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</si>
  <si>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</si>
  <si>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</si>
  <si>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</si>
  <si>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</si>
  <si>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</si>
  <si>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</si>
  <si>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</si>
  <si>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</si>
  <si>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</si>
  <si>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</si>
  <si>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</si>
  <si>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</si>
  <si>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</si>
  <si>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</si>
  <si>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</si>
  <si>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</si>
  <si>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</si>
  <si>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</si>
  <si>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</si>
  <si>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</si>
  <si>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</si>
  <si>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</si>
  <si>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</si>
  <si>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</si>
  <si>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</si>
  <si>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</si>
  <si>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</si>
  <si>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</si>
  <si>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</si>
  <si>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</si>
  <si>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</si>
  <si>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</si>
  <si>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</si>
  <si>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</si>
  <si>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</si>
  <si>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</si>
  <si>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</si>
  <si>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</si>
  <si>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</si>
  <si>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</si>
  <si>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</si>
  <si>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</si>
  <si>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</si>
  <si>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</si>
  <si>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</si>
  <si>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</si>
  <si>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</si>
  <si>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</si>
  <si>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</si>
  <si>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</si>
  <si>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</si>
  <si>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2021년도</t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</si>
  <si>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</si>
  <si>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</si>
  <si>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</si>
  <si>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</si>
  <si>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</si>
  <si>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</si>
  <si>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</si>
  <si>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</si>
  <si>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</si>
  <si>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</si>
  <si>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</si>
  <si>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</si>
  <si>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</si>
  <si>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</si>
  <si>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</si>
  <si>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</si>
  <si>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</si>
  <si>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</si>
  <si>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</si>
  <si>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</si>
  <si>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</si>
  <si>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</si>
  <si>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</si>
  <si>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</si>
  <si>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2022년도</t>
    <phoneticPr fontId="7" type="noConversion"/>
  </si>
  <si>
    <t>순증</t>
    <phoneticPr fontId="7" type="noConversion"/>
  </si>
  <si>
    <t>순증</t>
    <phoneticPr fontId="23" type="noConversion"/>
  </si>
  <si>
    <t>고대부두 8</t>
    <phoneticPr fontId="23" type="noConversion"/>
  </si>
  <si>
    <t>고대부두 8번선석</t>
    <phoneticPr fontId="23" type="noConversion"/>
  </si>
  <si>
    <t>(2022.8월분)</t>
    <phoneticPr fontId="7" type="noConversion"/>
  </si>
  <si>
    <t>8월(A)</t>
    <phoneticPr fontId="7" type="noConversion"/>
  </si>
  <si>
    <t>8월누계(B)</t>
    <phoneticPr fontId="7" type="noConversion"/>
  </si>
  <si>
    <t>8월(C)</t>
    <phoneticPr fontId="7" type="noConversion"/>
  </si>
  <si>
    <t>8월누계(D)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</si>
</sst>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</numFmts>
  <fonts count="38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32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83" fontId="25" fillId="0" borderId="12" xfId="0" applyNumberFormat="1" applyFont="1" applyBorder="1" applyAlignment="1">
      <alignment horizontal="right" vertical="center"/>
    </xf>
    <xf numFmtId="183" fontId="33" fillId="0" borderId="23" xfId="0" applyNumberFormat="1" applyFont="1" applyBorder="1" applyAlignment="1">
      <alignment horizontal="right" vertical="center"/>
    </xf>
    <xf numFmtId="183" fontId="25" fillId="0" borderId="12" xfId="0" applyNumberFormat="1" applyFont="1" applyBorder="1" applyAlignment="1">
      <alignment horizontal="right" vertical="center" shrinkToFit="1"/>
    </xf>
    <xf numFmtId="183" fontId="33" fillId="0" borderId="23" xfId="0" applyNumberFormat="1" applyFont="1" applyBorder="1" applyAlignment="1">
      <alignment horizontal="right" vertical="center" shrinkToFit="1"/>
    </xf>
    <xf numFmtId="176" fontId="35" fillId="0" borderId="23" xfId="15" applyFont="1" applyBorder="1" applyAlignment="1">
      <alignment horizontal="right" vertical="center" shrinkToFit="1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3" fontId="25" fillId="0" borderId="12" xfId="17" applyNumberFormat="1" applyFont="1" applyBorder="1" applyAlignment="1">
      <alignment vertical="center" shrinkToFit="1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41" fontId="25" fillId="0" borderId="7" xfId="17" applyNumberFormat="1" applyFont="1" applyBorder="1" applyAlignment="1">
      <alignment vertical="center" shrinkToFit="1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0" fontId="24" fillId="5" borderId="16" xfId="17" applyFont="1" applyFill="1" applyBorder="1" applyAlignment="1">
      <alignment horizontal="center" vertical="center"/>
    </xf>
    <xf numFmtId="183" fontId="25" fillId="0" borderId="16" xfId="17" applyNumberFormat="1" applyFont="1" applyBorder="1" applyAlignment="1">
      <alignment vertical="center" shrinkToFit="1"/>
    </xf>
    <xf numFmtId="185" fontId="14" fillId="5" borderId="16" xfId="17" applyNumberFormat="1" applyFont="1" applyFill="1" applyBorder="1" applyAlignment="1">
      <alignment horizontal="right" vertical="center" shrinkToFit="1"/>
    </xf>
    <xf numFmtId="176" fontId="17" fillId="5" borderId="16" xfId="17" applyNumberFormat="1" applyFont="1" applyFill="1" applyBorder="1" applyAlignment="1">
      <alignment horizontal="right" vertical="center" shrinkToFit="1"/>
    </xf>
    <xf numFmtId="41" fontId="25" fillId="0" borderId="12" xfId="17" applyNumberFormat="1" applyFont="1" applyBorder="1" applyAlignment="1">
      <alignment vertical="center" shrinkToFit="1"/>
    </xf>
    <xf numFmtId="182" fontId="35" fillId="0" borderId="12" xfId="0" applyNumberFormat="1" applyFont="1" applyBorder="1" applyAlignment="1">
      <alignment horizontal="right" vertical="center"/>
    </xf>
    <xf numFmtId="41" fontId="24" fillId="0" borderId="7" xfId="17" applyNumberFormat="1" applyFont="1" applyBorder="1" applyAlignment="1">
      <alignment horizontal="right" vertical="center" shrinkToFit="1"/>
    </xf>
    <xf numFmtId="41" fontId="24" fillId="0" borderId="14" xfId="17" applyNumberFormat="1" applyFont="1" applyBorder="1" applyAlignment="1">
      <alignment horizontal="right" vertical="center" shrinkToFit="1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8" fontId="13" fillId="0" borderId="4" xfId="0" applyNumberFormat="1" applyFont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183" fontId="25" fillId="0" borderId="1" xfId="17" applyNumberFormat="1" applyFont="1" applyBorder="1" applyAlignment="1">
      <alignment vertical="center" shrinkToFit="1"/>
    </xf>
    <xf numFmtId="0" fontId="24" fillId="4" borderId="1" xfId="17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5" fillId="0" borderId="11" xfId="17" applyFont="1" applyBorder="1" applyAlignment="1">
      <alignment horizontal="center" vertical="center"/>
    </xf>
    <xf numFmtId="0" fontId="25" fillId="0" borderId="16" xfId="17" applyFont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27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 3 2" xfId="21"/>
    <cellStyle name="표준 3 2 2" xfId="26"/>
    <cellStyle name="표준 3 2 3" xfId="24"/>
    <cellStyle name="표준 3 3" xfId="25"/>
    <cellStyle name="표준 3 4" xfId="23"/>
    <cellStyle name="표준 4" xfId="22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77081219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77782343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37528448"/>
        <c:axId val="137529984"/>
        <c:axId val="0"/>
      </c:bar3DChart>
      <c:catAx>
        <c:axId val="137528448"/>
        <c:scaling>
          <c:orientation val="minMax"/>
        </c:scaling>
        <c:delete val="1"/>
        <c:axPos val="b"/>
        <c:majorTickMark val="out"/>
        <c:minorTickMark val="none"/>
        <c:tickLblPos val="none"/>
        <c:crossAx val="137529984"/>
        <c:crosses val="autoZero"/>
        <c:auto val="1"/>
        <c:lblAlgn val="ctr"/>
        <c:lblOffset val="100"/>
        <c:noMultiLvlLbl val="0"/>
      </c:catAx>
      <c:valAx>
        <c:axId val="137529984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7528448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615748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591026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37989120"/>
        <c:axId val="138003200"/>
        <c:axId val="0"/>
      </c:bar3DChart>
      <c:catAx>
        <c:axId val="137989120"/>
        <c:scaling>
          <c:orientation val="minMax"/>
        </c:scaling>
        <c:delete val="1"/>
        <c:axPos val="b"/>
        <c:majorTickMark val="out"/>
        <c:minorTickMark val="none"/>
        <c:tickLblPos val="none"/>
        <c:crossAx val="138003200"/>
        <c:crosses val="autoZero"/>
        <c:auto val="1"/>
        <c:lblAlgn val="ctr"/>
        <c:lblOffset val="100"/>
        <c:noMultiLvlLbl val="0"/>
      </c:catAx>
      <c:valAx>
        <c:axId val="138003200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7989120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22.08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116876</c:v>
                </c:pt>
                <c:pt idx="5" formatCode="#,###,">
                  <c:v>77782343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54112"/>
        <c:axId val="137756032"/>
      </c:lineChart>
      <c:catAx>
        <c:axId val="137754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7756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7560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77541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22.08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591026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30464"/>
        <c:axId val="138049024"/>
      </c:lineChart>
      <c:catAx>
        <c:axId val="13803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049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0490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0304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22.08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83328"/>
        <c:axId val="138085504"/>
      </c:lineChart>
      <c:catAx>
        <c:axId val="1380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085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0855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0833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22.08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11315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14560"/>
        <c:axId val="138116480"/>
      </c:lineChart>
      <c:catAx>
        <c:axId val="13811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116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116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11456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22.08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11315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32864"/>
        <c:axId val="138147328"/>
      </c:lineChart>
      <c:catAx>
        <c:axId val="13813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147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1473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381328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="" xmlns:a16="http://schemas.microsoft.com/office/drawing/2014/main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="" xmlns:a16="http://schemas.microsoft.com/office/drawing/2014/main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89"/>
      <c r="M1" s="189"/>
    </row>
    <row r="2" spans="2:15" ht="33" customHeight="1">
      <c r="B2" s="199" t="s">
        <v>49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pans="2:15" ht="27.75" customHeight="1">
      <c r="B3" s="201" t="s">
        <v>102</v>
      </c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</row>
    <row r="4" spans="2:15" ht="21.2" customHeight="1" thickBot="1">
      <c r="B4" s="172" t="s">
        <v>71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</row>
    <row r="5" spans="2:15" ht="21.2" customHeight="1">
      <c r="B5" s="193" t="s">
        <v>7</v>
      </c>
      <c r="C5" s="194"/>
      <c r="D5" s="195"/>
      <c r="E5" s="35"/>
      <c r="F5" s="191" t="s">
        <v>72</v>
      </c>
      <c r="G5" s="202"/>
      <c r="H5" s="185" t="s">
        <v>97</v>
      </c>
      <c r="I5" s="185"/>
      <c r="J5" s="190" t="s">
        <v>15</v>
      </c>
      <c r="K5" s="191"/>
      <c r="L5" s="191"/>
      <c r="M5" s="192"/>
    </row>
    <row r="6" spans="2:15" ht="20.25" customHeight="1">
      <c r="B6" s="196"/>
      <c r="C6" s="197"/>
      <c r="D6" s="198"/>
      <c r="E6" s="36" t="s">
        <v>11</v>
      </c>
      <c r="F6" s="118" t="s">
        <v>103</v>
      </c>
      <c r="G6" s="37" t="s">
        <v>104</v>
      </c>
      <c r="H6" s="118" t="s">
        <v>105</v>
      </c>
      <c r="I6" s="119" t="s">
        <v>106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177" t="s">
        <v>21</v>
      </c>
      <c r="C7" s="180" t="s">
        <v>12</v>
      </c>
      <c r="D7" s="181"/>
      <c r="E7" s="13">
        <f>SUM(E8:E9)</f>
        <v>16470</v>
      </c>
      <c r="F7" s="13">
        <f>SUM(F8:F9)</f>
        <v>1345</v>
      </c>
      <c r="G7" s="13">
        <f>SUM(G8:G9)</f>
        <v>11053</v>
      </c>
      <c r="H7" s="13">
        <f>SUM(H8:H9)</f>
        <v>1423</v>
      </c>
      <c r="I7" s="13">
        <f>SUM(I8:I9)</f>
        <v>11315</v>
      </c>
      <c r="J7" s="13">
        <f>H7-F7</f>
        <v>78</v>
      </c>
      <c r="K7" s="16">
        <f>H7/F7</f>
        <v>1.057992565055762</v>
      </c>
      <c r="L7" s="14">
        <f>I7-G7</f>
        <v>262</v>
      </c>
      <c r="M7" s="24">
        <f>I7/G7</f>
        <v>1.0237039717723695</v>
      </c>
    </row>
    <row r="8" spans="2:15" ht="19.5" customHeight="1">
      <c r="B8" s="178"/>
      <c r="C8" s="168" t="s">
        <v>9</v>
      </c>
      <c r="D8" s="169"/>
      <c r="E8" s="20">
        <v>10091</v>
      </c>
      <c r="F8" s="157">
        <v>818</v>
      </c>
      <c r="G8" s="158">
        <v>6709</v>
      </c>
      <c r="H8" s="157">
        <v>869</v>
      </c>
      <c r="I8" s="157">
        <v>6800</v>
      </c>
      <c r="J8" s="4">
        <f t="shared" ref="J8:J28" si="0">H8-F8</f>
        <v>51</v>
      </c>
      <c r="K8" s="18">
        <f t="shared" ref="K8:K28" si="1">H8/F8</f>
        <v>1.0623471882640587</v>
      </c>
      <c r="L8" s="19">
        <f t="shared" ref="L8:L28" si="2">I8-G8</f>
        <v>91</v>
      </c>
      <c r="M8" s="25">
        <f t="shared" ref="M8:M28" si="3">I8/G8</f>
        <v>1.0135638694291251</v>
      </c>
    </row>
    <row r="9" spans="2:15" ht="19.5" customHeight="1">
      <c r="B9" s="179"/>
      <c r="C9" s="170" t="s">
        <v>10</v>
      </c>
      <c r="D9" s="171"/>
      <c r="E9" s="21">
        <v>6379</v>
      </c>
      <c r="F9" s="158">
        <v>527</v>
      </c>
      <c r="G9" s="158">
        <v>4344</v>
      </c>
      <c r="H9" s="158">
        <v>554</v>
      </c>
      <c r="I9" s="158">
        <v>4515</v>
      </c>
      <c r="J9" s="21">
        <f t="shared" si="0"/>
        <v>27</v>
      </c>
      <c r="K9" s="22">
        <f t="shared" si="1"/>
        <v>1.0512333965844403</v>
      </c>
      <c r="L9" s="23">
        <f t="shared" si="2"/>
        <v>171</v>
      </c>
      <c r="M9" s="26">
        <f t="shared" si="3"/>
        <v>1.0393646408839778</v>
      </c>
    </row>
    <row r="10" spans="2:15" ht="21.2" customHeight="1">
      <c r="B10" s="177" t="s">
        <v>22</v>
      </c>
      <c r="C10" s="180" t="s">
        <v>8</v>
      </c>
      <c r="D10" s="181"/>
      <c r="E10" s="41">
        <f>E11+E15</f>
        <v>116876152</v>
      </c>
      <c r="F10" s="41">
        <f>F11+F15</f>
        <v>9500218</v>
      </c>
      <c r="G10" s="41">
        <f>G11+G15</f>
        <v>77081219</v>
      </c>
      <c r="H10" s="41">
        <f>H11+H15</f>
        <v>9743180</v>
      </c>
      <c r="I10" s="41">
        <f>I11+I15</f>
        <v>77782343</v>
      </c>
      <c r="J10" s="41">
        <f t="shared" si="0"/>
        <v>242962</v>
      </c>
      <c r="K10" s="16">
        <f t="shared" si="1"/>
        <v>1.0255743605041485</v>
      </c>
      <c r="L10" s="142">
        <f>I10-G10</f>
        <v>701124</v>
      </c>
      <c r="M10" s="24">
        <f t="shared" si="3"/>
        <v>1.0090959121961991</v>
      </c>
    </row>
    <row r="11" spans="2:15" ht="19.5" customHeight="1">
      <c r="B11" s="178"/>
      <c r="C11" s="174" t="s">
        <v>1</v>
      </c>
      <c r="D11" s="83" t="s">
        <v>0</v>
      </c>
      <c r="E11" s="79">
        <f>SUM(E12:E14)</f>
        <v>104967519</v>
      </c>
      <c r="F11" s="79">
        <f>SUM(F12:F14)</f>
        <v>8419086</v>
      </c>
      <c r="G11" s="79">
        <f>SUM(G12:G14)</f>
        <v>69097566</v>
      </c>
      <c r="H11" s="79">
        <f>SUM(H12:H14)</f>
        <v>8770769</v>
      </c>
      <c r="I11" s="79">
        <f>SUM(I12:I14)</f>
        <v>69596728</v>
      </c>
      <c r="J11" s="137">
        <f>H11-F11</f>
        <v>351683</v>
      </c>
      <c r="K11" s="80">
        <f t="shared" si="1"/>
        <v>1.0417721116045138</v>
      </c>
      <c r="L11" s="139">
        <f>I11-G11</f>
        <v>499162</v>
      </c>
      <c r="M11" s="81">
        <f t="shared" si="3"/>
        <v>1.0072240171238449</v>
      </c>
    </row>
    <row r="12" spans="2:15" ht="19.5" customHeight="1">
      <c r="B12" s="178"/>
      <c r="C12" s="175"/>
      <c r="D12" s="5" t="s">
        <v>5</v>
      </c>
      <c r="E12" s="42">
        <v>84583157</v>
      </c>
      <c r="F12" s="159">
        <v>6812410</v>
      </c>
      <c r="G12" s="159">
        <v>55244935</v>
      </c>
      <c r="H12" s="159">
        <v>7260189</v>
      </c>
      <c r="I12" s="159">
        <v>56302934</v>
      </c>
      <c r="J12" s="135">
        <f t="shared" si="0"/>
        <v>447779</v>
      </c>
      <c r="K12" s="18">
        <f t="shared" si="1"/>
        <v>1.0657298958811934</v>
      </c>
      <c r="L12" s="140">
        <f t="shared" si="2"/>
        <v>1057999</v>
      </c>
      <c r="M12" s="25">
        <f t="shared" si="3"/>
        <v>1.0191510588255739</v>
      </c>
      <c r="O12" s="134"/>
    </row>
    <row r="13" spans="2:15" ht="19.5" customHeight="1">
      <c r="B13" s="178"/>
      <c r="C13" s="175"/>
      <c r="D13" s="5" t="s">
        <v>6</v>
      </c>
      <c r="E13" s="42">
        <v>15412892</v>
      </c>
      <c r="F13" s="159">
        <v>1172312</v>
      </c>
      <c r="G13" s="159">
        <v>10435493</v>
      </c>
      <c r="H13" s="159">
        <v>1227718</v>
      </c>
      <c r="I13" s="159">
        <v>10672842</v>
      </c>
      <c r="J13" s="135">
        <f t="shared" si="0"/>
        <v>55406</v>
      </c>
      <c r="K13" s="18">
        <f t="shared" si="1"/>
        <v>1.0472621622912672</v>
      </c>
      <c r="L13" s="140">
        <f t="shared" si="2"/>
        <v>237349</v>
      </c>
      <c r="M13" s="25">
        <f t="shared" si="3"/>
        <v>1.0227443974137111</v>
      </c>
    </row>
    <row r="14" spans="2:15" ht="19.5" customHeight="1">
      <c r="B14" s="178"/>
      <c r="C14" s="176"/>
      <c r="D14" s="5" t="s">
        <v>13</v>
      </c>
      <c r="E14" s="42">
        <v>4971470</v>
      </c>
      <c r="F14" s="159">
        <v>434364</v>
      </c>
      <c r="G14" s="159">
        <v>3417138</v>
      </c>
      <c r="H14" s="160">
        <v>282862</v>
      </c>
      <c r="I14" s="159">
        <v>2620952</v>
      </c>
      <c r="J14" s="135">
        <f t="shared" si="0"/>
        <v>-151502</v>
      </c>
      <c r="K14" s="18">
        <f>H14/F14</f>
        <v>0.65120958458804135</v>
      </c>
      <c r="L14" s="140">
        <f t="shared" si="2"/>
        <v>-796186</v>
      </c>
      <c r="M14" s="25">
        <f t="shared" si="3"/>
        <v>0.76700209356484872</v>
      </c>
    </row>
    <row r="15" spans="2:15" ht="19.5" customHeight="1">
      <c r="B15" s="178"/>
      <c r="C15" s="186" t="s">
        <v>2</v>
      </c>
      <c r="D15" s="82" t="s">
        <v>0</v>
      </c>
      <c r="E15" s="76">
        <f>SUM(E16:E18)</f>
        <v>11908633</v>
      </c>
      <c r="F15" s="76">
        <f>SUM(F16:F18)</f>
        <v>1081132</v>
      </c>
      <c r="G15" s="76">
        <f>SUM(G16:G18)</f>
        <v>7983653</v>
      </c>
      <c r="H15" s="76">
        <f>SUM(H16:H18)</f>
        <v>972411</v>
      </c>
      <c r="I15" s="76">
        <f>SUM(I16:I18)</f>
        <v>8185615</v>
      </c>
      <c r="J15" s="138">
        <f t="shared" si="0"/>
        <v>-108721</v>
      </c>
      <c r="K15" s="77">
        <f t="shared" si="1"/>
        <v>0.89943781147907931</v>
      </c>
      <c r="L15" s="141">
        <f t="shared" si="2"/>
        <v>201962</v>
      </c>
      <c r="M15" s="78">
        <f t="shared" si="3"/>
        <v>1.025296941137096</v>
      </c>
    </row>
    <row r="16" spans="2:15" ht="19.5" customHeight="1">
      <c r="B16" s="178"/>
      <c r="C16" s="187"/>
      <c r="D16" s="5" t="s">
        <v>3</v>
      </c>
      <c r="E16" s="42">
        <v>8645260</v>
      </c>
      <c r="F16" s="161">
        <v>769775</v>
      </c>
      <c r="G16" s="161">
        <v>5734038</v>
      </c>
      <c r="H16" s="161">
        <v>741831</v>
      </c>
      <c r="I16" s="161">
        <v>5584167</v>
      </c>
      <c r="J16" s="136">
        <f t="shared" si="0"/>
        <v>-27944</v>
      </c>
      <c r="K16" s="18">
        <f t="shared" si="1"/>
        <v>0.96369848332304897</v>
      </c>
      <c r="L16" s="140">
        <f t="shared" si="2"/>
        <v>-149871</v>
      </c>
      <c r="M16" s="25">
        <f t="shared" si="3"/>
        <v>0.9738629217315965</v>
      </c>
    </row>
    <row r="17" spans="1:13" ht="19.5" customHeight="1">
      <c r="B17" s="178"/>
      <c r="C17" s="187"/>
      <c r="D17" s="6" t="s">
        <v>4</v>
      </c>
      <c r="E17" s="43">
        <v>3263373</v>
      </c>
      <c r="F17" s="162">
        <v>311357</v>
      </c>
      <c r="G17" s="162">
        <v>2249615</v>
      </c>
      <c r="H17" s="162">
        <v>230580</v>
      </c>
      <c r="I17" s="162">
        <v>2541451</v>
      </c>
      <c r="J17" s="136">
        <f t="shared" si="0"/>
        <v>-80777</v>
      </c>
      <c r="K17" s="18">
        <f t="shared" si="1"/>
        <v>0.74056468940797859</v>
      </c>
      <c r="L17" s="140">
        <f t="shared" si="2"/>
        <v>291836</v>
      </c>
      <c r="M17" s="25">
        <f t="shared" si="3"/>
        <v>1.1297270866348241</v>
      </c>
    </row>
    <row r="18" spans="1:13" ht="19.5" customHeight="1">
      <c r="B18" s="179"/>
      <c r="C18" s="188"/>
      <c r="D18" s="6" t="s">
        <v>17</v>
      </c>
      <c r="E18" s="85">
        <v>0</v>
      </c>
      <c r="F18" s="163">
        <v>0</v>
      </c>
      <c r="G18" s="163">
        <v>0</v>
      </c>
      <c r="H18" s="163">
        <v>0</v>
      </c>
      <c r="I18" s="162">
        <v>59997</v>
      </c>
      <c r="J18" s="85">
        <v>0</v>
      </c>
      <c r="K18" s="85">
        <v>0</v>
      </c>
      <c r="L18" s="140">
        <f t="shared" si="2"/>
        <v>59997</v>
      </c>
      <c r="M18" s="25" t="s">
        <v>98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182" t="s">
        <v>23</v>
      </c>
      <c r="L19" s="183"/>
      <c r="M19" s="184"/>
    </row>
    <row r="20" spans="1:13" ht="21.2" customHeight="1">
      <c r="B20" s="144"/>
      <c r="C20" s="180" t="s">
        <v>8</v>
      </c>
      <c r="D20" s="181"/>
      <c r="E20" s="89">
        <f>SUM(E21,E25)</f>
        <v>936246</v>
      </c>
      <c r="F20" s="3">
        <f>SUM(F21,F25)</f>
        <v>82960</v>
      </c>
      <c r="G20" s="3">
        <f>SUM(G21,G25)</f>
        <v>615748</v>
      </c>
      <c r="H20" s="89">
        <f>SUM(H21,H25)</f>
        <v>72854</v>
      </c>
      <c r="I20" s="89">
        <f>SUM(I21,I25)</f>
        <v>591026</v>
      </c>
      <c r="J20" s="90">
        <f t="shared" si="0"/>
        <v>-10106</v>
      </c>
      <c r="K20" s="91">
        <f t="shared" si="1"/>
        <v>0.87818225650916104</v>
      </c>
      <c r="L20" s="92">
        <f t="shared" si="2"/>
        <v>-24722</v>
      </c>
      <c r="M20" s="24">
        <f>I20/G20</f>
        <v>0.95985045830437132</v>
      </c>
    </row>
    <row r="21" spans="1:13" ht="19.5" customHeight="1">
      <c r="B21" s="145"/>
      <c r="C21" s="167" t="s">
        <v>1</v>
      </c>
      <c r="D21" s="84" t="s">
        <v>0</v>
      </c>
      <c r="E21" s="85">
        <f>SUM(E22:E24)</f>
        <v>936246</v>
      </c>
      <c r="F21" s="85">
        <f>SUM(F22:F24)</f>
        <v>82960</v>
      </c>
      <c r="G21" s="85">
        <f>SUM(G22:G24)</f>
        <v>615748</v>
      </c>
      <c r="H21" s="85">
        <f>SUM(H22:H24)</f>
        <v>72854</v>
      </c>
      <c r="I21" s="85">
        <f>SUM(I22:I24)</f>
        <v>591026</v>
      </c>
      <c r="J21" s="86">
        <f t="shared" si="0"/>
        <v>-10106</v>
      </c>
      <c r="K21" s="87">
        <f t="shared" si="1"/>
        <v>0.87818225650916104</v>
      </c>
      <c r="L21" s="88">
        <f t="shared" si="2"/>
        <v>-24722</v>
      </c>
      <c r="M21" s="81">
        <f t="shared" si="3"/>
        <v>0.95985045830437132</v>
      </c>
    </row>
    <row r="22" spans="1:13" ht="19.5" customHeight="1">
      <c r="B22" s="146" t="s">
        <v>19</v>
      </c>
      <c r="C22" s="167"/>
      <c r="D22" s="46" t="s">
        <v>5</v>
      </c>
      <c r="E22" s="123">
        <v>467367</v>
      </c>
      <c r="F22" s="164">
        <v>41691</v>
      </c>
      <c r="G22" s="48">
        <v>307106</v>
      </c>
      <c r="H22" s="48">
        <v>35810</v>
      </c>
      <c r="I22" s="48">
        <v>288630</v>
      </c>
      <c r="J22" s="133">
        <f t="shared" si="0"/>
        <v>-5881</v>
      </c>
      <c r="K22" s="45">
        <f t="shared" si="1"/>
        <v>0.85893837998608813</v>
      </c>
      <c r="L22" s="23">
        <f t="shared" si="2"/>
        <v>-18476</v>
      </c>
      <c r="M22" s="25">
        <f t="shared" si="3"/>
        <v>0.93983836199878867</v>
      </c>
    </row>
    <row r="23" spans="1:13" ht="19.5" customHeight="1">
      <c r="B23" s="146" t="s">
        <v>20</v>
      </c>
      <c r="C23" s="167"/>
      <c r="D23" s="2" t="s">
        <v>14</v>
      </c>
      <c r="E23" s="123">
        <v>457531</v>
      </c>
      <c r="F23" s="164">
        <v>40689</v>
      </c>
      <c r="G23" s="48">
        <v>300705</v>
      </c>
      <c r="H23" s="48">
        <v>35746</v>
      </c>
      <c r="I23" s="48">
        <v>288779</v>
      </c>
      <c r="J23" s="133">
        <f t="shared" si="0"/>
        <v>-4943</v>
      </c>
      <c r="K23" s="45">
        <f t="shared" si="1"/>
        <v>0.87851753545184197</v>
      </c>
      <c r="L23" s="19">
        <f t="shared" si="2"/>
        <v>-11926</v>
      </c>
      <c r="M23" s="25">
        <f t="shared" si="3"/>
        <v>0.96033986797692095</v>
      </c>
    </row>
    <row r="24" spans="1:13" ht="19.5" customHeight="1">
      <c r="B24" s="147"/>
      <c r="C24" s="167"/>
      <c r="D24" s="2" t="s">
        <v>13</v>
      </c>
      <c r="E24" s="123">
        <v>11348</v>
      </c>
      <c r="F24" s="164">
        <v>580</v>
      </c>
      <c r="G24" s="48">
        <v>7937</v>
      </c>
      <c r="H24" s="48">
        <v>1298</v>
      </c>
      <c r="I24" s="48">
        <v>13617</v>
      </c>
      <c r="J24" s="133">
        <f t="shared" si="0"/>
        <v>718</v>
      </c>
      <c r="K24" s="45">
        <f t="shared" si="1"/>
        <v>2.2379310344827585</v>
      </c>
      <c r="L24" s="19">
        <f t="shared" si="2"/>
        <v>5680</v>
      </c>
      <c r="M24" s="25">
        <f t="shared" si="3"/>
        <v>1.7156356305909033</v>
      </c>
    </row>
    <row r="25" spans="1:13" ht="19.5" customHeight="1">
      <c r="B25" s="145"/>
      <c r="C25" s="205" t="s">
        <v>2</v>
      </c>
      <c r="D25" s="84" t="s">
        <v>69</v>
      </c>
      <c r="E25" s="85">
        <f>SUM(E26:E27)</f>
        <v>0</v>
      </c>
      <c r="F25" s="85">
        <f>SUM(F26:F27)</f>
        <v>0</v>
      </c>
      <c r="G25" s="85">
        <f>SUM(G26:G27)</f>
        <v>0</v>
      </c>
      <c r="H25" s="85">
        <v>0</v>
      </c>
      <c r="I25" s="85">
        <f>SUM(I26:I27)</f>
        <v>0</v>
      </c>
      <c r="J25" s="86">
        <f t="shared" si="0"/>
        <v>0</v>
      </c>
      <c r="K25" s="85">
        <v>0</v>
      </c>
      <c r="L25" s="19">
        <f t="shared" si="2"/>
        <v>0</v>
      </c>
      <c r="M25" s="85">
        <v>0</v>
      </c>
    </row>
    <row r="26" spans="1:13" ht="19.5" customHeight="1">
      <c r="B26" s="145"/>
      <c r="C26" s="205"/>
      <c r="D26" s="84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6">
        <f t="shared" si="0"/>
        <v>0</v>
      </c>
      <c r="K26" s="85">
        <v>0</v>
      </c>
      <c r="L26" s="19">
        <f t="shared" si="2"/>
        <v>0</v>
      </c>
      <c r="M26" s="85">
        <v>0</v>
      </c>
    </row>
    <row r="27" spans="1:13" ht="19.5" customHeight="1">
      <c r="B27" s="148"/>
      <c r="C27" s="205"/>
      <c r="D27" s="84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6">
        <f t="shared" si="0"/>
        <v>0</v>
      </c>
      <c r="K27" s="85">
        <v>0</v>
      </c>
      <c r="L27" s="19">
        <f t="shared" si="2"/>
        <v>0</v>
      </c>
      <c r="M27" s="85">
        <v>0</v>
      </c>
    </row>
    <row r="28" spans="1:13" s="103" customFormat="1" ht="21.2" customHeight="1" thickBot="1">
      <c r="B28" s="206" t="s">
        <v>67</v>
      </c>
      <c r="C28" s="207"/>
      <c r="D28" s="208"/>
      <c r="E28" s="104">
        <v>1429401</v>
      </c>
      <c r="F28" s="104">
        <v>104403</v>
      </c>
      <c r="G28" s="104">
        <v>969394</v>
      </c>
      <c r="H28" s="104">
        <v>140421</v>
      </c>
      <c r="I28" s="104">
        <v>1080150</v>
      </c>
      <c r="J28" s="105">
        <f t="shared" si="0"/>
        <v>36018</v>
      </c>
      <c r="K28" s="106">
        <f t="shared" si="1"/>
        <v>1.3449900864917674</v>
      </c>
      <c r="L28" s="107">
        <f t="shared" si="2"/>
        <v>110756</v>
      </c>
      <c r="M28" s="108">
        <f t="shared" si="3"/>
        <v>1.1142528218660317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211" customFormat="1" ht="18.75" customHeight="1">
      <c r="A30" s="211" t="s">
        <v>27</v>
      </c>
    </row>
    <row r="31" spans="1:13" s="47" customFormat="1" ht="21.2" customHeight="1">
      <c r="B31" s="210" t="s">
        <v>24</v>
      </c>
      <c r="C31" s="210"/>
      <c r="D31" s="101"/>
      <c r="E31" s="101"/>
      <c r="F31" s="101"/>
      <c r="G31" s="101"/>
      <c r="H31" s="210" t="s">
        <v>25</v>
      </c>
      <c r="I31" s="210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09" customFormat="1" ht="24" customHeight="1"/>
    <row r="41" spans="2:13" ht="19.5" customHeight="1">
      <c r="B41" s="203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</row>
    <row r="42" spans="2:13" ht="19.5" customHeight="1">
      <c r="B42" s="203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P7" sqref="P7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111"/>
      <c r="E2" s="111"/>
      <c r="F2" s="212" t="s">
        <v>70</v>
      </c>
      <c r="G2" s="212"/>
      <c r="H2"/>
      <c r="I2"/>
      <c r="J2"/>
      <c r="K2" s="111"/>
      <c r="L2" s="111"/>
      <c r="M2" s="212" t="s">
        <v>29</v>
      </c>
      <c r="N2" s="212"/>
    </row>
    <row r="3" spans="1:27" s="52" customFormat="1" ht="32.25" customHeight="1">
      <c r="A3" s="53" t="s">
        <v>30</v>
      </c>
      <c r="B3" s="54">
        <v>17</v>
      </c>
      <c r="C3" s="54">
        <v>18</v>
      </c>
      <c r="D3" s="54">
        <v>19</v>
      </c>
      <c r="E3" s="54">
        <v>20</v>
      </c>
      <c r="F3" s="54">
        <v>21</v>
      </c>
      <c r="G3" s="121">
        <v>22.08</v>
      </c>
      <c r="H3" s="55" t="s">
        <v>30</v>
      </c>
      <c r="I3" s="54">
        <v>17</v>
      </c>
      <c r="J3" s="54">
        <v>18</v>
      </c>
      <c r="K3" s="54">
        <v>19</v>
      </c>
      <c r="L3" s="54">
        <v>20</v>
      </c>
      <c r="M3" s="54">
        <v>21</v>
      </c>
      <c r="N3" s="122">
        <f>$G$3</f>
        <v>22.08</v>
      </c>
    </row>
    <row r="4" spans="1:27" s="52" customFormat="1" ht="39.200000000000003" customHeight="1" thickBot="1">
      <c r="A4" s="74" t="s">
        <v>31</v>
      </c>
      <c r="B4" s="113">
        <v>19440</v>
      </c>
      <c r="C4" s="113">
        <v>18829</v>
      </c>
      <c r="D4" s="113">
        <v>18416</v>
      </c>
      <c r="E4" s="113">
        <v>17326</v>
      </c>
      <c r="F4" s="113">
        <v>16412</v>
      </c>
      <c r="G4" s="114">
        <f>통계요약!I7</f>
        <v>11315</v>
      </c>
      <c r="H4" s="74" t="s">
        <v>32</v>
      </c>
      <c r="I4" s="113">
        <v>112491</v>
      </c>
      <c r="J4" s="113">
        <v>115147</v>
      </c>
      <c r="K4" s="113">
        <v>113201</v>
      </c>
      <c r="L4" s="113">
        <v>106845</v>
      </c>
      <c r="M4" s="113">
        <v>116876</v>
      </c>
      <c r="N4" s="154">
        <f>통계요약!I10</f>
        <v>77782343</v>
      </c>
    </row>
    <row r="5" spans="1:27" s="52" customFormat="1" ht="30.2" customHeight="1" thickBot="1">
      <c r="A5"/>
      <c r="B5"/>
      <c r="C5"/>
      <c r="D5" s="111"/>
      <c r="E5" s="111"/>
      <c r="F5" s="213" t="s">
        <v>33</v>
      </c>
      <c r="G5" s="213"/>
      <c r="H5" s="56"/>
      <c r="I5" s="57"/>
      <c r="J5" s="57"/>
      <c r="K5" s="111"/>
      <c r="L5" s="111"/>
      <c r="M5" s="213" t="s">
        <v>34</v>
      </c>
      <c r="N5" s="213"/>
    </row>
    <row r="6" spans="1:27" s="52" customFormat="1" ht="32.25" customHeight="1">
      <c r="A6" s="53" t="s">
        <v>30</v>
      </c>
      <c r="B6" s="54">
        <v>17</v>
      </c>
      <c r="C6" s="54">
        <v>18</v>
      </c>
      <c r="D6" s="54">
        <v>19</v>
      </c>
      <c r="E6" s="54">
        <v>20</v>
      </c>
      <c r="F6" s="54">
        <v>21</v>
      </c>
      <c r="G6" s="122">
        <f>$G$3</f>
        <v>22.08</v>
      </c>
      <c r="H6" s="55" t="s">
        <v>30</v>
      </c>
      <c r="I6" s="54">
        <v>17</v>
      </c>
      <c r="J6" s="54">
        <v>18</v>
      </c>
      <c r="K6" s="54">
        <v>19</v>
      </c>
      <c r="L6" s="54">
        <v>20</v>
      </c>
      <c r="M6" s="54">
        <v>21</v>
      </c>
      <c r="N6" s="122">
        <f>$G$3</f>
        <v>22.08</v>
      </c>
    </row>
    <row r="7" spans="1:27" s="52" customFormat="1" ht="37.5" customHeight="1" thickBot="1">
      <c r="A7" s="74" t="s">
        <v>35</v>
      </c>
      <c r="B7" s="115">
        <v>643233</v>
      </c>
      <c r="C7" s="115">
        <v>689852</v>
      </c>
      <c r="D7" s="115">
        <v>725047</v>
      </c>
      <c r="E7" s="115">
        <v>792643</v>
      </c>
      <c r="F7" s="115">
        <v>936246</v>
      </c>
      <c r="G7" s="116">
        <f>통계요약!I20</f>
        <v>591026</v>
      </c>
      <c r="H7" s="74" t="s">
        <v>36</v>
      </c>
      <c r="I7" s="113">
        <v>482428</v>
      </c>
      <c r="J7" s="113">
        <v>452480</v>
      </c>
      <c r="K7" s="113">
        <v>623733</v>
      </c>
      <c r="L7" s="113">
        <v>40267</v>
      </c>
      <c r="M7" s="113">
        <v>0</v>
      </c>
      <c r="N7" s="117">
        <v>0</v>
      </c>
      <c r="AA7" s="102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100" t="s">
        <v>52</v>
      </c>
      <c r="H13" s="100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100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D1" sqref="D1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5" t="s">
        <v>38</v>
      </c>
      <c r="F1" s="120"/>
      <c r="G1" s="120"/>
      <c r="H1" s="120"/>
      <c r="I1" s="120"/>
      <c r="J1" s="65"/>
      <c r="K1" s="66"/>
      <c r="L1" s="67"/>
      <c r="M1" s="68"/>
    </row>
    <row r="2" spans="1:16" ht="21.95" customHeight="1">
      <c r="A2" s="224" t="s">
        <v>39</v>
      </c>
      <c r="B2" s="225"/>
      <c r="C2" s="225"/>
      <c r="D2" s="228" t="s">
        <v>40</v>
      </c>
      <c r="E2" s="69"/>
      <c r="F2" s="218" t="s">
        <v>72</v>
      </c>
      <c r="G2" s="218"/>
      <c r="H2" s="218" t="s">
        <v>97</v>
      </c>
      <c r="I2" s="218"/>
      <c r="J2" s="218" t="s">
        <v>41</v>
      </c>
      <c r="K2" s="218"/>
      <c r="L2" s="218"/>
      <c r="M2" s="219"/>
    </row>
    <row r="3" spans="1:16" ht="21.95" customHeight="1">
      <c r="A3" s="226"/>
      <c r="B3" s="227"/>
      <c r="C3" s="227"/>
      <c r="D3" s="229"/>
      <c r="E3" s="70" t="s">
        <v>42</v>
      </c>
      <c r="F3" s="70" t="str">
        <f>통계요약!F6</f>
        <v>8월(A)</v>
      </c>
      <c r="G3" s="70" t="str">
        <f>통계요약!G6</f>
        <v>8월누계(B)</v>
      </c>
      <c r="H3" s="112" t="str">
        <f>통계요약!H6</f>
        <v>8월(C)</v>
      </c>
      <c r="I3" s="70" t="str">
        <f>통계요약!I6</f>
        <v>8월누계(D)</v>
      </c>
      <c r="J3" s="70" t="s">
        <v>43</v>
      </c>
      <c r="K3" s="71" t="s">
        <v>44</v>
      </c>
      <c r="L3" s="72" t="s">
        <v>45</v>
      </c>
      <c r="M3" s="125" t="s">
        <v>44</v>
      </c>
    </row>
    <row r="4" spans="1:16" ht="21.95" customHeight="1">
      <c r="A4" s="220" t="s">
        <v>46</v>
      </c>
      <c r="B4" s="221"/>
      <c r="C4" s="221"/>
      <c r="D4" s="166" t="s">
        <v>47</v>
      </c>
      <c r="E4" s="99">
        <f>SUM(E6,E8,E10,E12,E14,E16,E18,E22,E20,E26,E28,E30,E32,E24,E34)</f>
        <v>936246</v>
      </c>
      <c r="F4" s="99">
        <f>SUM(F6,F8,F10,F12,F14,F16,F18,F22,F20,F26,F28,F30,F32,F24,F34)</f>
        <v>82960</v>
      </c>
      <c r="G4" s="99">
        <f>SUM(G6,G8,G10,G12,G14,G16,G18,G22,G20,G26,G28,G30,G32,G24,G34)</f>
        <v>615748</v>
      </c>
      <c r="H4" s="99">
        <f>SUM(H6,H8,H10,H12,H14,H16,H18,H22,H20,H26,H28,H30,H32,H24,H34)</f>
        <v>72854</v>
      </c>
      <c r="I4" s="99">
        <f>SUM(I6,I8,I10,I12,I14,I16,I18,I22,I20,I26,I28,I30,I32,I24,I34)</f>
        <v>591026</v>
      </c>
      <c r="J4" s="93">
        <f t="shared" ref="J4:J31" si="0">H4-F4</f>
        <v>-10106</v>
      </c>
      <c r="K4" s="94">
        <f t="shared" ref="K4:K33" si="1">(H4/F4*100)-100</f>
        <v>-12.181774349083895</v>
      </c>
      <c r="L4" s="95">
        <f t="shared" ref="L4:L31" si="2">I4-G4</f>
        <v>-24722</v>
      </c>
      <c r="M4" s="126">
        <f t="shared" ref="M4:M33" si="3">(I4/G4*100)-100</f>
        <v>-4.0149541695628699</v>
      </c>
    </row>
    <row r="5" spans="1:16" ht="21.95" customHeight="1">
      <c r="A5" s="220"/>
      <c r="B5" s="221"/>
      <c r="C5" s="221"/>
      <c r="D5" s="166" t="s">
        <v>48</v>
      </c>
      <c r="E5" s="99">
        <f>SUM(E7,E9,E11,E13,E15,E17,E19,E21,E23,E27,E29,E31,E33,E25)</f>
        <v>14361448</v>
      </c>
      <c r="F5" s="99">
        <f>SUM(F7,F9,F11,F13,F15,F17,F19,F21,F23,F27,F29,F31,F33,F25,F35)</f>
        <v>1240451</v>
      </c>
      <c r="G5" s="99">
        <f>SUM(G7,G9,G11,G13,G15,G17,G19,G21,G23,G27,G29,G31,G33,G25,G35)</f>
        <v>9338595</v>
      </c>
      <c r="H5" s="99">
        <f>SUM(H7,H9,H11,H13,H15,H17,H19,H21,H23,H27,H29,H31,H33,H25,H35)</f>
        <v>1103159</v>
      </c>
      <c r="I5" s="99">
        <f>SUM(I7,I9,I11,I13,I15,I17,I19,I21,I23,I27,I29,I31,I33,I25,I35)</f>
        <v>9156819</v>
      </c>
      <c r="J5" s="93">
        <f t="shared" si="0"/>
        <v>-137292</v>
      </c>
      <c r="K5" s="94">
        <f t="shared" si="1"/>
        <v>-11.067909977903199</v>
      </c>
      <c r="L5" s="95">
        <f t="shared" si="2"/>
        <v>-181776</v>
      </c>
      <c r="M5" s="126">
        <f t="shared" si="3"/>
        <v>-1.9465026591259118</v>
      </c>
    </row>
    <row r="6" spans="1:16" ht="21.2" customHeight="1">
      <c r="A6" s="222" t="s">
        <v>53</v>
      </c>
      <c r="B6" s="223"/>
      <c r="C6" s="223"/>
      <c r="D6" s="73" t="s">
        <v>47</v>
      </c>
      <c r="E6" s="165">
        <v>54806</v>
      </c>
      <c r="F6" s="165">
        <v>4744</v>
      </c>
      <c r="G6" s="165">
        <v>36205</v>
      </c>
      <c r="H6" s="165">
        <v>4542</v>
      </c>
      <c r="I6" s="165">
        <v>37734</v>
      </c>
      <c r="J6" s="96">
        <f t="shared" ref="J6:J20" si="4">H6-F6</f>
        <v>-202</v>
      </c>
      <c r="K6" s="97">
        <f t="shared" ref="K6:K19" si="5">(H6/F6*100)-100</f>
        <v>-4.2580101180438419</v>
      </c>
      <c r="L6" s="98">
        <f>I6-G6</f>
        <v>1529</v>
      </c>
      <c r="M6" s="127">
        <f>(I6/G6*100)-100</f>
        <v>4.2231735948073492</v>
      </c>
      <c r="P6" s="64" t="s">
        <v>73</v>
      </c>
    </row>
    <row r="7" spans="1:16" ht="21.2" customHeight="1">
      <c r="A7" s="222"/>
      <c r="B7" s="223"/>
      <c r="C7" s="223"/>
      <c r="D7" s="73" t="s">
        <v>48</v>
      </c>
      <c r="E7" s="165">
        <v>1010788</v>
      </c>
      <c r="F7" s="165">
        <v>86870</v>
      </c>
      <c r="G7" s="165">
        <v>659855</v>
      </c>
      <c r="H7" s="165">
        <v>84196</v>
      </c>
      <c r="I7" s="165">
        <v>706779</v>
      </c>
      <c r="J7" s="96">
        <f t="shared" si="4"/>
        <v>-2674</v>
      </c>
      <c r="K7" s="97">
        <f t="shared" si="5"/>
        <v>-3.0781627719580911</v>
      </c>
      <c r="L7" s="98">
        <f t="shared" si="2"/>
        <v>46924</v>
      </c>
      <c r="M7" s="127">
        <f t="shared" si="3"/>
        <v>7.1112592918141075</v>
      </c>
      <c r="P7" s="64" t="s">
        <v>73</v>
      </c>
    </row>
    <row r="8" spans="1:16" ht="21.2" customHeight="1">
      <c r="A8" s="222" t="s">
        <v>54</v>
      </c>
      <c r="B8" s="223"/>
      <c r="C8" s="223"/>
      <c r="D8" s="73" t="s">
        <v>47</v>
      </c>
      <c r="E8" s="165">
        <v>73319</v>
      </c>
      <c r="F8" s="165">
        <v>7223</v>
      </c>
      <c r="G8" s="165">
        <v>48165</v>
      </c>
      <c r="H8" s="165">
        <v>5848</v>
      </c>
      <c r="I8" s="165">
        <v>46732</v>
      </c>
      <c r="J8" s="96">
        <f t="shared" si="4"/>
        <v>-1375</v>
      </c>
      <c r="K8" s="97">
        <f t="shared" si="5"/>
        <v>-19.036411463380858</v>
      </c>
      <c r="L8" s="98">
        <f>I8-G8</f>
        <v>-1433</v>
      </c>
      <c r="M8" s="127">
        <f>(I8/G8*100)-100</f>
        <v>-2.9751894529222511</v>
      </c>
      <c r="P8" s="64" t="s">
        <v>74</v>
      </c>
    </row>
    <row r="9" spans="1:16" ht="21.2" customHeight="1">
      <c r="A9" s="222"/>
      <c r="B9" s="223"/>
      <c r="C9" s="223"/>
      <c r="D9" s="73" t="s">
        <v>48</v>
      </c>
      <c r="E9" s="165">
        <v>1108270</v>
      </c>
      <c r="F9" s="165">
        <v>106610</v>
      </c>
      <c r="G9" s="165">
        <v>743529</v>
      </c>
      <c r="H9" s="165">
        <v>81130</v>
      </c>
      <c r="I9" s="165">
        <v>689747</v>
      </c>
      <c r="J9" s="96">
        <f t="shared" si="4"/>
        <v>-25480</v>
      </c>
      <c r="K9" s="97">
        <f t="shared" si="5"/>
        <v>-23.900196979645443</v>
      </c>
      <c r="L9" s="98">
        <f t="shared" si="2"/>
        <v>-53782</v>
      </c>
      <c r="M9" s="127">
        <f t="shared" si="3"/>
        <v>-7.23334261340176</v>
      </c>
      <c r="P9" s="64" t="s">
        <v>74</v>
      </c>
    </row>
    <row r="10" spans="1:16" ht="21.2" customHeight="1">
      <c r="A10" s="222" t="s">
        <v>94</v>
      </c>
      <c r="B10" s="223"/>
      <c r="C10" s="223"/>
      <c r="D10" s="73" t="s">
        <v>47</v>
      </c>
      <c r="E10" s="165">
        <v>32</v>
      </c>
      <c r="F10" s="124">
        <v>0</v>
      </c>
      <c r="G10" s="124">
        <v>12</v>
      </c>
      <c r="H10" s="124">
        <v>0</v>
      </c>
      <c r="I10" s="124">
        <v>11</v>
      </c>
      <c r="J10" s="96">
        <f t="shared" si="4"/>
        <v>0</v>
      </c>
      <c r="K10" s="124">
        <v>0</v>
      </c>
      <c r="L10" s="98">
        <f t="shared" si="2"/>
        <v>-1</v>
      </c>
      <c r="M10" s="127">
        <f t="shared" si="3"/>
        <v>-8.3333333333333428</v>
      </c>
      <c r="P10" s="64" t="s">
        <v>95</v>
      </c>
    </row>
    <row r="11" spans="1:16" ht="21.2" customHeight="1">
      <c r="A11" s="222"/>
      <c r="B11" s="223"/>
      <c r="C11" s="223"/>
      <c r="D11" s="73" t="s">
        <v>48</v>
      </c>
      <c r="E11" s="165">
        <v>760</v>
      </c>
      <c r="F11" s="124">
        <v>0</v>
      </c>
      <c r="G11" s="124">
        <v>310</v>
      </c>
      <c r="H11" s="124">
        <v>0</v>
      </c>
      <c r="I11" s="124">
        <v>39</v>
      </c>
      <c r="J11" s="96">
        <f t="shared" si="4"/>
        <v>0</v>
      </c>
      <c r="K11" s="124">
        <v>0</v>
      </c>
      <c r="L11" s="98">
        <f t="shared" si="2"/>
        <v>-271</v>
      </c>
      <c r="M11" s="127">
        <f t="shared" si="3"/>
        <v>-87.41935483870968</v>
      </c>
      <c r="P11" s="64" t="s">
        <v>95</v>
      </c>
    </row>
    <row r="12" spans="1:16" ht="21.2" customHeight="1">
      <c r="A12" s="222" t="s">
        <v>66</v>
      </c>
      <c r="B12" s="223"/>
      <c r="C12" s="223"/>
      <c r="D12" s="73" t="s">
        <v>47</v>
      </c>
      <c r="E12" s="124">
        <v>0</v>
      </c>
      <c r="F12" s="124">
        <v>0</v>
      </c>
      <c r="G12" s="124">
        <v>0</v>
      </c>
      <c r="H12" s="124">
        <v>0</v>
      </c>
      <c r="I12" s="124"/>
      <c r="J12" s="96">
        <f t="shared" si="4"/>
        <v>0</v>
      </c>
      <c r="K12" s="124">
        <v>0</v>
      </c>
      <c r="L12" s="98">
        <f t="shared" si="2"/>
        <v>0</v>
      </c>
      <c r="M12" s="143">
        <v>0</v>
      </c>
      <c r="P12" s="64" t="s">
        <v>75</v>
      </c>
    </row>
    <row r="13" spans="1:16" ht="21.2" customHeight="1">
      <c r="A13" s="222"/>
      <c r="B13" s="223"/>
      <c r="C13" s="223"/>
      <c r="D13" s="73" t="s">
        <v>65</v>
      </c>
      <c r="E13" s="124">
        <v>0</v>
      </c>
      <c r="F13" s="124">
        <v>0</v>
      </c>
      <c r="G13" s="124">
        <v>0</v>
      </c>
      <c r="H13" s="124">
        <v>0</v>
      </c>
      <c r="I13" s="124"/>
      <c r="J13" s="96">
        <f t="shared" si="4"/>
        <v>0</v>
      </c>
      <c r="K13" s="124">
        <v>0</v>
      </c>
      <c r="L13" s="98">
        <f t="shared" si="2"/>
        <v>0</v>
      </c>
      <c r="M13" s="143">
        <v>0</v>
      </c>
      <c r="P13" s="64" t="s">
        <v>75</v>
      </c>
    </row>
    <row r="14" spans="1:16" ht="21.2" customHeight="1">
      <c r="A14" s="222" t="s">
        <v>55</v>
      </c>
      <c r="B14" s="223"/>
      <c r="C14" s="223"/>
      <c r="D14" s="73" t="s">
        <v>47</v>
      </c>
      <c r="E14" s="165">
        <v>113070</v>
      </c>
      <c r="F14" s="165">
        <v>8814</v>
      </c>
      <c r="G14" s="165">
        <v>75201</v>
      </c>
      <c r="H14" s="165">
        <v>12847</v>
      </c>
      <c r="I14" s="165">
        <v>87249</v>
      </c>
      <c r="J14" s="96">
        <f t="shared" si="4"/>
        <v>4033</v>
      </c>
      <c r="K14" s="97">
        <f t="shared" si="5"/>
        <v>45.756750624007253</v>
      </c>
      <c r="L14" s="98">
        <f t="shared" si="2"/>
        <v>12048</v>
      </c>
      <c r="M14" s="127">
        <f>(I14/G14*100)-100</f>
        <v>16.021063549686843</v>
      </c>
      <c r="P14" s="64" t="s">
        <v>76</v>
      </c>
    </row>
    <row r="15" spans="1:16" ht="21.2" customHeight="1">
      <c r="A15" s="222"/>
      <c r="B15" s="223"/>
      <c r="C15" s="223"/>
      <c r="D15" s="73" t="s">
        <v>48</v>
      </c>
      <c r="E15" s="165">
        <v>1740430</v>
      </c>
      <c r="F15" s="165">
        <v>144596</v>
      </c>
      <c r="G15" s="165">
        <v>1142005</v>
      </c>
      <c r="H15" s="165">
        <v>202396</v>
      </c>
      <c r="I15" s="165">
        <v>1386535</v>
      </c>
      <c r="J15" s="96">
        <f t="shared" si="4"/>
        <v>57800</v>
      </c>
      <c r="K15" s="97">
        <f t="shared" si="5"/>
        <v>39.973443248775908</v>
      </c>
      <c r="L15" s="98">
        <f t="shared" si="2"/>
        <v>244530</v>
      </c>
      <c r="M15" s="127">
        <f t="shared" si="3"/>
        <v>21.412340576442304</v>
      </c>
      <c r="P15" s="64" t="s">
        <v>77</v>
      </c>
    </row>
    <row r="16" spans="1:16" ht="21.2" customHeight="1">
      <c r="A16" s="222" t="s">
        <v>62</v>
      </c>
      <c r="B16" s="223"/>
      <c r="C16" s="223"/>
      <c r="D16" s="73" t="s">
        <v>47</v>
      </c>
      <c r="E16" s="165">
        <v>257133</v>
      </c>
      <c r="F16" s="165">
        <v>24151</v>
      </c>
      <c r="G16" s="165">
        <v>179419</v>
      </c>
      <c r="H16" s="165">
        <v>17766</v>
      </c>
      <c r="I16" s="165">
        <v>149641</v>
      </c>
      <c r="J16" s="96">
        <f t="shared" si="4"/>
        <v>-6385</v>
      </c>
      <c r="K16" s="97">
        <f t="shared" si="5"/>
        <v>-26.437828661339083</v>
      </c>
      <c r="L16" s="98">
        <f t="shared" si="2"/>
        <v>-29778</v>
      </c>
      <c r="M16" s="127">
        <f t="shared" si="3"/>
        <v>-16.596904452705672</v>
      </c>
      <c r="P16" s="64" t="s">
        <v>78</v>
      </c>
    </row>
    <row r="17" spans="1:16" ht="21.2" customHeight="1">
      <c r="A17" s="222"/>
      <c r="B17" s="223"/>
      <c r="C17" s="223"/>
      <c r="D17" s="73" t="s">
        <v>48</v>
      </c>
      <c r="E17" s="165">
        <v>3567347</v>
      </c>
      <c r="F17" s="165">
        <v>292478</v>
      </c>
      <c r="G17" s="165">
        <v>2430006</v>
      </c>
      <c r="H17" s="165">
        <v>253195</v>
      </c>
      <c r="I17" s="165">
        <v>2107548</v>
      </c>
      <c r="J17" s="96">
        <f t="shared" si="4"/>
        <v>-39283</v>
      </c>
      <c r="K17" s="97">
        <f t="shared" si="5"/>
        <v>-13.43109567215312</v>
      </c>
      <c r="L17" s="98">
        <f t="shared" si="2"/>
        <v>-322458</v>
      </c>
      <c r="M17" s="127">
        <f t="shared" si="3"/>
        <v>-13.269843778163519</v>
      </c>
      <c r="P17" s="64" t="s">
        <v>79</v>
      </c>
    </row>
    <row r="18" spans="1:16" ht="21.2" customHeight="1">
      <c r="A18" s="222" t="s">
        <v>56</v>
      </c>
      <c r="B18" s="223"/>
      <c r="C18" s="223"/>
      <c r="D18" s="73" t="s">
        <v>47</v>
      </c>
      <c r="E18" s="165">
        <v>148930</v>
      </c>
      <c r="F18" s="165">
        <v>12105</v>
      </c>
      <c r="G18" s="165">
        <v>99210</v>
      </c>
      <c r="H18" s="165">
        <v>8099</v>
      </c>
      <c r="I18" s="165">
        <v>82076</v>
      </c>
      <c r="J18" s="96">
        <f t="shared" si="4"/>
        <v>-4006</v>
      </c>
      <c r="K18" s="97">
        <f t="shared" si="5"/>
        <v>-33.0937629078893</v>
      </c>
      <c r="L18" s="98">
        <f t="shared" si="2"/>
        <v>-17134</v>
      </c>
      <c r="M18" s="128">
        <f t="shared" si="3"/>
        <v>-17.270436447938721</v>
      </c>
      <c r="P18" s="64" t="s">
        <v>80</v>
      </c>
    </row>
    <row r="19" spans="1:16" ht="21.2" customHeight="1">
      <c r="A19" s="222"/>
      <c r="B19" s="223"/>
      <c r="C19" s="223"/>
      <c r="D19" s="73" t="s">
        <v>48</v>
      </c>
      <c r="E19" s="165">
        <v>2355281</v>
      </c>
      <c r="F19" s="165">
        <v>197245</v>
      </c>
      <c r="G19" s="165">
        <v>1567151</v>
      </c>
      <c r="H19" s="165">
        <v>130283</v>
      </c>
      <c r="I19" s="165">
        <v>1342087</v>
      </c>
      <c r="J19" s="96">
        <f t="shared" si="4"/>
        <v>-66962</v>
      </c>
      <c r="K19" s="97">
        <f t="shared" si="5"/>
        <v>-33.948642551141987</v>
      </c>
      <c r="L19" s="98">
        <f t="shared" si="2"/>
        <v>-225064</v>
      </c>
      <c r="M19" s="128">
        <f t="shared" si="3"/>
        <v>-14.361347438759893</v>
      </c>
      <c r="P19" s="64" t="s">
        <v>81</v>
      </c>
    </row>
    <row r="20" spans="1:16" ht="21.2" customHeight="1">
      <c r="A20" s="230" t="s">
        <v>68</v>
      </c>
      <c r="B20" s="231"/>
      <c r="C20" s="231"/>
      <c r="D20" s="109" t="s">
        <v>47</v>
      </c>
      <c r="E20" s="124">
        <v>0</v>
      </c>
      <c r="F20" s="124">
        <v>0</v>
      </c>
      <c r="G20" s="124">
        <v>0</v>
      </c>
      <c r="H20" s="124">
        <v>0</v>
      </c>
      <c r="I20" s="124"/>
      <c r="J20" s="110">
        <f t="shared" si="4"/>
        <v>0</v>
      </c>
      <c r="K20" s="124">
        <v>0</v>
      </c>
      <c r="L20" s="98">
        <f t="shared" si="2"/>
        <v>0</v>
      </c>
      <c r="M20" s="143">
        <v>0</v>
      </c>
      <c r="P20" s="64" t="s">
        <v>82</v>
      </c>
    </row>
    <row r="21" spans="1:16" ht="21.2" customHeight="1">
      <c r="A21" s="230"/>
      <c r="B21" s="231"/>
      <c r="C21" s="231"/>
      <c r="D21" s="109" t="s">
        <v>48</v>
      </c>
      <c r="E21" s="124">
        <v>0</v>
      </c>
      <c r="F21" s="124">
        <v>0</v>
      </c>
      <c r="G21" s="124">
        <v>0</v>
      </c>
      <c r="H21" s="124">
        <v>0</v>
      </c>
      <c r="I21" s="124"/>
      <c r="J21" s="110">
        <f t="shared" si="0"/>
        <v>0</v>
      </c>
      <c r="K21" s="124">
        <v>0</v>
      </c>
      <c r="L21" s="98">
        <f t="shared" si="2"/>
        <v>0</v>
      </c>
      <c r="M21" s="143">
        <v>0</v>
      </c>
      <c r="P21" s="64" t="s">
        <v>83</v>
      </c>
    </row>
    <row r="22" spans="1:16" ht="21.2" customHeight="1">
      <c r="A22" s="222" t="s">
        <v>93</v>
      </c>
      <c r="B22" s="223"/>
      <c r="C22" s="223"/>
      <c r="D22" s="73" t="s">
        <v>47</v>
      </c>
      <c r="E22" s="165">
        <v>8</v>
      </c>
      <c r="F22" s="124">
        <v>0</v>
      </c>
      <c r="G22" s="124">
        <v>0</v>
      </c>
      <c r="H22" s="124">
        <v>0</v>
      </c>
      <c r="I22" s="124"/>
      <c r="J22" s="110">
        <f t="shared" si="0"/>
        <v>0</v>
      </c>
      <c r="K22" s="124">
        <v>0</v>
      </c>
      <c r="L22" s="98">
        <f t="shared" si="2"/>
        <v>0</v>
      </c>
      <c r="M22" s="143">
        <v>0</v>
      </c>
      <c r="P22" s="64" t="s">
        <v>96</v>
      </c>
    </row>
    <row r="23" spans="1:16" ht="21.2" customHeight="1">
      <c r="A23" s="222"/>
      <c r="B23" s="223"/>
      <c r="C23" s="223"/>
      <c r="D23" s="73" t="s">
        <v>48</v>
      </c>
      <c r="E23" s="165">
        <v>43</v>
      </c>
      <c r="F23" s="124">
        <v>0</v>
      </c>
      <c r="G23" s="124">
        <v>0</v>
      </c>
      <c r="H23" s="124">
        <v>0</v>
      </c>
      <c r="I23" s="124"/>
      <c r="J23" s="110">
        <f t="shared" si="0"/>
        <v>0</v>
      </c>
      <c r="K23" s="124">
        <v>0</v>
      </c>
      <c r="L23" s="98">
        <f t="shared" si="2"/>
        <v>0</v>
      </c>
      <c r="M23" s="143">
        <v>0</v>
      </c>
      <c r="P23" s="64" t="s">
        <v>96</v>
      </c>
    </row>
    <row r="24" spans="1:16" ht="21.2" customHeight="1">
      <c r="A24" s="222" t="s">
        <v>63</v>
      </c>
      <c r="B24" s="223"/>
      <c r="C24" s="223"/>
      <c r="D24" s="73" t="s">
        <v>64</v>
      </c>
      <c r="E24" s="165">
        <v>43</v>
      </c>
      <c r="F24" s="124">
        <v>0</v>
      </c>
      <c r="G24" s="124">
        <v>16</v>
      </c>
      <c r="H24" s="124">
        <v>0</v>
      </c>
      <c r="I24" s="124">
        <v>34</v>
      </c>
      <c r="J24" s="110">
        <f t="shared" si="0"/>
        <v>0</v>
      </c>
      <c r="K24" s="124">
        <v>0</v>
      </c>
      <c r="L24" s="98">
        <f t="shared" si="2"/>
        <v>18</v>
      </c>
      <c r="M24" s="127">
        <f t="shared" si="3"/>
        <v>112.5</v>
      </c>
      <c r="P24" s="64" t="s">
        <v>84</v>
      </c>
    </row>
    <row r="25" spans="1:16" ht="21.2" customHeight="1">
      <c r="A25" s="222"/>
      <c r="B25" s="223"/>
      <c r="C25" s="223"/>
      <c r="D25" s="73" t="s">
        <v>65</v>
      </c>
      <c r="E25" s="165">
        <v>492</v>
      </c>
      <c r="F25" s="124">
        <v>0</v>
      </c>
      <c r="G25" s="124">
        <v>129</v>
      </c>
      <c r="H25" s="124">
        <v>0</v>
      </c>
      <c r="I25" s="124">
        <v>244</v>
      </c>
      <c r="J25" s="110">
        <f t="shared" si="0"/>
        <v>0</v>
      </c>
      <c r="K25" s="124">
        <v>0</v>
      </c>
      <c r="L25" s="98">
        <f t="shared" si="2"/>
        <v>115</v>
      </c>
      <c r="M25" s="127">
        <f t="shared" si="3"/>
        <v>89.147286821705421</v>
      </c>
      <c r="P25" s="64" t="s">
        <v>84</v>
      </c>
    </row>
    <row r="26" spans="1:16" ht="21.2" customHeight="1">
      <c r="A26" s="222" t="s">
        <v>58</v>
      </c>
      <c r="B26" s="223"/>
      <c r="C26" s="223"/>
      <c r="D26" s="73" t="s">
        <v>47</v>
      </c>
      <c r="E26" s="165">
        <v>478</v>
      </c>
      <c r="F26" s="124">
        <v>22</v>
      </c>
      <c r="G26" s="124">
        <v>214</v>
      </c>
      <c r="H26" s="124">
        <v>0</v>
      </c>
      <c r="I26" s="165">
        <v>212</v>
      </c>
      <c r="J26" s="110">
        <f t="shared" si="0"/>
        <v>-22</v>
      </c>
      <c r="K26" s="97">
        <f t="shared" si="1"/>
        <v>-100</v>
      </c>
      <c r="L26" s="98">
        <f t="shared" si="2"/>
        <v>-2</v>
      </c>
      <c r="M26" s="127">
        <f t="shared" si="3"/>
        <v>-0.93457943925233167</v>
      </c>
      <c r="P26" s="64" t="s">
        <v>85</v>
      </c>
    </row>
    <row r="27" spans="1:16" ht="21.2" customHeight="1">
      <c r="A27" s="222"/>
      <c r="B27" s="223"/>
      <c r="C27" s="223"/>
      <c r="D27" s="73" t="s">
        <v>48</v>
      </c>
      <c r="E27" s="165">
        <v>2537</v>
      </c>
      <c r="F27" s="124">
        <v>83</v>
      </c>
      <c r="G27" s="124">
        <v>1900</v>
      </c>
      <c r="H27" s="124">
        <v>0</v>
      </c>
      <c r="I27" s="165">
        <v>1888</v>
      </c>
      <c r="J27" s="110">
        <f t="shared" si="0"/>
        <v>-83</v>
      </c>
      <c r="K27" s="97">
        <f t="shared" si="1"/>
        <v>-100</v>
      </c>
      <c r="L27" s="98">
        <f t="shared" si="2"/>
        <v>-12</v>
      </c>
      <c r="M27" s="127">
        <f t="shared" si="3"/>
        <v>-0.63157894736841058</v>
      </c>
      <c r="P27" s="64" t="s">
        <v>86</v>
      </c>
    </row>
    <row r="28" spans="1:16" ht="21.2" customHeight="1">
      <c r="A28" s="222" t="s">
        <v>59</v>
      </c>
      <c r="B28" s="223"/>
      <c r="C28" s="223"/>
      <c r="D28" s="73" t="s">
        <v>47</v>
      </c>
      <c r="E28" s="165">
        <v>95587</v>
      </c>
      <c r="F28" s="165">
        <v>9512</v>
      </c>
      <c r="G28" s="165">
        <v>60540</v>
      </c>
      <c r="H28" s="165">
        <v>7597</v>
      </c>
      <c r="I28" s="165">
        <v>62167</v>
      </c>
      <c r="J28" s="110">
        <f t="shared" si="0"/>
        <v>-1915</v>
      </c>
      <c r="K28" s="97">
        <f t="shared" si="1"/>
        <v>-20.132464255677036</v>
      </c>
      <c r="L28" s="98">
        <f t="shared" si="2"/>
        <v>1627</v>
      </c>
      <c r="M28" s="127">
        <f t="shared" si="3"/>
        <v>2.687479352494222</v>
      </c>
      <c r="P28" s="64" t="s">
        <v>87</v>
      </c>
    </row>
    <row r="29" spans="1:16" ht="21.2" customHeight="1">
      <c r="A29" s="222"/>
      <c r="B29" s="223"/>
      <c r="C29" s="223"/>
      <c r="D29" s="73" t="s">
        <v>48</v>
      </c>
      <c r="E29" s="165">
        <v>1614394</v>
      </c>
      <c r="F29" s="165">
        <v>160500</v>
      </c>
      <c r="G29" s="165">
        <v>998731</v>
      </c>
      <c r="H29" s="165">
        <v>120728</v>
      </c>
      <c r="I29" s="165">
        <v>1064897</v>
      </c>
      <c r="J29" s="110">
        <f t="shared" si="0"/>
        <v>-39772</v>
      </c>
      <c r="K29" s="97">
        <f t="shared" si="1"/>
        <v>-24.780062305295942</v>
      </c>
      <c r="L29" s="98">
        <f t="shared" si="2"/>
        <v>66166</v>
      </c>
      <c r="M29" s="127">
        <f t="shared" si="3"/>
        <v>6.6250071340531207</v>
      </c>
      <c r="P29" s="64" t="s">
        <v>88</v>
      </c>
    </row>
    <row r="30" spans="1:16" ht="21.2" customHeight="1">
      <c r="A30" s="222" t="s">
        <v>60</v>
      </c>
      <c r="B30" s="223"/>
      <c r="C30" s="223"/>
      <c r="D30" s="73" t="s">
        <v>47</v>
      </c>
      <c r="E30" s="165">
        <v>139949</v>
      </c>
      <c r="F30" s="165">
        <v>11342</v>
      </c>
      <c r="G30" s="165">
        <v>80335</v>
      </c>
      <c r="H30" s="165">
        <v>12422</v>
      </c>
      <c r="I30" s="165">
        <v>92918</v>
      </c>
      <c r="J30" s="96">
        <f t="shared" si="0"/>
        <v>1080</v>
      </c>
      <c r="K30" s="97">
        <f t="shared" si="1"/>
        <v>9.5221301357785109</v>
      </c>
      <c r="L30" s="98">
        <f t="shared" si="2"/>
        <v>12583</v>
      </c>
      <c r="M30" s="127">
        <f t="shared" si="3"/>
        <v>15.663160515342</v>
      </c>
      <c r="P30" s="64" t="s">
        <v>89</v>
      </c>
    </row>
    <row r="31" spans="1:16" ht="21.2" customHeight="1">
      <c r="A31" s="222"/>
      <c r="B31" s="223"/>
      <c r="C31" s="223"/>
      <c r="D31" s="73" t="s">
        <v>48</v>
      </c>
      <c r="E31" s="165">
        <v>2096293</v>
      </c>
      <c r="F31" s="165">
        <v>169831</v>
      </c>
      <c r="G31" s="165">
        <v>1215247</v>
      </c>
      <c r="H31" s="165">
        <v>183873</v>
      </c>
      <c r="I31" s="165">
        <v>1355332</v>
      </c>
      <c r="J31" s="96">
        <f t="shared" si="0"/>
        <v>14042</v>
      </c>
      <c r="K31" s="97">
        <f t="shared" si="1"/>
        <v>8.2682195829972187</v>
      </c>
      <c r="L31" s="98">
        <f t="shared" si="2"/>
        <v>140085</v>
      </c>
      <c r="M31" s="127">
        <f t="shared" si="3"/>
        <v>11.527286222471659</v>
      </c>
      <c r="P31" s="64" t="s">
        <v>90</v>
      </c>
    </row>
    <row r="32" spans="1:16" ht="21.2" customHeight="1">
      <c r="A32" s="222" t="s">
        <v>61</v>
      </c>
      <c r="B32" s="223"/>
      <c r="C32" s="223"/>
      <c r="D32" s="73" t="s">
        <v>47</v>
      </c>
      <c r="E32" s="165">
        <v>52891</v>
      </c>
      <c r="F32" s="165">
        <v>5047</v>
      </c>
      <c r="G32" s="165">
        <v>36431</v>
      </c>
      <c r="H32" s="165">
        <v>3733</v>
      </c>
      <c r="I32" s="165">
        <v>32172</v>
      </c>
      <c r="J32" s="96">
        <f>H32-F32</f>
        <v>-1314</v>
      </c>
      <c r="K32" s="97">
        <f t="shared" si="1"/>
        <v>-26.035268476322571</v>
      </c>
      <c r="L32" s="98">
        <f>I32-G32</f>
        <v>-4259</v>
      </c>
      <c r="M32" s="127">
        <f t="shared" si="3"/>
        <v>-11.690593176141192</v>
      </c>
      <c r="P32" s="64" t="s">
        <v>91</v>
      </c>
    </row>
    <row r="33" spans="1:16" ht="21.2" customHeight="1">
      <c r="A33" s="222"/>
      <c r="B33" s="223"/>
      <c r="C33" s="223"/>
      <c r="D33" s="73" t="s">
        <v>48</v>
      </c>
      <c r="E33" s="165">
        <v>864813</v>
      </c>
      <c r="F33" s="165">
        <v>82238</v>
      </c>
      <c r="G33" s="165">
        <v>579732</v>
      </c>
      <c r="H33" s="165">
        <v>47358</v>
      </c>
      <c r="I33" s="165">
        <v>500339</v>
      </c>
      <c r="J33" s="96">
        <f>H33-F33</f>
        <v>-34880</v>
      </c>
      <c r="K33" s="97">
        <f t="shared" si="1"/>
        <v>-42.413482818161917</v>
      </c>
      <c r="L33" s="98">
        <f>I33-G33</f>
        <v>-79393</v>
      </c>
      <c r="M33" s="127">
        <f t="shared" si="3"/>
        <v>-13.694776206936993</v>
      </c>
      <c r="P33" s="64" t="s">
        <v>92</v>
      </c>
    </row>
    <row r="34" spans="1:16" ht="21.2" customHeight="1">
      <c r="A34" s="214" t="s">
        <v>100</v>
      </c>
      <c r="B34" s="215"/>
      <c r="C34" s="215"/>
      <c r="D34" s="149" t="s">
        <v>47</v>
      </c>
      <c r="E34" s="124">
        <v>0</v>
      </c>
      <c r="F34" s="124">
        <v>0</v>
      </c>
      <c r="G34" s="124">
        <v>0</v>
      </c>
      <c r="H34" s="124">
        <v>0</v>
      </c>
      <c r="I34" s="150">
        <v>80</v>
      </c>
      <c r="J34" s="151">
        <f>H34-F34</f>
        <v>0</v>
      </c>
      <c r="K34" s="124">
        <v>0</v>
      </c>
      <c r="L34" s="152">
        <f>I34-G34</f>
        <v>80</v>
      </c>
      <c r="M34" s="155" t="s">
        <v>99</v>
      </c>
      <c r="P34" s="64" t="s">
        <v>101</v>
      </c>
    </row>
    <row r="35" spans="1:16" ht="21.2" customHeight="1" thickBot="1">
      <c r="A35" s="216"/>
      <c r="B35" s="217"/>
      <c r="C35" s="217"/>
      <c r="D35" s="129" t="s">
        <v>48</v>
      </c>
      <c r="E35" s="153">
        <v>0</v>
      </c>
      <c r="F35" s="153">
        <v>0</v>
      </c>
      <c r="G35" s="153">
        <v>0</v>
      </c>
      <c r="H35" s="153">
        <v>0</v>
      </c>
      <c r="I35" s="130">
        <v>1384</v>
      </c>
      <c r="J35" s="131">
        <f>H35-F35</f>
        <v>0</v>
      </c>
      <c r="K35" s="153">
        <v>0</v>
      </c>
      <c r="L35" s="132">
        <f>I35-G35</f>
        <v>1384</v>
      </c>
      <c r="M35" s="156" t="s">
        <v>99</v>
      </c>
      <c r="P35" s="64" t="s">
        <v>101</v>
      </c>
    </row>
  </sheetData>
  <mergeCells count="21">
    <mergeCell ref="A16:C17"/>
    <mergeCell ref="A18:C19"/>
    <mergeCell ref="A26:C27"/>
    <mergeCell ref="A24:C25"/>
    <mergeCell ref="A22:C23"/>
    <mergeCell ref="A34:C35"/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재게(8월)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2022-09-29T00:48:16Z</dcterms:modified>
</cp:coreProperties>
</file>