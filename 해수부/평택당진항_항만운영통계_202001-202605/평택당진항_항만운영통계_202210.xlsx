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(10월)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F14" i="21" l="1"/>
  <c r="G14" i="21"/>
  <c r="G24" i="21"/>
  <c r="F24" i="21"/>
  <c r="G4" i="32" l="1"/>
  <c r="F4" i="32"/>
  <c r="G6" i="33" l="1"/>
  <c r="M25" i="32" l="1"/>
  <c r="M24" i="32"/>
  <c r="M11" i="32"/>
  <c r="M10" i="32"/>
  <c r="M26" i="32" l="1"/>
  <c r="M27" i="32"/>
  <c r="K26" i="32"/>
  <c r="K27" i="32"/>
  <c r="E4" i="32"/>
  <c r="I5" i="32" l="1"/>
  <c r="H5" i="32"/>
  <c r="I4" i="32"/>
  <c r="H4" i="32"/>
  <c r="G5" i="32"/>
  <c r="F5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J25" i="21" l="1"/>
  <c r="G20" i="2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<sst xmlns="http://schemas.openxmlformats.org/spreadsheetml/2006/main" count="160" uniqueCount="107">
  <si>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</si>
  <si>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</si>
  <si>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</si>
  <si>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</si>
  <si>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</si>
  <si>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</si>
  <si>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</si>
  <si>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</si>
  <si>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</si>
  <si>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</si>
  <si>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</si>
  <si>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</si>
  <si>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</si>
  <si>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</si>
  <si>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</si>
  <si>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</si>
  <si>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</si>
  <si>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</si>
  <si>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</si>
  <si>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컨테</t>
    <phoneticPr fontId="9" type="noConversion"/>
  </si>
  <si>
    <t>이너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</si>
  <si>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</si>
  <si>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</si>
  <si>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</si>
  <si>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(화물)</t>
    <phoneticPr fontId="9" type="noConversion"/>
  </si>
  <si>
    <t xml:space="preserve">   (컨테이너)</t>
    <phoneticPr fontId="9" type="noConversion"/>
  </si>
  <si>
    <t>(평택·당진항)</t>
    <phoneticPr fontId="9" type="noConversion"/>
  </si>
  <si>
    <t xml:space="preserve">  □ 전년 동기대비 비교표</t>
    <phoneticPr fontId="9" type="noConversion"/>
  </si>
  <si>
    <t>■ 연도별 수송실적</t>
    <phoneticPr fontId="25" type="noConversion"/>
  </si>
  <si>
    <t>(단위 : 천톤)</t>
    <phoneticPr fontId="9" type="noConversion"/>
  </si>
  <si>
    <t xml:space="preserve">구분 </t>
    <phoneticPr fontId="9" type="noConversion"/>
  </si>
  <si>
    <t>선박입출항</t>
    <phoneticPr fontId="9" type="noConversion"/>
  </si>
  <si>
    <t>화물입출항</t>
    <phoneticPr fontId="9" type="noConversion"/>
  </si>
  <si>
    <t>(단위 : TEU)</t>
    <phoneticPr fontId="9" type="noConversion"/>
  </si>
  <si>
    <t>(단위 : 명)</t>
    <phoneticPr fontId="9" type="noConversion"/>
  </si>
  <si>
    <t>컨테이너</t>
    <phoneticPr fontId="9" type="noConversion"/>
  </si>
  <si>
    <t>여    객</t>
    <phoneticPr fontId="9" type="noConversion"/>
  </si>
  <si>
    <t xml:space="preserve">  □ 연도별 추이 </t>
  </si>
  <si>
    <t>□ 부두별 컨테이너 물동량</t>
    <phoneticPr fontId="9" type="noConversion"/>
  </si>
  <si>
    <t>구     분</t>
    <phoneticPr fontId="9" type="noConversion"/>
  </si>
  <si>
    <t>단위</t>
    <phoneticPr fontId="25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</si>
  <si>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</si>
  <si>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</si>
  <si>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</si>
  <si>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</si>
  <si>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</si>
  <si>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</si>
  <si>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5" type="noConversion"/>
  </si>
  <si>
    <t>톤</t>
    <phoneticPr fontId="25" type="noConversion"/>
  </si>
  <si>
    <t>선박입항 및 화물수송</t>
    <phoneticPr fontId="9" type="noConversion"/>
  </si>
  <si>
    <t xml:space="preserve">     (여객)</t>
    <phoneticPr fontId="9" type="noConversion"/>
  </si>
  <si>
    <t xml:space="preserve">     (화물입출항)</t>
    <phoneticPr fontId="9" type="noConversion"/>
  </si>
  <si>
    <t xml:space="preserve">   (선박입출항)</t>
    <phoneticPr fontId="9" type="noConversion"/>
  </si>
  <si>
    <t>국제여객부두1번</t>
  </si>
  <si>
    <t>국제여객부두2번</t>
  </si>
  <si>
    <t>동부두 6</t>
    <phoneticPr fontId="25" type="noConversion"/>
  </si>
  <si>
    <t>동부두 8</t>
    <phoneticPr fontId="25" type="noConversion"/>
  </si>
  <si>
    <t>C-A</t>
    <phoneticPr fontId="9" type="noConversion"/>
  </si>
  <si>
    <t>동부두 12</t>
    <phoneticPr fontId="25" type="noConversion"/>
  </si>
  <si>
    <t>동부두 14</t>
    <phoneticPr fontId="25" type="noConversion"/>
  </si>
  <si>
    <t>동부두 15</t>
    <phoneticPr fontId="25" type="noConversion"/>
  </si>
  <si>
    <t>동부두 16</t>
    <phoneticPr fontId="25" type="noConversion"/>
  </si>
  <si>
    <t>동부두 7</t>
    <phoneticPr fontId="25" type="noConversion"/>
  </si>
  <si>
    <t>동부두 11</t>
    <phoneticPr fontId="25" type="noConversion"/>
  </si>
  <si>
    <t>TEU</t>
    <phoneticPr fontId="25" type="noConversion"/>
  </si>
  <si>
    <t>톤</t>
    <phoneticPr fontId="25" type="noConversion"/>
  </si>
  <si>
    <t>동부두 5</t>
    <phoneticPr fontId="25" type="noConversion"/>
  </si>
  <si>
    <t>자동차(대)</t>
    <phoneticPr fontId="9" type="noConversion"/>
  </si>
  <si>
    <t>동부두 9</t>
    <phoneticPr fontId="25" type="noConversion"/>
  </si>
  <si>
    <t>소계</t>
    <phoneticPr fontId="9" type="noConversion"/>
  </si>
  <si>
    <t>(단위 : 척)</t>
    <phoneticPr fontId="9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</si>
  <si>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9" type="noConversion"/>
  </si>
  <si>
    <t>2021년도</t>
    <phoneticPr fontId="9" type="noConversion"/>
  </si>
  <si>
    <t>국제여객부두 1번선석</t>
  </si>
  <si>
    <t>국제여객부두 2번선석</t>
    <phoneticPr fontId="25" type="noConversion"/>
  </si>
  <si>
    <t>동부두 5번선석</t>
    <phoneticPr fontId="25" type="noConversion"/>
  </si>
  <si>
    <t>동부두 6번선석</t>
    <phoneticPr fontId="25" type="noConversion"/>
  </si>
  <si>
    <t>동부두 6번선석</t>
    <phoneticPr fontId="25" type="noConversion"/>
  </si>
  <si>
    <t>동부두 7번선석</t>
    <phoneticPr fontId="25" type="noConversion"/>
  </si>
  <si>
    <t>동부두 7번선석</t>
    <phoneticPr fontId="25" type="noConversion"/>
  </si>
  <si>
    <t>동부두 8번선석</t>
    <phoneticPr fontId="25" type="noConversion"/>
  </si>
  <si>
    <t>동부두 8번선석</t>
    <phoneticPr fontId="25" type="noConversion"/>
  </si>
  <si>
    <t>동부두 9번선석</t>
    <phoneticPr fontId="25" type="noConversion"/>
  </si>
  <si>
    <t>동부두 9번선석</t>
    <phoneticPr fontId="25" type="noConversion"/>
  </si>
  <si>
    <t>동부두 11번선석</t>
    <phoneticPr fontId="25" type="noConversion"/>
  </si>
  <si>
    <t>동부두 12번선석</t>
    <phoneticPr fontId="25" type="noConversion"/>
  </si>
  <si>
    <t>동부두 12번선석</t>
    <phoneticPr fontId="25" type="noConversion"/>
  </si>
  <si>
    <t>동부두 14번선석</t>
    <phoneticPr fontId="25" type="noConversion"/>
  </si>
  <si>
    <t>동부두 14번선석</t>
    <phoneticPr fontId="25" type="noConversion"/>
  </si>
  <si>
    <t>동부두 15번선석</t>
    <phoneticPr fontId="25" type="noConversion"/>
  </si>
  <si>
    <t>동부두 15번선석</t>
    <phoneticPr fontId="25" type="noConversion"/>
  </si>
  <si>
    <t>동부두 16번선석</t>
    <phoneticPr fontId="25" type="noConversion"/>
  </si>
  <si>
    <t>동부두 16번선석</t>
    <phoneticPr fontId="25" type="noConversion"/>
  </si>
  <si>
    <t>동부두 10</t>
    <phoneticPr fontId="25" type="noConversion"/>
  </si>
  <si>
    <t>동부두 1</t>
    <phoneticPr fontId="25" type="noConversion"/>
  </si>
  <si>
    <t>동부두 1번선석</t>
    <phoneticPr fontId="25" type="noConversion"/>
  </si>
  <si>
    <t>동부두 10번선석</t>
    <phoneticPr fontId="25" type="noConversion"/>
  </si>
  <si>
    <t>2022년도</t>
    <phoneticPr fontId="9" type="noConversion"/>
  </si>
  <si>
    <t>순증</t>
    <phoneticPr fontId="9" type="noConversion"/>
  </si>
  <si>
    <t>순증</t>
    <phoneticPr fontId="25" type="noConversion"/>
  </si>
  <si>
    <t>고대부두 8</t>
    <phoneticPr fontId="25" type="noConversion"/>
  </si>
  <si>
    <t>고대부두 8번선석</t>
    <phoneticPr fontId="25" type="noConversion"/>
  </si>
  <si>
    <t>(2022.10월분)</t>
    <phoneticPr fontId="9" type="noConversion"/>
  </si>
  <si>
    <t>10월(A)</t>
    <phoneticPr fontId="9" type="noConversion"/>
  </si>
  <si>
    <t>10월(C)</t>
    <phoneticPr fontId="9" type="noConversion"/>
  </si>
  <si>
    <t>10월누계(B)</t>
    <phoneticPr fontId="9" type="noConversion"/>
  </si>
  <si>
    <t>10월누계(D)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</si>
</sst>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b/>
      <sz val="11"/>
      <color theme="1"/>
      <name val="굴림"/>
      <family val="3"/>
      <charset val="129"/>
    </font>
    <font>
      <b/>
      <sz val="1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8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8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9" fillId="0" borderId="0" applyFont="0" applyFill="0" applyBorder="0" applyAlignment="0" applyProtection="0">
      <alignment vertical="center"/>
    </xf>
  </cellStyleXfs>
  <cellXfs count="273">
    <xf numFmtId="0" fontId="0" fillId="0" borderId="0" xfId="0"/>
    <xf numFmtId="176" fontId="15" fillId="0" borderId="0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6" fontId="15" fillId="5" borderId="3" xfId="0" applyNumberFormat="1" applyFont="1" applyFill="1" applyBorder="1" applyAlignment="1">
      <alignment horizontal="right" vertical="center"/>
    </xf>
    <xf numFmtId="176" fontId="17" fillId="5" borderId="4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5" fillId="5" borderId="0" xfId="0" applyNumberFormat="1" applyFont="1" applyFill="1" applyBorder="1" applyAlignment="1">
      <alignment horizontal="center" vertical="center"/>
    </xf>
    <xf numFmtId="0" fontId="18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6" fontId="19" fillId="4" borderId="1" xfId="0" applyNumberFormat="1" applyFont="1" applyFill="1" applyBorder="1" applyAlignment="1">
      <alignment horizontal="right" vertical="center"/>
    </xf>
    <xf numFmtId="176" fontId="15" fillId="0" borderId="0" xfId="0" applyNumberFormat="1" applyFont="1" applyBorder="1" applyAlignment="1">
      <alignment horizontal="right" vertical="center"/>
    </xf>
    <xf numFmtId="9" fontId="16" fillId="4" borderId="5" xfId="0" quotePrefix="1" applyNumberFormat="1" applyFont="1" applyFill="1" applyBorder="1" applyAlignment="1">
      <alignment horizontal="right" vertical="center"/>
    </xf>
    <xf numFmtId="176" fontId="16" fillId="5" borderId="6" xfId="0" applyNumberFormat="1" applyFont="1" applyFill="1" applyBorder="1" applyAlignment="1">
      <alignment horizontal="right" vertical="center"/>
    </xf>
    <xf numFmtId="9" fontId="15" fillId="5" borderId="5" xfId="0" quotePrefix="1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9" fontId="15" fillId="0" borderId="5" xfId="0" quotePrefix="1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9" fontId="19" fillId="4" borderId="7" xfId="0" applyNumberFormat="1" applyFont="1" applyFill="1" applyBorder="1" applyAlignment="1">
      <alignment horizontal="right" vertical="center"/>
    </xf>
    <xf numFmtId="9" fontId="8" fillId="5" borderId="7" xfId="0" applyNumberFormat="1" applyFont="1" applyFill="1" applyBorder="1" applyAlignment="1">
      <alignment horizontal="right" vertical="center"/>
    </xf>
    <xf numFmtId="9" fontId="8" fillId="0" borderId="7" xfId="0" applyNumberFormat="1" applyFont="1" applyFill="1" applyBorder="1" applyAlignment="1">
      <alignment horizontal="right" vertical="center"/>
    </xf>
    <xf numFmtId="0" fontId="16" fillId="5" borderId="10" xfId="0" applyFont="1" applyFill="1" applyBorder="1" applyAlignment="1">
      <alignment horizontal="left"/>
    </xf>
    <xf numFmtId="0" fontId="15" fillId="5" borderId="0" xfId="0" applyFont="1" applyFill="1" applyBorder="1" applyAlignment="1">
      <alignment horizont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176" fontId="19" fillId="0" borderId="0" xfId="0" applyNumberFormat="1" applyFont="1" applyFill="1" applyBorder="1" applyAlignment="1">
      <alignment horizontal="right" vertical="center"/>
    </xf>
    <xf numFmtId="9" fontId="19" fillId="0" borderId="0" xfId="0" applyNumberFormat="1" applyFont="1" applyFill="1" applyBorder="1" applyAlignment="1">
      <alignment horizontal="right" vertical="center"/>
    </xf>
    <xf numFmtId="176" fontId="16" fillId="6" borderId="15" xfId="0" quotePrefix="1" applyNumberFormat="1" applyFont="1" applyFill="1" applyBorder="1" applyAlignment="1">
      <alignment horizontal="center" vertical="center"/>
    </xf>
    <xf numFmtId="176" fontId="16" fillId="6" borderId="16" xfId="0" applyNumberFormat="1" applyFon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/>
    </xf>
    <xf numFmtId="9" fontId="16" fillId="6" borderId="5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80" fontId="16" fillId="6" borderId="7" xfId="0" applyNumberFormat="1" applyFont="1" applyFill="1" applyBorder="1" applyAlignment="1">
      <alignment horizontal="center" vertical="center"/>
    </xf>
    <xf numFmtId="182" fontId="16" fillId="4" borderId="3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9" fontId="8" fillId="5" borderId="1" xfId="0" applyNumberFormat="1" applyFont="1" applyFill="1" applyBorder="1" applyAlignment="1">
      <alignment horizontal="right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3" fillId="0" borderId="0" xfId="0" applyFont="1"/>
    <xf numFmtId="0" fontId="7" fillId="0" borderId="0" xfId="16"/>
    <xf numFmtId="0" fontId="26" fillId="6" borderId="19" xfId="0" applyFont="1" applyFill="1" applyBorder="1" applyAlignment="1">
      <alignment horizontal="center" vertical="center"/>
    </xf>
    <xf numFmtId="180" fontId="26" fillId="6" borderId="20" xfId="0" quotePrefix="1" applyNumberFormat="1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83" fontId="27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20" fillId="0" borderId="0" xfId="16" applyFont="1" applyAlignment="1">
      <alignment vertical="center"/>
    </xf>
    <xf numFmtId="0" fontId="18" fillId="0" borderId="0" xfId="16" applyFont="1" applyAlignment="1">
      <alignment vertical="center"/>
    </xf>
    <xf numFmtId="0" fontId="28" fillId="0" borderId="0" xfId="17">
      <alignment vertical="center"/>
    </xf>
    <xf numFmtId="0" fontId="28" fillId="0" borderId="0" xfId="17" applyAlignment="1">
      <alignment horizontal="right"/>
    </xf>
    <xf numFmtId="180" fontId="28" fillId="0" borderId="0" xfId="17" applyNumberFormat="1" applyAlignment="1">
      <alignment horizontal="right"/>
    </xf>
    <xf numFmtId="0" fontId="8" fillId="0" borderId="0" xfId="17" applyFont="1" applyAlignment="1">
      <alignment horizontal="right" vertical="center"/>
    </xf>
    <xf numFmtId="180" fontId="8" fillId="0" borderId="0" xfId="17" applyNumberFormat="1" applyFont="1" applyAlignment="1">
      <alignment horizontal="right" vertical="center"/>
    </xf>
    <xf numFmtId="176" fontId="16" fillId="6" borderId="20" xfId="17" quotePrefix="1" applyNumberFormat="1" applyFont="1" applyFill="1" applyBorder="1" applyAlignment="1">
      <alignment horizontal="center" vertical="center"/>
    </xf>
    <xf numFmtId="176" fontId="16" fillId="6" borderId="1" xfId="17" applyNumberFormat="1" applyFont="1" applyFill="1" applyBorder="1" applyAlignment="1">
      <alignment horizontal="center" vertical="center"/>
    </xf>
    <xf numFmtId="9" fontId="16" fillId="6" borderId="1" xfId="17" applyNumberFormat="1" applyFont="1" applyFill="1" applyBorder="1" applyAlignment="1">
      <alignment horizontal="center" vertical="center"/>
    </xf>
    <xf numFmtId="0" fontId="19" fillId="6" borderId="1" xfId="17" applyFont="1" applyFill="1" applyBorder="1" applyAlignment="1">
      <alignment horizontal="center" vertical="center"/>
    </xf>
    <xf numFmtId="0" fontId="26" fillId="5" borderId="1" xfId="17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1" fillId="0" borderId="0" xfId="17" applyFont="1">
      <alignment vertical="center"/>
    </xf>
    <xf numFmtId="182" fontId="32" fillId="0" borderId="4" xfId="0" applyNumberFormat="1" applyFont="1" applyFill="1" applyBorder="1" applyAlignment="1">
      <alignment horizontal="right" vertical="center"/>
    </xf>
    <xf numFmtId="9" fontId="32" fillId="0" borderId="5" xfId="0" quotePrefix="1" applyNumberFormat="1" applyFont="1" applyFill="1" applyBorder="1" applyAlignment="1">
      <alignment horizontal="right" vertical="center"/>
    </xf>
    <xf numFmtId="9" fontId="33" fillId="0" borderId="7" xfId="0" applyNumberFormat="1" applyFont="1" applyFill="1" applyBorder="1" applyAlignment="1">
      <alignment horizontal="right" vertical="center"/>
    </xf>
    <xf numFmtId="182" fontId="32" fillId="5" borderId="4" xfId="0" applyNumberFormat="1" applyFont="1" applyFill="1" applyBorder="1" applyAlignment="1">
      <alignment horizontal="right" vertical="center"/>
    </xf>
    <xf numFmtId="9" fontId="32" fillId="5" borderId="5" xfId="0" quotePrefix="1" applyNumberFormat="1" applyFont="1" applyFill="1" applyBorder="1" applyAlignment="1">
      <alignment horizontal="right" vertical="center"/>
    </xf>
    <xf numFmtId="9" fontId="33" fillId="5" borderId="7" xfId="0" applyNumberFormat="1" applyFont="1" applyFill="1" applyBorder="1" applyAlignment="1">
      <alignment horizontal="right" vertical="center"/>
    </xf>
    <xf numFmtId="176" fontId="34" fillId="0" borderId="4" xfId="0" applyNumberFormat="1" applyFont="1" applyFill="1" applyBorder="1" applyAlignment="1">
      <alignment horizontal="center" vertical="center"/>
    </xf>
    <xf numFmtId="176" fontId="34" fillId="5" borderId="4" xfId="0" applyNumberFormat="1" applyFont="1" applyFill="1" applyBorder="1" applyAlignment="1">
      <alignment horizontal="center" vertical="center"/>
    </xf>
    <xf numFmtId="176" fontId="34" fillId="5" borderId="1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right" vertical="center"/>
    </xf>
    <xf numFmtId="9" fontId="33" fillId="5" borderId="1" xfId="0" applyNumberFormat="1" applyFont="1" applyFill="1" applyBorder="1" applyAlignment="1">
      <alignment horizontal="right" vertical="center"/>
    </xf>
    <xf numFmtId="176" fontId="33" fillId="5" borderId="1" xfId="0" applyNumberFormat="1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center" vertical="center" shrinkToFit="1"/>
    </xf>
    <xf numFmtId="176" fontId="16" fillId="4" borderId="3" xfId="0" applyNumberFormat="1" applyFont="1" applyFill="1" applyBorder="1" applyAlignment="1">
      <alignment horizontal="right" vertical="center" shrinkToFit="1"/>
    </xf>
    <xf numFmtId="9" fontId="16" fillId="4" borderId="5" xfId="0" quotePrefix="1" applyNumberFormat="1" applyFont="1" applyFill="1" applyBorder="1" applyAlignment="1">
      <alignment horizontal="right" vertical="center" shrinkToFit="1"/>
    </xf>
    <xf numFmtId="176" fontId="19" fillId="4" borderId="1" xfId="0" applyNumberFormat="1" applyFont="1" applyFill="1" applyBorder="1" applyAlignment="1">
      <alignment horizontal="right" vertical="center" shrinkToFit="1"/>
    </xf>
    <xf numFmtId="185" fontId="16" fillId="4" borderId="1" xfId="17" applyNumberFormat="1" applyFont="1" applyFill="1" applyBorder="1" applyAlignment="1">
      <alignment horizontal="right" vertical="center" shrinkToFit="1"/>
    </xf>
    <xf numFmtId="184" fontId="16" fillId="4" borderId="1" xfId="17" quotePrefix="1" applyNumberFormat="1" applyFont="1" applyFill="1" applyBorder="1" applyAlignment="1">
      <alignment horizontal="right" vertical="center" shrinkToFit="1"/>
    </xf>
    <xf numFmtId="176" fontId="19" fillId="4" borderId="1" xfId="17" applyNumberFormat="1" applyFont="1" applyFill="1" applyBorder="1" applyAlignment="1">
      <alignment horizontal="right" vertical="center" shrinkToFit="1"/>
    </xf>
    <xf numFmtId="185" fontId="16" fillId="5" borderId="1" xfId="17" applyNumberFormat="1" applyFont="1" applyFill="1" applyBorder="1" applyAlignment="1">
      <alignment horizontal="right" vertical="center" shrinkToFit="1"/>
    </xf>
    <xf numFmtId="184" fontId="16" fillId="5" borderId="1" xfId="17" quotePrefix="1" applyNumberFormat="1" applyFont="1" applyFill="1" applyBorder="1" applyAlignment="1">
      <alignment horizontal="right" vertical="center" shrinkToFit="1"/>
    </xf>
    <xf numFmtId="176" fontId="19" fillId="5" borderId="1" xfId="17" applyNumberFormat="1" applyFont="1" applyFill="1" applyBorder="1" applyAlignment="1">
      <alignment horizontal="right" vertical="center" shrinkToFit="1"/>
    </xf>
    <xf numFmtId="183" fontId="26" fillId="4" borderId="1" xfId="17" applyNumberFormat="1" applyFont="1" applyFill="1" applyBorder="1" applyAlignment="1">
      <alignment vertical="center" shrinkToFit="1"/>
    </xf>
    <xf numFmtId="0" fontId="20" fillId="0" borderId="0" xfId="16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6" fillId="4" borderId="12" xfId="0" applyNumberFormat="1" applyFont="1" applyFill="1" applyBorder="1" applyAlignment="1">
      <alignment horizontal="right" vertical="center"/>
    </xf>
    <xf numFmtId="176" fontId="16" fillId="4" borderId="24" xfId="0" applyNumberFormat="1" applyFont="1" applyFill="1" applyBorder="1" applyAlignment="1">
      <alignment horizontal="right" vertical="center" shrinkToFit="1"/>
    </xf>
    <xf numFmtId="9" fontId="16" fillId="4" borderId="13" xfId="0" quotePrefix="1" applyNumberFormat="1" applyFont="1" applyFill="1" applyBorder="1" applyAlignment="1">
      <alignment horizontal="right" vertical="center"/>
    </xf>
    <xf numFmtId="176" fontId="19" fillId="4" borderId="12" xfId="0" applyNumberFormat="1" applyFont="1" applyFill="1" applyBorder="1" applyAlignment="1">
      <alignment horizontal="right" vertical="center"/>
    </xf>
    <xf numFmtId="9" fontId="19" fillId="4" borderId="14" xfId="0" applyNumberFormat="1" applyFont="1" applyFill="1" applyBorder="1" applyAlignment="1">
      <alignment horizontal="right" vertical="center"/>
    </xf>
    <xf numFmtId="0" fontId="26" fillId="0" borderId="1" xfId="17" applyFont="1" applyFill="1" applyBorder="1" applyAlignment="1">
      <alignment horizontal="center" vertical="center"/>
    </xf>
    <xf numFmtId="185" fontId="16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8" fillId="6" borderId="1" xfId="17" applyNumberFormat="1" applyFont="1" applyFill="1" applyBorder="1" applyAlignment="1">
      <alignment horizontal="center" vertical="center"/>
    </xf>
    <xf numFmtId="183" fontId="27" fillId="0" borderId="12" xfId="0" applyNumberFormat="1" applyFont="1" applyBorder="1" applyAlignment="1">
      <alignment horizontal="right" vertical="center"/>
    </xf>
    <xf numFmtId="183" fontId="35" fillId="0" borderId="23" xfId="0" applyNumberFormat="1" applyFont="1" applyBorder="1" applyAlignment="1">
      <alignment horizontal="right" vertical="center"/>
    </xf>
    <xf numFmtId="183" fontId="27" fillId="0" borderId="12" xfId="0" applyNumberFormat="1" applyFont="1" applyBorder="1" applyAlignment="1">
      <alignment horizontal="right" vertical="center" shrinkToFit="1"/>
    </xf>
    <xf numFmtId="183" fontId="35" fillId="0" borderId="23" xfId="0" applyNumberFormat="1" applyFont="1" applyBorder="1" applyAlignment="1">
      <alignment horizontal="right" vertical="center" shrinkToFit="1"/>
    </xf>
    <xf numFmtId="176" fontId="37" fillId="0" borderId="23" xfId="15" applyFont="1" applyBorder="1" applyAlignment="1">
      <alignment horizontal="right" vertical="center" shrinkToFit="1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5" xfId="0" applyNumberFormat="1" applyFont="1" applyFill="1" applyBorder="1" applyAlignment="1">
      <alignment horizontal="center" vertical="center"/>
    </xf>
    <xf numFmtId="0" fontId="28" fillId="0" borderId="0" xfId="17" applyFont="1">
      <alignment vertical="center"/>
    </xf>
    <xf numFmtId="186" fontId="26" fillId="6" borderId="21" xfId="0" applyNumberFormat="1" applyFont="1" applyFill="1" applyBorder="1" applyAlignment="1">
      <alignment horizontal="center" vertical="center"/>
    </xf>
    <xf numFmtId="187" fontId="26" fillId="6" borderId="21" xfId="0" quotePrefix="1" applyNumberFormat="1" applyFont="1" applyFill="1" applyBorder="1" applyAlignment="1">
      <alignment horizontal="center" vertical="center"/>
    </xf>
    <xf numFmtId="41" fontId="27" fillId="0" borderId="1" xfId="17" applyNumberFormat="1" applyFont="1" applyBorder="1" applyAlignment="1">
      <alignment vertical="center" shrinkToFit="1"/>
    </xf>
    <xf numFmtId="180" fontId="16" fillId="6" borderId="7" xfId="17" applyNumberFormat="1" applyFont="1" applyFill="1" applyBorder="1" applyAlignment="1">
      <alignment horizontal="center" vertical="center"/>
    </xf>
    <xf numFmtId="184" fontId="16" fillId="4" borderId="7" xfId="17" quotePrefix="1" applyNumberFormat="1" applyFont="1" applyFill="1" applyBorder="1" applyAlignment="1">
      <alignment horizontal="right" vertical="center" shrinkToFit="1"/>
    </xf>
    <xf numFmtId="184" fontId="16" fillId="5" borderId="7" xfId="17" quotePrefix="1" applyNumberFormat="1" applyFont="1" applyFill="1" applyBorder="1" applyAlignment="1">
      <alignment horizontal="right" vertical="center" shrinkToFit="1"/>
    </xf>
    <xf numFmtId="184" fontId="16" fillId="5" borderId="7" xfId="17" quotePrefix="1" applyNumberFormat="1" applyFont="1" applyFill="1" applyBorder="1" applyAlignment="1">
      <alignment horizontal="right" vertical="center"/>
    </xf>
    <xf numFmtId="0" fontId="26" fillId="5" borderId="12" xfId="17" applyFont="1" applyFill="1" applyBorder="1" applyAlignment="1">
      <alignment horizontal="center" vertical="center"/>
    </xf>
    <xf numFmtId="183" fontId="27" fillId="0" borderId="12" xfId="17" applyNumberFormat="1" applyFont="1" applyBorder="1" applyAlignment="1">
      <alignment vertical="center" shrinkToFit="1"/>
    </xf>
    <xf numFmtId="185" fontId="16" fillId="5" borderId="12" xfId="17" applyNumberFormat="1" applyFont="1" applyFill="1" applyBorder="1" applyAlignment="1">
      <alignment horizontal="right" vertical="center" shrinkToFit="1"/>
    </xf>
    <xf numFmtId="176" fontId="19" fillId="5" borderId="12" xfId="17" applyNumberFormat="1" applyFont="1" applyFill="1" applyBorder="1" applyAlignment="1">
      <alignment horizontal="right" vertical="center" shrinkToFit="1"/>
    </xf>
    <xf numFmtId="176" fontId="15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5" fillId="5" borderId="3" xfId="0" applyNumberFormat="1" applyFont="1" applyFill="1" applyBorder="1" applyAlignment="1">
      <alignment horizontal="right" vertical="center"/>
    </xf>
    <xf numFmtId="182" fontId="15" fillId="0" borderId="3" xfId="0" applyNumberFormat="1" applyFont="1" applyFill="1" applyBorder="1" applyAlignment="1">
      <alignment horizontal="right" vertical="center"/>
    </xf>
    <xf numFmtId="182" fontId="32" fillId="5" borderId="3" xfId="0" applyNumberFormat="1" applyFont="1" applyFill="1" applyBorder="1" applyAlignment="1">
      <alignment horizontal="right" vertical="center"/>
    </xf>
    <xf numFmtId="182" fontId="32" fillId="0" borderId="3" xfId="0" applyNumberFormat="1" applyFont="1" applyFill="1" applyBorder="1" applyAlignment="1">
      <alignment horizontal="right" vertical="center"/>
    </xf>
    <xf numFmtId="182" fontId="33" fillId="5" borderId="1" xfId="0" applyNumberFormat="1" applyFont="1" applyFill="1" applyBorder="1" applyAlignment="1">
      <alignment horizontal="right" vertical="center"/>
    </xf>
    <xf numFmtId="182" fontId="8" fillId="5" borderId="1" xfId="0" applyNumberFormat="1" applyFont="1" applyFill="1" applyBorder="1" applyAlignment="1">
      <alignment horizontal="right" vertical="center"/>
    </xf>
    <xf numFmtId="182" fontId="33" fillId="0" borderId="1" xfId="0" applyNumberFormat="1" applyFont="1" applyFill="1" applyBorder="1" applyAlignment="1">
      <alignment horizontal="right" vertical="center"/>
    </xf>
    <xf numFmtId="182" fontId="19" fillId="4" borderId="1" xfId="0" applyNumberFormat="1" applyFont="1" applyFill="1" applyBorder="1" applyAlignment="1">
      <alignment horizontal="right" vertical="center"/>
    </xf>
    <xf numFmtId="41" fontId="27" fillId="0" borderId="7" xfId="17" applyNumberFormat="1" applyFont="1" applyBorder="1" applyAlignment="1">
      <alignment vertical="center" shrinkToFit="1"/>
    </xf>
    <xf numFmtId="176" fontId="15" fillId="7" borderId="9" xfId="0" applyNumberFormat="1" applyFont="1" applyFill="1" applyBorder="1" applyAlignment="1">
      <alignment horizontal="center" vertical="center"/>
    </xf>
    <xf numFmtId="176" fontId="15" fillId="7" borderId="8" xfId="0" applyNumberFormat="1" applyFont="1" applyFill="1" applyBorder="1" applyAlignment="1">
      <alignment horizontal="center" vertical="center"/>
    </xf>
    <xf numFmtId="176" fontId="16" fillId="7" borderId="8" xfId="0" applyNumberFormat="1" applyFont="1" applyFill="1" applyBorder="1" applyAlignment="1">
      <alignment horizontal="left" vertical="center"/>
    </xf>
    <xf numFmtId="176" fontId="15" fillId="7" borderId="8" xfId="0" applyNumberFormat="1" applyFont="1" applyFill="1" applyBorder="1" applyAlignment="1">
      <alignment horizontal="left" vertical="center"/>
    </xf>
    <xf numFmtId="176" fontId="15" fillId="7" borderId="11" xfId="0" applyNumberFormat="1" applyFont="1" applyFill="1" applyBorder="1" applyAlignment="1">
      <alignment vertical="center"/>
    </xf>
    <xf numFmtId="0" fontId="26" fillId="5" borderId="16" xfId="17" applyFont="1" applyFill="1" applyBorder="1" applyAlignment="1">
      <alignment horizontal="center" vertical="center"/>
    </xf>
    <xf numFmtId="183" fontId="27" fillId="0" borderId="16" xfId="17" applyNumberFormat="1" applyFont="1" applyBorder="1" applyAlignment="1">
      <alignment vertical="center" shrinkToFit="1"/>
    </xf>
    <xf numFmtId="185" fontId="16" fillId="5" borderId="16" xfId="17" applyNumberFormat="1" applyFont="1" applyFill="1" applyBorder="1" applyAlignment="1">
      <alignment horizontal="right" vertical="center" shrinkToFit="1"/>
    </xf>
    <xf numFmtId="176" fontId="19" fillId="5" borderId="16" xfId="17" applyNumberFormat="1" applyFont="1" applyFill="1" applyBorder="1" applyAlignment="1">
      <alignment horizontal="right" vertical="center" shrinkToFit="1"/>
    </xf>
    <xf numFmtId="41" fontId="27" fillId="0" borderId="12" xfId="17" applyNumberFormat="1" applyFont="1" applyBorder="1" applyAlignment="1">
      <alignment vertical="center" shrinkToFit="1"/>
    </xf>
    <xf numFmtId="182" fontId="37" fillId="0" borderId="12" xfId="0" applyNumberFormat="1" applyFont="1" applyBorder="1" applyAlignment="1">
      <alignment horizontal="right" vertical="center"/>
    </xf>
    <xf numFmtId="41" fontId="26" fillId="0" borderId="7" xfId="17" applyNumberFormat="1" applyFont="1" applyBorder="1" applyAlignment="1">
      <alignment horizontal="right" vertical="center" shrinkToFit="1"/>
    </xf>
    <xf numFmtId="41" fontId="26" fillId="0" borderId="14" xfId="17" applyNumberFormat="1" applyFont="1" applyBorder="1" applyAlignment="1">
      <alignment horizontal="right" vertical="center" shrinkToFit="1"/>
    </xf>
    <xf numFmtId="183" fontId="27" fillId="0" borderId="1" xfId="17" applyNumberFormat="1" applyFont="1" applyBorder="1" applyAlignment="1">
      <alignment vertical="center" shrinkToFit="1"/>
    </xf>
    <xf numFmtId="0" fontId="26" fillId="4" borderId="1" xfId="17" applyFont="1" applyFill="1" applyBorder="1" applyAlignment="1">
      <alignment horizontal="center" vertical="center"/>
    </xf>
    <xf numFmtId="176" fontId="16" fillId="4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Border="1" applyAlignment="1">
      <alignment horizontal="right" vertical="center"/>
    </xf>
    <xf numFmtId="176" fontId="15" fillId="0" borderId="3" xfId="0" applyNumberFormat="1" applyFont="1" applyFill="1" applyBorder="1" applyAlignment="1">
      <alignment horizontal="right" vertical="center"/>
    </xf>
    <xf numFmtId="182" fontId="15" fillId="0" borderId="4" xfId="0" applyNumberFormat="1" applyFont="1" applyBorder="1" applyAlignment="1">
      <alignment horizontal="right" vertical="center"/>
    </xf>
    <xf numFmtId="182" fontId="15" fillId="0" borderId="1" xfId="0" applyNumberFormat="1" applyFont="1" applyBorder="1" applyAlignment="1">
      <alignment horizontal="right" vertical="center"/>
    </xf>
    <xf numFmtId="41" fontId="15" fillId="0" borderId="1" xfId="0" applyNumberFormat="1" applyFont="1" applyBorder="1" applyAlignment="1">
      <alignment horizontal="right" vertical="center"/>
    </xf>
    <xf numFmtId="176" fontId="15" fillId="0" borderId="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41" fontId="15" fillId="0" borderId="1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41" fontId="27" fillId="0" borderId="1" xfId="17" applyNumberFormat="1" applyFont="1" applyBorder="1" applyAlignment="1">
      <alignment vertical="center" shrinkToFit="1"/>
    </xf>
    <xf numFmtId="183" fontId="27" fillId="0" borderId="1" xfId="17" applyNumberFormat="1" applyFont="1" applyBorder="1" applyAlignment="1">
      <alignment vertical="center" shrinkToFit="1"/>
    </xf>
    <xf numFmtId="183" fontId="27" fillId="0" borderId="1" xfId="17" applyNumberFormat="1" applyFont="1" applyBorder="1" applyAlignment="1">
      <alignment vertical="center" shrinkToFit="1"/>
    </xf>
    <xf numFmtId="183" fontId="27" fillId="0" borderId="1" xfId="17" applyNumberFormat="1" applyFont="1" applyBorder="1" applyAlignment="1">
      <alignment vertical="center" shrinkToFit="1"/>
    </xf>
    <xf numFmtId="183" fontId="27" fillId="0" borderId="16" xfId="17" applyNumberFormat="1" applyFont="1" applyBorder="1" applyAlignment="1">
      <alignment vertical="center" shrinkToFit="1"/>
    </xf>
    <xf numFmtId="183" fontId="27" fillId="0" borderId="4" xfId="17" applyNumberFormat="1" applyFont="1" applyBorder="1" applyAlignment="1">
      <alignment vertical="center" shrinkToFit="1"/>
    </xf>
    <xf numFmtId="41" fontId="27" fillId="0" borderId="1" xfId="17" applyNumberFormat="1" applyFont="1" applyFill="1" applyBorder="1" applyAlignment="1">
      <alignment vertical="center" shrinkToFit="1"/>
    </xf>
    <xf numFmtId="41" fontId="27" fillId="0" borderId="1" xfId="17" applyNumberFormat="1" applyFont="1" applyBorder="1" applyAlignment="1">
      <alignment vertical="center" shrinkToFit="1"/>
    </xf>
    <xf numFmtId="176" fontId="32" fillId="5" borderId="7" xfId="0" applyNumberFormat="1" applyFont="1" applyFill="1" applyBorder="1" applyAlignment="1">
      <alignment horizontal="center" vertical="center"/>
    </xf>
    <xf numFmtId="189" fontId="41" fillId="8" borderId="12" xfId="36" applyNumberFormat="1" applyFont="1" applyFill="1" applyBorder="1" applyAlignment="1">
      <alignment horizontal="right" vertical="center"/>
    </xf>
    <xf numFmtId="189" fontId="43" fillId="9" borderId="1" xfId="36" applyNumberFormat="1" applyFont="1" applyFill="1" applyBorder="1" applyAlignment="1">
      <alignment horizontal="right" vertical="center"/>
    </xf>
    <xf numFmtId="182" fontId="42" fillId="9" borderId="1" xfId="36" applyNumberFormat="1" applyFont="1" applyFill="1" applyBorder="1" applyAlignment="1">
      <alignment horizontal="right" vertical="center"/>
    </xf>
    <xf numFmtId="189" fontId="42" fillId="9" borderId="1" xfId="36" applyNumberFormat="1" applyFont="1" applyFill="1" applyBorder="1" applyAlignment="1">
      <alignment horizontal="right" vertical="center"/>
    </xf>
    <xf numFmtId="189" fontId="40" fillId="8" borderId="12" xfId="36" applyNumberFormat="1" applyFont="1" applyFill="1" applyBorder="1" applyAlignment="1">
      <alignment horizontal="right" vertical="center"/>
    </xf>
    <xf numFmtId="182" fontId="15" fillId="0" borderId="4" xfId="19" applyNumberFormat="1" applyFont="1" applyBorder="1" applyAlignment="1">
      <alignment horizontal="right" vertical="center"/>
    </xf>
    <xf numFmtId="182" fontId="15" fillId="0" borderId="1" xfId="19" applyNumberFormat="1" applyFont="1" applyBorder="1" applyAlignment="1">
      <alignment horizontal="right" vertical="center"/>
    </xf>
    <xf numFmtId="176" fontId="15" fillId="0" borderId="4" xfId="19" applyNumberFormat="1" applyFont="1" applyFill="1" applyBorder="1" applyAlignment="1">
      <alignment horizontal="center" vertical="center"/>
    </xf>
    <xf numFmtId="188" fontId="15" fillId="0" borderId="4" xfId="19" applyNumberFormat="1" applyFont="1" applyBorder="1" applyAlignment="1">
      <alignment horizontal="right"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7" fillId="9" borderId="39" xfId="37" applyFont="1" applyFill="1" applyBorder="1" applyAlignment="1">
      <alignment vertical="center"/>
    </xf>
    <xf numFmtId="41" fontId="28" fillId="0" borderId="0" xfId="17" applyNumberFormat="1">
      <alignment vertical="center"/>
    </xf>
    <xf numFmtId="176" fontId="15" fillId="0" borderId="1" xfId="0" applyNumberFormat="1" applyFont="1" applyBorder="1" applyAlignment="1">
      <alignment horizontal="center" vertical="center"/>
    </xf>
    <xf numFmtId="176" fontId="15" fillId="5" borderId="5" xfId="0" applyNumberFormat="1" applyFont="1" applyFill="1" applyBorder="1" applyAlignment="1">
      <alignment horizontal="center" vertical="center"/>
    </xf>
    <xf numFmtId="176" fontId="15" fillId="5" borderId="3" xfId="0" applyNumberFormat="1" applyFont="1" applyFill="1" applyBorder="1" applyAlignment="1">
      <alignment horizontal="center" vertical="center"/>
    </xf>
    <xf numFmtId="176" fontId="15" fillId="0" borderId="5" xfId="0" applyNumberFormat="1" applyFont="1" applyFill="1" applyBorder="1" applyAlignment="1">
      <alignment horizontal="center" vertical="center"/>
    </xf>
    <xf numFmtId="176" fontId="15" fillId="0" borderId="3" xfId="0" applyNumberFormat="1" applyFon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25" xfId="0" applyNumberFormat="1" applyFont="1" applyFill="1" applyBorder="1" applyAlignment="1">
      <alignment horizontal="center" vertical="center"/>
    </xf>
    <xf numFmtId="176" fontId="15" fillId="5" borderId="16" xfId="0" applyNumberFormat="1" applyFont="1" applyFill="1" applyBorder="1" applyAlignment="1">
      <alignment horizontal="center" vertical="center"/>
    </xf>
    <xf numFmtId="176" fontId="16" fillId="7" borderId="9" xfId="0" applyNumberFormat="1" applyFont="1" applyFill="1" applyBorder="1" applyAlignment="1">
      <alignment horizontal="center" vertical="center"/>
    </xf>
    <xf numFmtId="176" fontId="16" fillId="7" borderId="8" xfId="0" applyNumberFormat="1" applyFont="1" applyFill="1" applyBorder="1" applyAlignment="1">
      <alignment horizontal="center" vertical="center"/>
    </xf>
    <xf numFmtId="176" fontId="16" fillId="7" borderId="11" xfId="0" applyNumberFormat="1" applyFont="1" applyFill="1" applyBorder="1" applyAlignment="1">
      <alignment horizontal="center" vertical="center"/>
    </xf>
    <xf numFmtId="176" fontId="16" fillId="4" borderId="5" xfId="0" applyNumberFormat="1" applyFont="1" applyFill="1" applyBorder="1" applyAlignment="1">
      <alignment horizontal="center" vertical="center"/>
    </xf>
    <xf numFmtId="176" fontId="16" fillId="4" borderId="3" xfId="0" applyNumberFormat="1" applyFont="1" applyFill="1" applyBorder="1" applyAlignment="1">
      <alignment horizontal="center" vertical="center"/>
    </xf>
    <xf numFmtId="9" fontId="16" fillId="5" borderId="6" xfId="0" applyNumberFormat="1" applyFont="1" applyFill="1" applyBorder="1" applyAlignment="1">
      <alignment horizontal="right"/>
    </xf>
    <xf numFmtId="9" fontId="16" fillId="5" borderId="6" xfId="0" quotePrefix="1" applyNumberFormat="1" applyFont="1" applyFill="1" applyBorder="1" applyAlignment="1">
      <alignment horizontal="right"/>
    </xf>
    <xf numFmtId="9" fontId="16" fillId="5" borderId="26" xfId="0" quotePrefix="1" applyNumberFormat="1" applyFont="1" applyFill="1" applyBorder="1" applyAlignment="1">
      <alignment horizontal="right"/>
    </xf>
    <xf numFmtId="176" fontId="16" fillId="6" borderId="20" xfId="0" applyNumberFormat="1" applyFont="1" applyFill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center" vertical="center"/>
    </xf>
    <xf numFmtId="176" fontId="15" fillId="2" borderId="25" xfId="0" applyNumberFormat="1" applyFont="1" applyFill="1" applyBorder="1" applyAlignment="1">
      <alignment horizontal="center" vertical="center"/>
    </xf>
    <xf numFmtId="176" fontId="15" fillId="2" borderId="16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176" fontId="16" fillId="6" borderId="27" xfId="0" applyNumberFormat="1" applyFont="1" applyFill="1" applyBorder="1" applyAlignment="1">
      <alignment horizontal="center" vertical="center"/>
    </xf>
    <xf numFmtId="176" fontId="16" fillId="6" borderId="15" xfId="0" applyNumberFormat="1" applyFont="1" applyFill="1" applyBorder="1" applyAlignment="1">
      <alignment horizontal="center" vertical="center"/>
    </xf>
    <xf numFmtId="176" fontId="16" fillId="6" borderId="21" xfId="0" applyNumberFormat="1" applyFont="1" applyFill="1" applyBorder="1" applyAlignment="1">
      <alignment horizontal="center" vertical="center"/>
    </xf>
    <xf numFmtId="176" fontId="16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4" fillId="0" borderId="0" xfId="0" applyNumberFormat="1" applyFont="1" applyAlignment="1">
      <alignment horizontal="center" wrapText="1"/>
    </xf>
    <xf numFmtId="176" fontId="14" fillId="0" borderId="0" xfId="0" applyNumberFormat="1" applyFont="1" applyAlignment="1">
      <alignment horizontal="center"/>
    </xf>
    <xf numFmtId="176" fontId="14" fillId="0" borderId="0" xfId="0" applyNumberFormat="1" applyFont="1" applyAlignment="1">
      <alignment horizontal="center" vertical="top" wrapText="1"/>
    </xf>
    <xf numFmtId="176" fontId="16" fillId="6" borderId="37" xfId="0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/>
    </xf>
    <xf numFmtId="176" fontId="15" fillId="2" borderId="1" xfId="0" applyNumberFormat="1" applyFont="1" applyFill="1" applyBorder="1" applyAlignment="1">
      <alignment horizontal="center" vertical="center"/>
    </xf>
    <xf numFmtId="176" fontId="16" fillId="6" borderId="33" xfId="0" applyNumberFormat="1" applyFont="1" applyFill="1" applyBorder="1" applyAlignment="1">
      <alignment horizontal="center" vertical="center"/>
    </xf>
    <xf numFmtId="176" fontId="16" fillId="6" borderId="34" xfId="0" applyNumberFormat="1" applyFont="1" applyFill="1" applyBorder="1" applyAlignment="1">
      <alignment horizontal="center" vertical="center"/>
    </xf>
    <xf numFmtId="176" fontId="16" fillId="6" borderId="24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7" fillId="0" borderId="11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27" fillId="0" borderId="12" xfId="17" applyFont="1" applyBorder="1" applyAlignment="1">
      <alignment horizontal="center" vertical="center"/>
    </xf>
    <xf numFmtId="176" fontId="16" fillId="6" borderId="20" xfId="17" applyNumberFormat="1" applyFont="1" applyFill="1" applyBorder="1" applyAlignment="1">
      <alignment horizontal="center" vertical="center"/>
    </xf>
    <xf numFmtId="176" fontId="16" fillId="6" borderId="38" xfId="17" applyNumberFormat="1" applyFont="1" applyFill="1" applyBorder="1" applyAlignment="1">
      <alignment horizontal="center" vertical="center"/>
    </xf>
    <xf numFmtId="0" fontId="26" fillId="4" borderId="36" xfId="17" applyFont="1" applyFill="1" applyBorder="1" applyAlignment="1">
      <alignment horizontal="center" vertical="center"/>
    </xf>
    <xf numFmtId="0" fontId="26" fillId="4" borderId="1" xfId="17" applyFont="1" applyFill="1" applyBorder="1" applyAlignment="1">
      <alignment horizontal="center" vertical="center"/>
    </xf>
    <xf numFmtId="0" fontId="27" fillId="0" borderId="3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176" fontId="16" fillId="6" borderId="19" xfId="17" applyNumberFormat="1" applyFont="1" applyFill="1" applyBorder="1" applyAlignment="1">
      <alignment horizontal="center" vertical="center"/>
    </xf>
    <xf numFmtId="0" fontId="28" fillId="6" borderId="20" xfId="17" applyFill="1" applyBorder="1">
      <alignment vertical="center"/>
    </xf>
    <xf numFmtId="0" fontId="28" fillId="6" borderId="36" xfId="17" applyFill="1" applyBorder="1">
      <alignment vertical="center"/>
    </xf>
    <xf numFmtId="0" fontId="28" fillId="6" borderId="1" xfId="17" applyFill="1" applyBorder="1">
      <alignment vertical="center"/>
    </xf>
    <xf numFmtId="0" fontId="29" fillId="6" borderId="20" xfId="17" applyFont="1" applyFill="1" applyBorder="1" applyAlignment="1">
      <alignment horizontal="center" vertical="center"/>
    </xf>
    <xf numFmtId="0" fontId="29" fillId="6" borderId="1" xfId="17" applyFont="1" applyFill="1" applyBorder="1" applyAlignment="1">
      <alignment horizontal="center" vertical="center"/>
    </xf>
    <xf numFmtId="0" fontId="27" fillId="0" borderId="36" xfId="17" applyFont="1" applyFill="1" applyBorder="1" applyAlignment="1">
      <alignment horizontal="center" vertical="center"/>
    </xf>
    <xf numFmtId="0" fontId="27" fillId="0" borderId="1" xfId="17" applyFont="1" applyFill="1" applyBorder="1" applyAlignment="1">
      <alignment horizontal="center" vertical="center"/>
    </xf>
  </cellXfs>
  <cellStyles count="38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쉼표 [0] 3" xfId="30"/>
    <cellStyle name="쉼표 [0] 4" xfId="37"/>
    <cellStyle name="표준" xfId="0" builtinId="0"/>
    <cellStyle name="표준 2" xfId="19"/>
    <cellStyle name="표준 3" xfId="18"/>
    <cellStyle name="표준 3 2" xfId="21"/>
    <cellStyle name="표준 3 2 2" xfId="26"/>
    <cellStyle name="표준 3 2 2 2" xfId="36"/>
    <cellStyle name="표준 3 2 3" xfId="24"/>
    <cellStyle name="표준 3 2 3 2" xfId="34"/>
    <cellStyle name="표준 3 2 4" xfId="32"/>
    <cellStyle name="표준 3 3" xfId="25"/>
    <cellStyle name="표준 3 3 2" xfId="35"/>
    <cellStyle name="표준 3 4" xfId="23"/>
    <cellStyle name="표준 3 4 2" xfId="33"/>
    <cellStyle name="표준 3 5" xfId="27"/>
    <cellStyle name="표준 3 6" xfId="31"/>
    <cellStyle name="표준 4" xfId="22"/>
    <cellStyle name="표준 5" xfId="29"/>
    <cellStyle name="표준 6" xfId="2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96655488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96947865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8123776"/>
        <c:axId val="208125312"/>
        <c:axId val="0"/>
      </c:bar3DChart>
      <c:catAx>
        <c:axId val="208123776"/>
        <c:scaling>
          <c:orientation val="minMax"/>
        </c:scaling>
        <c:delete val="1"/>
        <c:axPos val="b"/>
        <c:majorTickMark val="out"/>
        <c:minorTickMark val="none"/>
        <c:tickLblPos val="none"/>
        <c:crossAx val="208125312"/>
        <c:crosses val="autoZero"/>
        <c:auto val="1"/>
        <c:lblAlgn val="ctr"/>
        <c:lblOffset val="100"/>
        <c:noMultiLvlLbl val="0"/>
      </c:catAx>
      <c:valAx>
        <c:axId val="20812531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812377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769220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722871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42207232"/>
        <c:axId val="142475264"/>
        <c:axId val="0"/>
      </c:bar3DChart>
      <c:catAx>
        <c:axId val="142207232"/>
        <c:scaling>
          <c:orientation val="minMax"/>
        </c:scaling>
        <c:delete val="1"/>
        <c:axPos val="b"/>
        <c:majorTickMark val="out"/>
        <c:minorTickMark val="none"/>
        <c:tickLblPos val="none"/>
        <c:crossAx val="142475264"/>
        <c:crosses val="autoZero"/>
        <c:auto val="1"/>
        <c:lblAlgn val="ctr"/>
        <c:lblOffset val="100"/>
        <c:noMultiLvlLbl val="0"/>
      </c:catAx>
      <c:valAx>
        <c:axId val="142475264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20723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96947865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04704"/>
        <c:axId val="142506624"/>
      </c:lineChart>
      <c:catAx>
        <c:axId val="14250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06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5066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047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722871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14816"/>
        <c:axId val="142516992"/>
      </c:lineChart>
      <c:catAx>
        <c:axId val="14251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16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5169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148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41952"/>
        <c:axId val="142543872"/>
      </c:lineChart>
      <c:catAx>
        <c:axId val="14254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43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5438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41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13905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51680"/>
        <c:axId val="142553856"/>
      </c:lineChart>
      <c:catAx>
        <c:axId val="14255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53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5538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5168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13905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74336"/>
        <c:axId val="142576256"/>
      </c:lineChart>
      <c:catAx>
        <c:axId val="14257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76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25762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25743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=""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=""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230"/>
      <c r="M1" s="230"/>
    </row>
    <row r="2" spans="2:15" ht="33" customHeight="1">
      <c r="B2" s="240" t="s">
        <v>49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</row>
    <row r="3" spans="2:15" ht="27.75" customHeight="1">
      <c r="B3" s="242" t="s">
        <v>102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</row>
    <row r="4" spans="2:15" ht="21.2" customHeight="1" thickBot="1">
      <c r="B4" s="213" t="s">
        <v>71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2:15" ht="21.2" customHeight="1">
      <c r="B5" s="234" t="s">
        <v>7</v>
      </c>
      <c r="C5" s="235"/>
      <c r="D5" s="236"/>
      <c r="E5" s="32"/>
      <c r="F5" s="232" t="s">
        <v>72</v>
      </c>
      <c r="G5" s="243"/>
      <c r="H5" s="226" t="s">
        <v>97</v>
      </c>
      <c r="I5" s="226"/>
      <c r="J5" s="231" t="s">
        <v>15</v>
      </c>
      <c r="K5" s="232"/>
      <c r="L5" s="232"/>
      <c r="M5" s="233"/>
    </row>
    <row r="6" spans="2:15" ht="20.25" customHeight="1">
      <c r="B6" s="237"/>
      <c r="C6" s="238"/>
      <c r="D6" s="239"/>
      <c r="E6" s="33" t="s">
        <v>11</v>
      </c>
      <c r="F6" s="109" t="s">
        <v>103</v>
      </c>
      <c r="G6" s="34" t="s">
        <v>105</v>
      </c>
      <c r="H6" s="109" t="s">
        <v>104</v>
      </c>
      <c r="I6" s="110" t="s">
        <v>106</v>
      </c>
      <c r="J6" s="34" t="s">
        <v>57</v>
      </c>
      <c r="K6" s="35" t="s">
        <v>16</v>
      </c>
      <c r="L6" s="36" t="s">
        <v>18</v>
      </c>
      <c r="M6" s="37" t="s">
        <v>16</v>
      </c>
    </row>
    <row r="7" spans="2:15" ht="21.2" customHeight="1">
      <c r="B7" s="218" t="s">
        <v>21</v>
      </c>
      <c r="C7" s="221" t="s">
        <v>12</v>
      </c>
      <c r="D7" s="222"/>
      <c r="E7" s="12">
        <f>SUM(E8:E9)</f>
        <v>16470</v>
      </c>
      <c r="F7" s="12">
        <f>SUM(F8:F9)</f>
        <v>1361</v>
      </c>
      <c r="G7" s="12">
        <f>SUM(G8:G9)</f>
        <v>13765</v>
      </c>
      <c r="H7" s="12">
        <f>SUM(H8:H9)</f>
        <v>1321</v>
      </c>
      <c r="I7" s="12">
        <f>SUM(I8:I9)</f>
        <v>13905</v>
      </c>
      <c r="J7" s="12">
        <f>H7-F7</f>
        <v>-40</v>
      </c>
      <c r="K7" s="15">
        <f>H7/F7</f>
        <v>0.97060984570168995</v>
      </c>
      <c r="L7" s="13">
        <f>I7-G7</f>
        <v>140</v>
      </c>
      <c r="M7" s="21">
        <f>I7/G7</f>
        <v>1.0101707228478023</v>
      </c>
    </row>
    <row r="8" spans="2:15" ht="19.5" customHeight="1">
      <c r="B8" s="219"/>
      <c r="C8" s="209" t="s">
        <v>9</v>
      </c>
      <c r="D8" s="210"/>
      <c r="E8" s="150">
        <v>10091</v>
      </c>
      <c r="F8" s="150">
        <v>840</v>
      </c>
      <c r="G8" s="150">
        <v>8364</v>
      </c>
      <c r="H8" s="150">
        <v>835</v>
      </c>
      <c r="I8" s="171">
        <v>8378</v>
      </c>
      <c r="J8" s="3">
        <f t="shared" ref="J8:J28" si="0">H8-F8</f>
        <v>-5</v>
      </c>
      <c r="K8" s="17">
        <f t="shared" ref="K8:K28" si="1">H8/F8</f>
        <v>0.99404761904761907</v>
      </c>
      <c r="L8" s="18">
        <f t="shared" ref="L8:L28" si="2">I8-G8</f>
        <v>14</v>
      </c>
      <c r="M8" s="22">
        <f t="shared" ref="M8:M28" si="3">I8/G8</f>
        <v>1.0016738402678145</v>
      </c>
    </row>
    <row r="9" spans="2:15" ht="19.5" customHeight="1">
      <c r="B9" s="220"/>
      <c r="C9" s="211" t="s">
        <v>10</v>
      </c>
      <c r="D9" s="212"/>
      <c r="E9" s="151">
        <v>6379</v>
      </c>
      <c r="F9" s="151">
        <v>521</v>
      </c>
      <c r="G9" s="151">
        <v>5401</v>
      </c>
      <c r="H9" s="151">
        <v>486</v>
      </c>
      <c r="I9" s="171">
        <v>5527</v>
      </c>
      <c r="J9" s="151">
        <f t="shared" si="0"/>
        <v>-35</v>
      </c>
      <c r="K9" s="19">
        <f t="shared" si="1"/>
        <v>0.93282149712092133</v>
      </c>
      <c r="L9" s="20">
        <f t="shared" si="2"/>
        <v>126</v>
      </c>
      <c r="M9" s="23">
        <f t="shared" si="3"/>
        <v>1.0233290131457138</v>
      </c>
    </row>
    <row r="10" spans="2:15" ht="21.2" customHeight="1">
      <c r="B10" s="218" t="s">
        <v>22</v>
      </c>
      <c r="C10" s="221" t="s">
        <v>8</v>
      </c>
      <c r="D10" s="222"/>
      <c r="E10" s="38">
        <f>E11+E15</f>
        <v>116876152</v>
      </c>
      <c r="F10" s="38">
        <f>F11+F15</f>
        <v>9997934</v>
      </c>
      <c r="G10" s="38">
        <f>G11+G15</f>
        <v>96655488</v>
      </c>
      <c r="H10" s="38">
        <f>H11+H15</f>
        <v>10600612</v>
      </c>
      <c r="I10" s="38">
        <f>I11+I15</f>
        <v>96947865</v>
      </c>
      <c r="J10" s="38">
        <f t="shared" si="0"/>
        <v>602678</v>
      </c>
      <c r="K10" s="15">
        <f t="shared" si="1"/>
        <v>1.0602802539004559</v>
      </c>
      <c r="L10" s="132">
        <f>I10-G10</f>
        <v>292377</v>
      </c>
      <c r="M10" s="21">
        <f t="shared" si="3"/>
        <v>1.0030249394633444</v>
      </c>
    </row>
    <row r="11" spans="2:15" ht="19.5" customHeight="1">
      <c r="B11" s="219"/>
      <c r="C11" s="215" t="s">
        <v>1</v>
      </c>
      <c r="D11" s="75" t="s">
        <v>0</v>
      </c>
      <c r="E11" s="71">
        <f>SUM(E12:E14)</f>
        <v>104967519</v>
      </c>
      <c r="F11" s="71">
        <f>SUM(F12:F14)</f>
        <v>8965639</v>
      </c>
      <c r="G11" s="71">
        <f>SUM(G12:G14)</f>
        <v>86707266</v>
      </c>
      <c r="H11" s="71">
        <f>SUM(H12:H14)</f>
        <v>9797906</v>
      </c>
      <c r="I11" s="71">
        <f>SUM(I12:I14)</f>
        <v>86926315</v>
      </c>
      <c r="J11" s="127">
        <f>H11-F11</f>
        <v>832267</v>
      </c>
      <c r="K11" s="72">
        <f t="shared" si="1"/>
        <v>1.0928285200865215</v>
      </c>
      <c r="L11" s="129">
        <f>I11-G11</f>
        <v>219049</v>
      </c>
      <c r="M11" s="73">
        <f t="shared" si="3"/>
        <v>1.0025263050042426</v>
      </c>
    </row>
    <row r="12" spans="2:15" ht="19.5" customHeight="1">
      <c r="B12" s="219"/>
      <c r="C12" s="216"/>
      <c r="D12" s="4" t="s">
        <v>5</v>
      </c>
      <c r="E12" s="152">
        <v>84583157</v>
      </c>
      <c r="F12" s="152">
        <v>7218324</v>
      </c>
      <c r="G12" s="152">
        <v>69419013</v>
      </c>
      <c r="H12" s="173">
        <v>8264107</v>
      </c>
      <c r="I12" s="170">
        <v>70612261</v>
      </c>
      <c r="J12" s="125">
        <f t="shared" si="0"/>
        <v>1045783</v>
      </c>
      <c r="K12" s="17">
        <f t="shared" si="1"/>
        <v>1.1448789220323166</v>
      </c>
      <c r="L12" s="130">
        <f t="shared" si="2"/>
        <v>1193248</v>
      </c>
      <c r="M12" s="22">
        <f t="shared" si="3"/>
        <v>1.0171890660560097</v>
      </c>
      <c r="O12" s="124"/>
    </row>
    <row r="13" spans="2:15" ht="19.5" customHeight="1">
      <c r="B13" s="219"/>
      <c r="C13" s="216"/>
      <c r="D13" s="4" t="s">
        <v>6</v>
      </c>
      <c r="E13" s="152">
        <v>15412892</v>
      </c>
      <c r="F13" s="152">
        <v>1311386</v>
      </c>
      <c r="G13" s="152">
        <v>12992489</v>
      </c>
      <c r="H13" s="173">
        <v>1304908</v>
      </c>
      <c r="I13" s="170">
        <v>13216251</v>
      </c>
      <c r="J13" s="125">
        <f t="shared" si="0"/>
        <v>-6478</v>
      </c>
      <c r="K13" s="17">
        <f t="shared" si="1"/>
        <v>0.99506018822833242</v>
      </c>
      <c r="L13" s="130">
        <f t="shared" si="2"/>
        <v>223762</v>
      </c>
      <c r="M13" s="22">
        <f t="shared" si="3"/>
        <v>1.0172224121182631</v>
      </c>
    </row>
    <row r="14" spans="2:15" ht="19.5" customHeight="1">
      <c r="B14" s="219"/>
      <c r="C14" s="217"/>
      <c r="D14" s="4" t="s">
        <v>13</v>
      </c>
      <c r="E14" s="152">
        <v>4971470</v>
      </c>
      <c r="F14" s="152">
        <f>216420+219509</f>
        <v>435929</v>
      </c>
      <c r="G14" s="152">
        <f>2175314+2120450</f>
        <v>4295764</v>
      </c>
      <c r="H14" s="176">
        <v>228891</v>
      </c>
      <c r="I14" s="170">
        <v>3097803</v>
      </c>
      <c r="J14" s="125">
        <f t="shared" si="0"/>
        <v>-207038</v>
      </c>
      <c r="K14" s="17">
        <f>H14/F14</f>
        <v>0.52506486147973641</v>
      </c>
      <c r="L14" s="130">
        <f t="shared" si="2"/>
        <v>-1197961</v>
      </c>
      <c r="M14" s="22">
        <f t="shared" si="3"/>
        <v>0.72112969893131929</v>
      </c>
    </row>
    <row r="15" spans="2:15" ht="19.5" customHeight="1">
      <c r="B15" s="219"/>
      <c r="C15" s="227" t="s">
        <v>2</v>
      </c>
      <c r="D15" s="74" t="s">
        <v>0</v>
      </c>
      <c r="E15" s="68">
        <f>SUM(E16:E18)</f>
        <v>11908633</v>
      </c>
      <c r="F15" s="68">
        <f>SUM(F16:F18)</f>
        <v>1032295</v>
      </c>
      <c r="G15" s="68">
        <f>SUM(G16:G18)</f>
        <v>9948222</v>
      </c>
      <c r="H15" s="68">
        <f>SUM(H16:H18)</f>
        <v>802706</v>
      </c>
      <c r="I15" s="68">
        <f>SUM(I16:I18)</f>
        <v>10021550</v>
      </c>
      <c r="J15" s="128">
        <f t="shared" si="0"/>
        <v>-229589</v>
      </c>
      <c r="K15" s="69">
        <f t="shared" si="1"/>
        <v>0.77759361422849094</v>
      </c>
      <c r="L15" s="131">
        <f t="shared" si="2"/>
        <v>73328</v>
      </c>
      <c r="M15" s="70">
        <f t="shared" si="3"/>
        <v>1.0073709653845682</v>
      </c>
    </row>
    <row r="16" spans="2:15" ht="19.5" customHeight="1">
      <c r="B16" s="219"/>
      <c r="C16" s="228"/>
      <c r="D16" s="4" t="s">
        <v>3</v>
      </c>
      <c r="E16" s="152">
        <v>8645260</v>
      </c>
      <c r="F16" s="152">
        <v>753234</v>
      </c>
      <c r="G16" s="152">
        <v>7156520</v>
      </c>
      <c r="H16" s="173">
        <v>614058</v>
      </c>
      <c r="I16" s="170">
        <v>6938147</v>
      </c>
      <c r="J16" s="126">
        <f t="shared" si="0"/>
        <v>-139176</v>
      </c>
      <c r="K16" s="17">
        <f t="shared" si="1"/>
        <v>0.81522873370028437</v>
      </c>
      <c r="L16" s="130">
        <f t="shared" si="2"/>
        <v>-218373</v>
      </c>
      <c r="M16" s="22">
        <f t="shared" si="3"/>
        <v>0.96948614689821311</v>
      </c>
    </row>
    <row r="17" spans="1:13" ht="19.5" customHeight="1">
      <c r="B17" s="219"/>
      <c r="C17" s="228"/>
      <c r="D17" s="5" t="s">
        <v>4</v>
      </c>
      <c r="E17" s="153">
        <v>3263373</v>
      </c>
      <c r="F17" s="153">
        <v>279061</v>
      </c>
      <c r="G17" s="153">
        <v>2791702</v>
      </c>
      <c r="H17" s="174">
        <v>188648</v>
      </c>
      <c r="I17" s="170">
        <v>3023406</v>
      </c>
      <c r="J17" s="126">
        <f t="shared" si="0"/>
        <v>-90413</v>
      </c>
      <c r="K17" s="17">
        <f t="shared" si="1"/>
        <v>0.67600990464450428</v>
      </c>
      <c r="L17" s="130">
        <f t="shared" si="2"/>
        <v>231704</v>
      </c>
      <c r="M17" s="22">
        <f t="shared" si="3"/>
        <v>1.0829973972866731</v>
      </c>
    </row>
    <row r="18" spans="1:13" ht="19.5" customHeight="1">
      <c r="B18" s="220"/>
      <c r="C18" s="229"/>
      <c r="D18" s="5" t="s">
        <v>17</v>
      </c>
      <c r="E18" s="158">
        <v>0</v>
      </c>
      <c r="F18" s="154"/>
      <c r="G18" s="154"/>
      <c r="H18" s="158">
        <v>0</v>
      </c>
      <c r="I18" s="153">
        <v>59997</v>
      </c>
      <c r="J18" s="158">
        <v>0</v>
      </c>
      <c r="K18" s="158">
        <v>0</v>
      </c>
      <c r="L18" s="130">
        <f t="shared" si="2"/>
        <v>59997</v>
      </c>
      <c r="M18" s="22" t="s">
        <v>98</v>
      </c>
    </row>
    <row r="19" spans="1:13" ht="20.100000000000001" customHeight="1">
      <c r="B19" s="24"/>
      <c r="C19" s="25"/>
      <c r="D19" s="6"/>
      <c r="E19" s="14"/>
      <c r="F19" s="1"/>
      <c r="G19" s="1"/>
      <c r="H19" s="1"/>
      <c r="I19" s="14"/>
      <c r="J19" s="16"/>
      <c r="K19" s="223" t="s">
        <v>23</v>
      </c>
      <c r="L19" s="224"/>
      <c r="M19" s="225"/>
    </row>
    <row r="20" spans="1:13" ht="21.2" customHeight="1">
      <c r="B20" s="134"/>
      <c r="C20" s="221" t="s">
        <v>8</v>
      </c>
      <c r="D20" s="222"/>
      <c r="E20" s="80">
        <f>SUM(E21,E25)</f>
        <v>936246</v>
      </c>
      <c r="F20" s="149">
        <f>SUM(F21,F25)</f>
        <v>72790</v>
      </c>
      <c r="G20" s="149">
        <f>SUM(G21,G25)</f>
        <v>769220</v>
      </c>
      <c r="H20" s="80">
        <f>SUM(H21,H25)</f>
        <v>70787</v>
      </c>
      <c r="I20" s="80">
        <f>SUM(I21,I25)</f>
        <v>722871</v>
      </c>
      <c r="J20" s="81">
        <f t="shared" si="0"/>
        <v>-2003</v>
      </c>
      <c r="K20" s="82">
        <f t="shared" si="1"/>
        <v>0.97248248385767277</v>
      </c>
      <c r="L20" s="83">
        <f t="shared" si="2"/>
        <v>-46349</v>
      </c>
      <c r="M20" s="21">
        <f>I20/G20</f>
        <v>0.93974545643639007</v>
      </c>
    </row>
    <row r="21" spans="1:13" ht="19.5" customHeight="1">
      <c r="B21" s="135"/>
      <c r="C21" s="208" t="s">
        <v>1</v>
      </c>
      <c r="D21" s="76" t="s">
        <v>0</v>
      </c>
      <c r="E21" s="158">
        <f>SUM(E22:E24)</f>
        <v>936246</v>
      </c>
      <c r="F21" s="158">
        <f>SUM(F22:F24)</f>
        <v>72790</v>
      </c>
      <c r="G21" s="158">
        <f>SUM(G22:G24)</f>
        <v>769220</v>
      </c>
      <c r="H21" s="158">
        <f>SUM(H22:H24)</f>
        <v>70787</v>
      </c>
      <c r="I21" s="158">
        <f>SUM(I22:I24)</f>
        <v>722871</v>
      </c>
      <c r="J21" s="77">
        <f t="shared" si="0"/>
        <v>-2003</v>
      </c>
      <c r="K21" s="78">
        <f t="shared" si="1"/>
        <v>0.97248248385767277</v>
      </c>
      <c r="L21" s="79">
        <f t="shared" si="2"/>
        <v>-46349</v>
      </c>
      <c r="M21" s="73">
        <f t="shared" si="3"/>
        <v>0.93974545643639007</v>
      </c>
    </row>
    <row r="22" spans="1:13" ht="19.5" customHeight="1">
      <c r="B22" s="136" t="s">
        <v>19</v>
      </c>
      <c r="C22" s="208"/>
      <c r="D22" s="41" t="s">
        <v>5</v>
      </c>
      <c r="E22" s="155">
        <v>467367</v>
      </c>
      <c r="F22" s="155">
        <v>36343</v>
      </c>
      <c r="G22" s="155">
        <v>384411</v>
      </c>
      <c r="H22" s="175">
        <v>33375</v>
      </c>
      <c r="I22" s="169">
        <v>352909</v>
      </c>
      <c r="J22" s="123">
        <f t="shared" si="0"/>
        <v>-2968</v>
      </c>
      <c r="K22" s="40">
        <f t="shared" si="1"/>
        <v>0.91833365434884295</v>
      </c>
      <c r="L22" s="20">
        <f t="shared" si="2"/>
        <v>-31502</v>
      </c>
      <c r="M22" s="22">
        <f t="shared" si="3"/>
        <v>0.9180512524355442</v>
      </c>
    </row>
    <row r="23" spans="1:13" ht="19.5" customHeight="1">
      <c r="B23" s="136" t="s">
        <v>20</v>
      </c>
      <c r="C23" s="208"/>
      <c r="D23" s="2" t="s">
        <v>14</v>
      </c>
      <c r="E23" s="155">
        <v>457531</v>
      </c>
      <c r="F23" s="155">
        <v>35451</v>
      </c>
      <c r="G23" s="155">
        <v>374723</v>
      </c>
      <c r="H23" s="175">
        <v>35087</v>
      </c>
      <c r="I23" s="169">
        <v>353557</v>
      </c>
      <c r="J23" s="123">
        <f t="shared" si="0"/>
        <v>-364</v>
      </c>
      <c r="K23" s="40">
        <f t="shared" si="1"/>
        <v>0.98973230656398969</v>
      </c>
      <c r="L23" s="18">
        <f t="shared" si="2"/>
        <v>-21166</v>
      </c>
      <c r="M23" s="22">
        <f t="shared" si="3"/>
        <v>0.94351561019739916</v>
      </c>
    </row>
    <row r="24" spans="1:13" ht="19.5" customHeight="1">
      <c r="B24" s="137"/>
      <c r="C24" s="208"/>
      <c r="D24" s="2" t="s">
        <v>13</v>
      </c>
      <c r="E24" s="155">
        <v>11348</v>
      </c>
      <c r="F24" s="155">
        <f>657+339</f>
        <v>996</v>
      </c>
      <c r="G24" s="155">
        <f>5925+4161</f>
        <v>10086</v>
      </c>
      <c r="H24" s="175">
        <v>2325</v>
      </c>
      <c r="I24" s="169">
        <v>16405</v>
      </c>
      <c r="J24" s="123">
        <f t="shared" si="0"/>
        <v>1329</v>
      </c>
      <c r="K24" s="40">
        <f t="shared" si="1"/>
        <v>2.3343373493975905</v>
      </c>
      <c r="L24" s="18">
        <f t="shared" si="2"/>
        <v>6319</v>
      </c>
      <c r="M24" s="22">
        <f t="shared" si="3"/>
        <v>1.6265119968272854</v>
      </c>
    </row>
    <row r="25" spans="1:13" ht="19.5" customHeight="1">
      <c r="B25" s="135"/>
      <c r="C25" s="246" t="s">
        <v>2</v>
      </c>
      <c r="D25" s="76" t="s">
        <v>69</v>
      </c>
      <c r="E25" s="158">
        <f>SUM(E26:E27)</f>
        <v>0</v>
      </c>
      <c r="F25" s="158">
        <v>0</v>
      </c>
      <c r="G25" s="158">
        <v>0</v>
      </c>
      <c r="H25" s="158">
        <v>0</v>
      </c>
      <c r="I25" s="158">
        <f>SUM(I26:I27)</f>
        <v>0</v>
      </c>
      <c r="J25" s="77">
        <f t="shared" si="0"/>
        <v>0</v>
      </c>
      <c r="K25" s="158">
        <v>0</v>
      </c>
      <c r="L25" s="18">
        <f t="shared" si="2"/>
        <v>0</v>
      </c>
      <c r="M25" s="167">
        <v>0</v>
      </c>
    </row>
    <row r="26" spans="1:13" ht="19.5" customHeight="1">
      <c r="B26" s="135"/>
      <c r="C26" s="246"/>
      <c r="D26" s="76" t="s">
        <v>69</v>
      </c>
      <c r="E26" s="156">
        <v>0</v>
      </c>
      <c r="F26" s="156">
        <v>0</v>
      </c>
      <c r="G26" s="156">
        <v>0</v>
      </c>
      <c r="H26" s="156">
        <v>0</v>
      </c>
      <c r="I26" s="156">
        <v>0</v>
      </c>
      <c r="J26" s="77">
        <f t="shared" si="0"/>
        <v>0</v>
      </c>
      <c r="K26" s="158">
        <v>0</v>
      </c>
      <c r="L26" s="18">
        <f t="shared" si="2"/>
        <v>0</v>
      </c>
      <c r="M26" s="167">
        <v>0</v>
      </c>
    </row>
    <row r="27" spans="1:13" ht="19.5" customHeight="1">
      <c r="B27" s="138"/>
      <c r="C27" s="246"/>
      <c r="D27" s="76" t="s">
        <v>69</v>
      </c>
      <c r="E27" s="157">
        <v>0</v>
      </c>
      <c r="F27" s="157">
        <v>0</v>
      </c>
      <c r="G27" s="157">
        <v>0</v>
      </c>
      <c r="H27" s="157">
        <v>0</v>
      </c>
      <c r="I27" s="157">
        <v>0</v>
      </c>
      <c r="J27" s="77">
        <f t="shared" si="0"/>
        <v>0</v>
      </c>
      <c r="K27" s="158">
        <v>0</v>
      </c>
      <c r="L27" s="18">
        <f t="shared" si="2"/>
        <v>0</v>
      </c>
      <c r="M27" s="167">
        <v>0</v>
      </c>
    </row>
    <row r="28" spans="1:13" s="94" customFormat="1" ht="21.2" customHeight="1" thickBot="1">
      <c r="B28" s="247" t="s">
        <v>67</v>
      </c>
      <c r="C28" s="248"/>
      <c r="D28" s="249"/>
      <c r="E28" s="95">
        <v>1429401</v>
      </c>
      <c r="F28" s="95">
        <v>121959</v>
      </c>
      <c r="G28" s="95">
        <v>1185604</v>
      </c>
      <c r="H28" s="168">
        <v>140063</v>
      </c>
      <c r="I28" s="172">
        <v>1346788</v>
      </c>
      <c r="J28" s="96">
        <f t="shared" si="0"/>
        <v>18104</v>
      </c>
      <c r="K28" s="97">
        <f t="shared" si="1"/>
        <v>1.1484433293155896</v>
      </c>
      <c r="L28" s="98">
        <f t="shared" si="2"/>
        <v>161184</v>
      </c>
      <c r="M28" s="99">
        <f t="shared" si="3"/>
        <v>1.1359509583301002</v>
      </c>
    </row>
    <row r="29" spans="1:13" ht="12.75" customHeight="1">
      <c r="B29" s="26"/>
      <c r="C29" s="26"/>
      <c r="D29" s="26"/>
      <c r="E29" s="27"/>
      <c r="F29" s="28"/>
      <c r="G29" s="28"/>
      <c r="H29" s="28"/>
      <c r="I29" s="28"/>
      <c r="J29" s="27"/>
      <c r="K29" s="29"/>
      <c r="L29" s="30"/>
      <c r="M29" s="31"/>
    </row>
    <row r="30" spans="1:13" s="252" customFormat="1" ht="18.75" customHeight="1">
      <c r="A30" s="252" t="s">
        <v>27</v>
      </c>
    </row>
    <row r="31" spans="1:13" s="42" customFormat="1" ht="21.2" customHeight="1">
      <c r="B31" s="251" t="s">
        <v>24</v>
      </c>
      <c r="C31" s="251"/>
      <c r="D31" s="92"/>
      <c r="E31" s="92"/>
      <c r="F31" s="92"/>
      <c r="G31" s="92"/>
      <c r="H31" s="251" t="s">
        <v>25</v>
      </c>
      <c r="I31" s="251"/>
    </row>
    <row r="32" spans="1:13" s="39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39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39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39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50" customFormat="1" ht="24" customHeight="1"/>
    <row r="41" spans="2:13" ht="19.5" customHeight="1">
      <c r="B41" s="244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</row>
    <row r="42" spans="2:13" ht="19.5" customHeight="1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AA7" sqref="AA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44" customFormat="1" ht="18.75">
      <c r="A1" s="43" t="s">
        <v>28</v>
      </c>
    </row>
    <row r="2" spans="1:27" s="44" customFormat="1" ht="15" thickBot="1">
      <c r="A2"/>
      <c r="B2"/>
      <c r="C2"/>
      <c r="D2" s="102"/>
      <c r="E2" s="102"/>
      <c r="F2" s="253" t="s">
        <v>70</v>
      </c>
      <c r="G2" s="253"/>
      <c r="H2"/>
      <c r="I2"/>
      <c r="J2"/>
      <c r="K2" s="102"/>
      <c r="L2" s="102"/>
      <c r="M2" s="253" t="s">
        <v>29</v>
      </c>
      <c r="N2" s="253"/>
    </row>
    <row r="3" spans="1:27" s="44" customFormat="1" ht="32.25" customHeight="1">
      <c r="A3" s="45" t="s">
        <v>30</v>
      </c>
      <c r="B3" s="46">
        <v>17</v>
      </c>
      <c r="C3" s="46">
        <v>18</v>
      </c>
      <c r="D3" s="46">
        <v>19</v>
      </c>
      <c r="E3" s="46">
        <v>20</v>
      </c>
      <c r="F3" s="46">
        <v>21</v>
      </c>
      <c r="G3" s="112">
        <v>22.1</v>
      </c>
      <c r="H3" s="47" t="s">
        <v>30</v>
      </c>
      <c r="I3" s="46">
        <v>17</v>
      </c>
      <c r="J3" s="46">
        <v>18</v>
      </c>
      <c r="K3" s="46">
        <v>19</v>
      </c>
      <c r="L3" s="46">
        <v>20</v>
      </c>
      <c r="M3" s="46">
        <v>21</v>
      </c>
      <c r="N3" s="113">
        <f>$G$3</f>
        <v>22.1</v>
      </c>
    </row>
    <row r="4" spans="1:27" s="44" customFormat="1" ht="39.200000000000003" customHeight="1" thickBot="1">
      <c r="A4" s="66" t="s">
        <v>31</v>
      </c>
      <c r="B4" s="104">
        <v>19440</v>
      </c>
      <c r="C4" s="104">
        <v>18829</v>
      </c>
      <c r="D4" s="104">
        <v>18416</v>
      </c>
      <c r="E4" s="104">
        <v>17326</v>
      </c>
      <c r="F4" s="104">
        <v>16412</v>
      </c>
      <c r="G4" s="105">
        <f>통계요약!I7</f>
        <v>13905</v>
      </c>
      <c r="H4" s="66" t="s">
        <v>32</v>
      </c>
      <c r="I4" s="104">
        <v>112491</v>
      </c>
      <c r="J4" s="104">
        <v>115147</v>
      </c>
      <c r="K4" s="104">
        <v>113201</v>
      </c>
      <c r="L4" s="104">
        <v>106845</v>
      </c>
      <c r="M4" s="104">
        <v>116876</v>
      </c>
      <c r="N4" s="144">
        <f>통계요약!I10</f>
        <v>96947865</v>
      </c>
    </row>
    <row r="5" spans="1:27" s="44" customFormat="1" ht="30.2" customHeight="1" thickBot="1">
      <c r="A5"/>
      <c r="B5"/>
      <c r="C5"/>
      <c r="D5" s="102"/>
      <c r="E5" s="102"/>
      <c r="F5" s="254" t="s">
        <v>33</v>
      </c>
      <c r="G5" s="254"/>
      <c r="H5" s="48"/>
      <c r="I5" s="49"/>
      <c r="J5" s="49"/>
      <c r="K5" s="102"/>
      <c r="L5" s="102"/>
      <c r="M5" s="254" t="s">
        <v>34</v>
      </c>
      <c r="N5" s="254"/>
    </row>
    <row r="6" spans="1:27" s="44" customFormat="1" ht="32.25" customHeight="1">
      <c r="A6" s="45" t="s">
        <v>30</v>
      </c>
      <c r="B6" s="46">
        <v>17</v>
      </c>
      <c r="C6" s="46">
        <v>18</v>
      </c>
      <c r="D6" s="46">
        <v>19</v>
      </c>
      <c r="E6" s="46">
        <v>20</v>
      </c>
      <c r="F6" s="46">
        <v>21</v>
      </c>
      <c r="G6" s="113">
        <f>$G$3</f>
        <v>22.1</v>
      </c>
      <c r="H6" s="47" t="s">
        <v>30</v>
      </c>
      <c r="I6" s="46">
        <v>17</v>
      </c>
      <c r="J6" s="46">
        <v>18</v>
      </c>
      <c r="K6" s="46">
        <v>19</v>
      </c>
      <c r="L6" s="46">
        <v>20</v>
      </c>
      <c r="M6" s="46">
        <v>21</v>
      </c>
      <c r="N6" s="113">
        <f>$G$3</f>
        <v>22.1</v>
      </c>
    </row>
    <row r="7" spans="1:27" s="44" customFormat="1" ht="37.5" customHeight="1" thickBot="1">
      <c r="A7" s="66" t="s">
        <v>35</v>
      </c>
      <c r="B7" s="106">
        <v>643233</v>
      </c>
      <c r="C7" s="106">
        <v>689852</v>
      </c>
      <c r="D7" s="106">
        <v>725047</v>
      </c>
      <c r="E7" s="106">
        <v>792643</v>
      </c>
      <c r="F7" s="106">
        <v>936246</v>
      </c>
      <c r="G7" s="107">
        <f>통계요약!I20</f>
        <v>722871</v>
      </c>
      <c r="H7" s="66" t="s">
        <v>36</v>
      </c>
      <c r="I7" s="104">
        <v>482428</v>
      </c>
      <c r="J7" s="104">
        <v>452480</v>
      </c>
      <c r="K7" s="104">
        <v>623733</v>
      </c>
      <c r="L7" s="104">
        <v>40267</v>
      </c>
      <c r="M7" s="104">
        <v>0</v>
      </c>
      <c r="N7" s="108">
        <v>0</v>
      </c>
      <c r="AA7" s="93">
        <f>(19166/188141)^(1/4)-1</f>
        <v>-0.43504740355323723</v>
      </c>
    </row>
    <row r="12" spans="1:27" s="55" customFormat="1" ht="25.5" customHeight="1">
      <c r="A12" s="55" t="s">
        <v>37</v>
      </c>
    </row>
    <row r="13" spans="1:27" s="44" customFormat="1" ht="21.2" customHeight="1">
      <c r="A13" s="91" t="s">
        <v>52</v>
      </c>
      <c r="H13" s="91" t="s">
        <v>51</v>
      </c>
      <c r="I13" s="50"/>
      <c r="J13" s="51"/>
      <c r="K13" s="52"/>
      <c r="L13" s="53"/>
      <c r="M13" s="53"/>
      <c r="N13" s="53"/>
    </row>
    <row r="14" spans="1:27" s="44" customFormat="1" ht="24" customHeight="1">
      <c r="I14" s="50"/>
      <c r="J14" s="51"/>
      <c r="K14" s="52"/>
      <c r="L14" s="53"/>
      <c r="M14" s="53"/>
      <c r="N14" s="53"/>
    </row>
    <row r="15" spans="1:27" s="44" customFormat="1" ht="24" customHeight="1">
      <c r="I15" s="50"/>
      <c r="J15" s="51"/>
      <c r="K15" s="52"/>
      <c r="L15" s="53"/>
      <c r="M15" s="53"/>
      <c r="N15" s="53"/>
    </row>
    <row r="16" spans="1:27" s="44" customFormat="1" ht="24" customHeight="1">
      <c r="I16" s="50"/>
      <c r="J16" s="51"/>
      <c r="K16" s="52"/>
      <c r="L16" s="53"/>
      <c r="M16" s="53"/>
      <c r="N16" s="53"/>
    </row>
    <row r="17" spans="1:14" s="44" customFormat="1" ht="24" customHeight="1">
      <c r="I17" s="50"/>
      <c r="J17" s="51"/>
      <c r="K17" s="52"/>
      <c r="L17" s="53"/>
      <c r="M17" s="53"/>
      <c r="N17" s="53"/>
    </row>
    <row r="18" spans="1:14" s="44" customFormat="1" ht="24" customHeight="1">
      <c r="I18" s="50"/>
      <c r="J18" s="51"/>
      <c r="K18" s="52"/>
      <c r="L18" s="53"/>
      <c r="M18" s="53"/>
      <c r="N18" s="53"/>
    </row>
    <row r="19" spans="1:14" s="44" customFormat="1" ht="24" customHeight="1">
      <c r="I19" s="50"/>
      <c r="J19" s="51"/>
      <c r="K19" s="52"/>
      <c r="L19" s="53"/>
      <c r="M19" s="53"/>
      <c r="N19" s="53"/>
    </row>
    <row r="20" spans="1:14" s="44" customFormat="1" ht="24" customHeight="1">
      <c r="I20" s="50"/>
      <c r="J20" s="51"/>
      <c r="K20" s="52"/>
      <c r="L20" s="53"/>
      <c r="M20" s="53"/>
      <c r="N20" s="53"/>
    </row>
    <row r="21" spans="1:14" s="44" customFormat="1" ht="24" customHeight="1">
      <c r="I21" s="50"/>
      <c r="J21" s="51"/>
      <c r="K21" s="52"/>
      <c r="L21" s="53"/>
      <c r="M21" s="53"/>
      <c r="N21" s="53"/>
    </row>
    <row r="22" spans="1:14" s="44" customFormat="1" ht="36" customHeight="1">
      <c r="I22" s="50"/>
      <c r="J22" s="51"/>
      <c r="K22" s="52"/>
      <c r="L22" s="53"/>
      <c r="M22" s="53"/>
      <c r="N22" s="53"/>
    </row>
    <row r="23" spans="1:14" s="44" customFormat="1" ht="27.75" customHeight="1">
      <c r="A23" s="54" t="s">
        <v>25</v>
      </c>
      <c r="H23" s="91" t="s">
        <v>50</v>
      </c>
      <c r="I23" s="50"/>
      <c r="J23" s="51"/>
      <c r="K23" s="52"/>
      <c r="L23" s="53"/>
      <c r="M23" s="53"/>
      <c r="N23" s="53"/>
    </row>
    <row r="24" spans="1:14" s="44" customFormat="1" ht="24" customHeight="1">
      <c r="I24" s="50"/>
      <c r="J24" s="51"/>
      <c r="K24" s="52"/>
      <c r="L24" s="53"/>
      <c r="M24" s="53"/>
      <c r="N24" s="53"/>
    </row>
    <row r="25" spans="1:14" s="44" customFormat="1" ht="24" customHeight="1">
      <c r="I25" s="50"/>
      <c r="J25" s="51"/>
      <c r="K25" s="52"/>
      <c r="L25" s="53"/>
      <c r="M25" s="53"/>
      <c r="N25" s="53"/>
    </row>
    <row r="26" spans="1:14" s="44" customFormat="1" ht="24" customHeight="1">
      <c r="I26" s="50"/>
      <c r="J26" s="51"/>
      <c r="K26" s="52"/>
      <c r="L26" s="53"/>
      <c r="M26" s="53"/>
      <c r="N26" s="53"/>
    </row>
    <row r="27" spans="1:14" s="44" customFormat="1" ht="24" customHeight="1">
      <c r="I27" s="50"/>
      <c r="J27" s="51"/>
      <c r="K27" s="52"/>
      <c r="L27" s="53"/>
      <c r="M27" s="53"/>
      <c r="N27" s="53"/>
    </row>
    <row r="28" spans="1:14" s="44" customFormat="1" ht="24" customHeight="1">
      <c r="I28" s="50"/>
      <c r="J28" s="51"/>
      <c r="K28" s="52"/>
      <c r="L28" s="53"/>
      <c r="M28" s="53"/>
      <c r="N28" s="53"/>
    </row>
    <row r="29" spans="1:14" s="44" customFormat="1" ht="24" customHeight="1">
      <c r="I29" s="50"/>
      <c r="J29" s="51"/>
      <c r="K29" s="52"/>
      <c r="L29" s="53"/>
      <c r="M29" s="53"/>
      <c r="N29" s="53"/>
    </row>
    <row r="30" spans="1:14" s="44" customFormat="1" ht="24" customHeight="1">
      <c r="I30" s="50"/>
      <c r="J30" s="51"/>
      <c r="K30" s="52"/>
      <c r="L30" s="53"/>
      <c r="M30" s="53"/>
      <c r="N30" s="53"/>
    </row>
    <row r="31" spans="1:14" s="44" customFormat="1" ht="24" customHeight="1">
      <c r="I31" s="50"/>
      <c r="J31" s="51"/>
      <c r="K31" s="52"/>
      <c r="L31" s="53"/>
      <c r="M31" s="53"/>
      <c r="N31" s="53"/>
    </row>
  </sheetData>
  <mergeCells count="4">
    <mergeCell ref="F2:G2"/>
    <mergeCell ref="M2:N2"/>
    <mergeCell ref="F5:G5"/>
    <mergeCell ref="M5:N5"/>
  </mergeCells>
  <phoneticPr fontId="24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zoomScale="85" zoomScaleNormal="85" workbookViewId="0">
      <pane xSplit="5" ySplit="5" topLeftCell="G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56" customWidth="1"/>
    <col min="2" max="2" width="5.75" style="56" customWidth="1"/>
    <col min="3" max="3" width="1" style="56" customWidth="1"/>
    <col min="4" max="4" width="8" style="56" customWidth="1"/>
    <col min="5" max="5" width="14.875" style="56" bestFit="1" customWidth="1"/>
    <col min="6" max="6" width="11" style="56" customWidth="1"/>
    <col min="7" max="7" width="13.25" style="56" customWidth="1"/>
    <col min="8" max="8" width="11" style="56" customWidth="1"/>
    <col min="9" max="9" width="13.25" style="56" customWidth="1"/>
    <col min="10" max="10" width="12.25" style="56" customWidth="1"/>
    <col min="11" max="11" width="11" style="56" customWidth="1"/>
    <col min="12" max="12" width="12.75" style="56" customWidth="1"/>
    <col min="13" max="13" width="11" style="56" customWidth="1"/>
    <col min="14" max="18" width="10" style="56"/>
    <col min="19" max="19" width="13.125" style="56" bestFit="1" customWidth="1"/>
    <col min="20" max="16384" width="10" style="56"/>
  </cols>
  <sheetData>
    <row r="1" spans="1:19" ht="50.25" customHeight="1" thickBot="1">
      <c r="A1" s="67" t="s">
        <v>38</v>
      </c>
      <c r="F1" s="111"/>
      <c r="G1" s="111"/>
      <c r="H1" s="111"/>
      <c r="I1" s="111"/>
      <c r="J1" s="57"/>
      <c r="K1" s="58"/>
      <c r="L1" s="59"/>
      <c r="M1" s="60"/>
    </row>
    <row r="2" spans="1:19" ht="21.95" customHeight="1">
      <c r="A2" s="265" t="s">
        <v>39</v>
      </c>
      <c r="B2" s="266"/>
      <c r="C2" s="266"/>
      <c r="D2" s="269" t="s">
        <v>40</v>
      </c>
      <c r="E2" s="61"/>
      <c r="F2" s="259" t="s">
        <v>72</v>
      </c>
      <c r="G2" s="259"/>
      <c r="H2" s="259" t="s">
        <v>97</v>
      </c>
      <c r="I2" s="259"/>
      <c r="J2" s="259" t="s">
        <v>41</v>
      </c>
      <c r="K2" s="259"/>
      <c r="L2" s="259"/>
      <c r="M2" s="260"/>
    </row>
    <row r="3" spans="1:19" ht="21.95" customHeight="1">
      <c r="A3" s="267"/>
      <c r="B3" s="268"/>
      <c r="C3" s="268"/>
      <c r="D3" s="270"/>
      <c r="E3" s="62" t="s">
        <v>42</v>
      </c>
      <c r="F3" s="62" t="str">
        <f>통계요약!F6</f>
        <v>10월(A)</v>
      </c>
      <c r="G3" s="62" t="str">
        <f>통계요약!G6</f>
        <v>10월누계(B)</v>
      </c>
      <c r="H3" s="103" t="str">
        <f>통계요약!H6</f>
        <v>10월(C)</v>
      </c>
      <c r="I3" s="62" t="str">
        <f>통계요약!I6</f>
        <v>10월누계(D)</v>
      </c>
      <c r="J3" s="62" t="s">
        <v>43</v>
      </c>
      <c r="K3" s="63" t="s">
        <v>44</v>
      </c>
      <c r="L3" s="64" t="s">
        <v>45</v>
      </c>
      <c r="M3" s="115" t="s">
        <v>44</v>
      </c>
    </row>
    <row r="4" spans="1:19" ht="21.95" customHeight="1">
      <c r="A4" s="261" t="s">
        <v>46</v>
      </c>
      <c r="B4" s="262"/>
      <c r="C4" s="262"/>
      <c r="D4" s="148" t="s">
        <v>47</v>
      </c>
      <c r="E4" s="90">
        <f>SUM(E6,E8,E10,E12,E14,E16,E18,E22,E20,E26,E28,E30,E32,E24,E34)</f>
        <v>936246</v>
      </c>
      <c r="F4" s="90">
        <f>SUM(F6,F8,F10,F12,F14,F16,F18,F22,F20,F26,F28,F30,F32,F24,F34)</f>
        <v>72789</v>
      </c>
      <c r="G4" s="90">
        <f>SUM(G6,G8,G10,G12,G14,G16,G18,G22,G20,G26,G28,G30,G32,G24,G34)</f>
        <v>769220</v>
      </c>
      <c r="H4" s="90">
        <f>SUM(H6,H8,H10,H12,H14,H16,H18,H22,H20,H26,H28,H30,H32,H24,H34)</f>
        <v>70786</v>
      </c>
      <c r="I4" s="90">
        <f>SUM(I6,I8,I10,I12,I14,I16,I18,I22,I20,I26,I28,I30,I32,I24,I34)</f>
        <v>722870.5</v>
      </c>
      <c r="J4" s="84">
        <f t="shared" ref="J4:J31" si="0">H4-F4</f>
        <v>-2003</v>
      </c>
      <c r="K4" s="85">
        <f t="shared" ref="K4:K33" si="1">(H4/F4*100)-100</f>
        <v>-2.7517894187308514</v>
      </c>
      <c r="L4" s="86">
        <f t="shared" ref="L4:L31" si="2">I4-G4</f>
        <v>-46349.5</v>
      </c>
      <c r="M4" s="116">
        <f t="shared" ref="M4:M33" si="3">(I4/G4*100)-100</f>
        <v>-6.0255193572710084</v>
      </c>
    </row>
    <row r="5" spans="1:19" ht="21.95" customHeight="1">
      <c r="A5" s="261"/>
      <c r="B5" s="262"/>
      <c r="C5" s="262"/>
      <c r="D5" s="148" t="s">
        <v>48</v>
      </c>
      <c r="E5" s="90">
        <f>SUM(E7,E9,E11,E13,E15,E17,E19,E21,E23,E27,E29,E31,E33,E25)</f>
        <v>14361448</v>
      </c>
      <c r="F5" s="90">
        <f>SUM(F7,F9,F11,F13,F15,F17,F19,F21,F23,F27,F29,F31,F33,F25,F35)</f>
        <v>1034757</v>
      </c>
      <c r="G5" s="90">
        <f>SUM(G7,G9,G11,G13,G15,G17,G19,G21,G23,G27,G29,G31,G33,G25,G35)</f>
        <v>11748375</v>
      </c>
      <c r="H5" s="90">
        <f>SUM(H7,H9,H11,H13,H15,H17,H19,H21,H23,H27,H29,H31,H33,H25,H35)</f>
        <v>1078914</v>
      </c>
      <c r="I5" s="90">
        <f>SUM(I7,I9,I11,I13,I15,I17,I19,I21,I23,I27,I29,I31,I33,I25,I35)</f>
        <v>11205469</v>
      </c>
      <c r="J5" s="84">
        <f t="shared" si="0"/>
        <v>44157</v>
      </c>
      <c r="K5" s="85">
        <f t="shared" si="1"/>
        <v>4.2673787179018774</v>
      </c>
      <c r="L5" s="86">
        <f t="shared" si="2"/>
        <v>-542906</v>
      </c>
      <c r="M5" s="116">
        <f t="shared" si="3"/>
        <v>-4.6211156862119225</v>
      </c>
    </row>
    <row r="6" spans="1:19" ht="21.2" customHeight="1">
      <c r="A6" s="263" t="s">
        <v>53</v>
      </c>
      <c r="B6" s="264"/>
      <c r="C6" s="264"/>
      <c r="D6" s="65" t="s">
        <v>47</v>
      </c>
      <c r="E6" s="147">
        <v>54806</v>
      </c>
      <c r="F6" s="160">
        <v>3687</v>
      </c>
      <c r="G6" s="160">
        <v>44679</v>
      </c>
      <c r="H6" s="177">
        <v>4516</v>
      </c>
      <c r="I6" s="192">
        <v>46731</v>
      </c>
      <c r="J6" s="87">
        <f t="shared" ref="J6:J20" si="4">H6-F6</f>
        <v>829</v>
      </c>
      <c r="K6" s="88">
        <f t="shared" ref="K6:K19" si="5">(H6/F6*100)-100</f>
        <v>22.484404665039335</v>
      </c>
      <c r="L6" s="89">
        <f>I6-G6</f>
        <v>2052</v>
      </c>
      <c r="M6" s="117">
        <f>(I6/G6*100)-100</f>
        <v>4.5927617001275678</v>
      </c>
      <c r="P6" s="56" t="s">
        <v>73</v>
      </c>
    </row>
    <row r="7" spans="1:19" ht="21.2" customHeight="1">
      <c r="A7" s="263"/>
      <c r="B7" s="264"/>
      <c r="C7" s="264"/>
      <c r="D7" s="65" t="s">
        <v>48</v>
      </c>
      <c r="E7" s="147">
        <v>1010788</v>
      </c>
      <c r="F7" s="160">
        <v>70395</v>
      </c>
      <c r="G7" s="160">
        <v>819325</v>
      </c>
      <c r="H7" s="178">
        <v>89216</v>
      </c>
      <c r="I7" s="162">
        <v>881556</v>
      </c>
      <c r="J7" s="87">
        <f t="shared" si="4"/>
        <v>18821</v>
      </c>
      <c r="K7" s="88">
        <f t="shared" si="5"/>
        <v>26.736273883088273</v>
      </c>
      <c r="L7" s="89">
        <f t="shared" si="2"/>
        <v>62231</v>
      </c>
      <c r="M7" s="117">
        <f t="shared" si="3"/>
        <v>7.5953986513288356</v>
      </c>
      <c r="P7" s="56" t="s">
        <v>73</v>
      </c>
    </row>
    <row r="8" spans="1:19" ht="21.2" customHeight="1">
      <c r="A8" s="263" t="s">
        <v>54</v>
      </c>
      <c r="B8" s="264"/>
      <c r="C8" s="264"/>
      <c r="D8" s="65" t="s">
        <v>47</v>
      </c>
      <c r="E8" s="147">
        <v>73319</v>
      </c>
      <c r="F8" s="160">
        <v>4726</v>
      </c>
      <c r="G8" s="160">
        <v>59662</v>
      </c>
      <c r="H8" s="179">
        <v>6113</v>
      </c>
      <c r="I8" s="193">
        <v>59604.5</v>
      </c>
      <c r="J8" s="87">
        <f t="shared" si="4"/>
        <v>1387</v>
      </c>
      <c r="K8" s="88">
        <f t="shared" si="5"/>
        <v>29.348286077020731</v>
      </c>
      <c r="L8" s="89">
        <f>I8-G8</f>
        <v>-57.5</v>
      </c>
      <c r="M8" s="117">
        <f>(I8/G8*100)-100</f>
        <v>-9.6376252891289482E-2</v>
      </c>
      <c r="P8" s="56" t="s">
        <v>74</v>
      </c>
    </row>
    <row r="9" spans="1:19" ht="21.2" customHeight="1">
      <c r="A9" s="263"/>
      <c r="B9" s="264"/>
      <c r="C9" s="264"/>
      <c r="D9" s="65" t="s">
        <v>48</v>
      </c>
      <c r="E9" s="147">
        <v>1108270</v>
      </c>
      <c r="F9" s="160">
        <v>69245</v>
      </c>
      <c r="G9" s="160">
        <v>913386</v>
      </c>
      <c r="H9" s="180">
        <v>86526</v>
      </c>
      <c r="I9" s="194">
        <v>872297</v>
      </c>
      <c r="J9" s="87">
        <f t="shared" si="4"/>
        <v>17281</v>
      </c>
      <c r="K9" s="88">
        <f t="shared" si="5"/>
        <v>24.956314535345498</v>
      </c>
      <c r="L9" s="89">
        <f t="shared" si="2"/>
        <v>-41089</v>
      </c>
      <c r="M9" s="117">
        <f t="shared" si="3"/>
        <v>-4.4985362157948572</v>
      </c>
      <c r="P9" s="56" t="s">
        <v>74</v>
      </c>
    </row>
    <row r="10" spans="1:19" ht="21.2" customHeight="1">
      <c r="A10" s="263" t="s">
        <v>94</v>
      </c>
      <c r="B10" s="264"/>
      <c r="C10" s="264"/>
      <c r="D10" s="65" t="s">
        <v>47</v>
      </c>
      <c r="E10" s="147">
        <v>32</v>
      </c>
      <c r="F10" s="159">
        <v>0</v>
      </c>
      <c r="G10" s="159">
        <v>12</v>
      </c>
      <c r="H10" s="114">
        <v>0</v>
      </c>
      <c r="I10" s="114">
        <v>11</v>
      </c>
      <c r="J10" s="87">
        <f t="shared" si="4"/>
        <v>0</v>
      </c>
      <c r="K10" s="114">
        <v>0</v>
      </c>
      <c r="L10" s="89">
        <f t="shared" si="2"/>
        <v>-1</v>
      </c>
      <c r="M10" s="117">
        <f t="shared" si="3"/>
        <v>-8.3333333333333428</v>
      </c>
      <c r="P10" s="56" t="s">
        <v>95</v>
      </c>
      <c r="S10" s="207"/>
    </row>
    <row r="11" spans="1:19" ht="21.2" customHeight="1">
      <c r="A11" s="263"/>
      <c r="B11" s="264"/>
      <c r="C11" s="264"/>
      <c r="D11" s="65" t="s">
        <v>48</v>
      </c>
      <c r="E11" s="147">
        <v>760</v>
      </c>
      <c r="F11" s="159">
        <v>0</v>
      </c>
      <c r="G11" s="159">
        <v>310</v>
      </c>
      <c r="H11" s="114">
        <v>0</v>
      </c>
      <c r="I11" s="114">
        <v>39</v>
      </c>
      <c r="J11" s="87">
        <f t="shared" si="4"/>
        <v>0</v>
      </c>
      <c r="K11" s="114">
        <v>0</v>
      </c>
      <c r="L11" s="89">
        <f t="shared" si="2"/>
        <v>-271</v>
      </c>
      <c r="M11" s="117">
        <f t="shared" si="3"/>
        <v>-87.41935483870968</v>
      </c>
      <c r="P11" s="56" t="s">
        <v>95</v>
      </c>
    </row>
    <row r="12" spans="1:19" ht="21.2" customHeight="1">
      <c r="A12" s="263" t="s">
        <v>66</v>
      </c>
      <c r="B12" s="264"/>
      <c r="C12" s="264"/>
      <c r="D12" s="65" t="s">
        <v>47</v>
      </c>
      <c r="E12" s="114">
        <v>0</v>
      </c>
      <c r="F12" s="159">
        <v>0</v>
      </c>
      <c r="G12" s="159">
        <v>0</v>
      </c>
      <c r="H12" s="114">
        <v>0</v>
      </c>
      <c r="I12" s="114">
        <v>0</v>
      </c>
      <c r="J12" s="87">
        <f t="shared" si="4"/>
        <v>0</v>
      </c>
      <c r="K12" s="114">
        <v>0</v>
      </c>
      <c r="L12" s="89">
        <f t="shared" si="2"/>
        <v>0</v>
      </c>
      <c r="M12" s="133">
        <v>0</v>
      </c>
      <c r="P12" s="56" t="s">
        <v>75</v>
      </c>
    </row>
    <row r="13" spans="1:19" ht="21.2" customHeight="1">
      <c r="A13" s="263"/>
      <c r="B13" s="264"/>
      <c r="C13" s="264"/>
      <c r="D13" s="65" t="s">
        <v>65</v>
      </c>
      <c r="E13" s="114">
        <v>0</v>
      </c>
      <c r="F13" s="159">
        <v>0</v>
      </c>
      <c r="G13" s="159">
        <v>0</v>
      </c>
      <c r="H13" s="114">
        <v>0</v>
      </c>
      <c r="I13" s="114">
        <v>0</v>
      </c>
      <c r="J13" s="87">
        <f t="shared" si="4"/>
        <v>0</v>
      </c>
      <c r="K13" s="114">
        <v>0</v>
      </c>
      <c r="L13" s="89">
        <f t="shared" si="2"/>
        <v>0</v>
      </c>
      <c r="M13" s="133">
        <v>0</v>
      </c>
      <c r="P13" s="56" t="s">
        <v>75</v>
      </c>
    </row>
    <row r="14" spans="1:19" ht="21.2" customHeight="1">
      <c r="A14" s="263" t="s">
        <v>55</v>
      </c>
      <c r="B14" s="264"/>
      <c r="C14" s="264"/>
      <c r="D14" s="65" t="s">
        <v>47</v>
      </c>
      <c r="E14" s="147">
        <v>113070</v>
      </c>
      <c r="F14" s="161">
        <v>6729</v>
      </c>
      <c r="G14" s="161">
        <v>92712</v>
      </c>
      <c r="H14" s="186">
        <v>13227</v>
      </c>
      <c r="I14" s="195">
        <v>108357</v>
      </c>
      <c r="J14" s="87">
        <f t="shared" si="4"/>
        <v>6498</v>
      </c>
      <c r="K14" s="88">
        <f t="shared" si="5"/>
        <v>96.567097637093156</v>
      </c>
      <c r="L14" s="89">
        <f t="shared" si="2"/>
        <v>15645</v>
      </c>
      <c r="M14" s="117">
        <f>(I14/G14*100)-100</f>
        <v>16.874838208646125</v>
      </c>
      <c r="P14" s="56" t="s">
        <v>76</v>
      </c>
    </row>
    <row r="15" spans="1:19" ht="21.2" customHeight="1">
      <c r="A15" s="263"/>
      <c r="B15" s="264"/>
      <c r="C15" s="264"/>
      <c r="D15" s="65" t="s">
        <v>48</v>
      </c>
      <c r="E15" s="147">
        <v>1740430</v>
      </c>
      <c r="F15" s="161">
        <v>12253</v>
      </c>
      <c r="G15" s="161">
        <v>1428407</v>
      </c>
      <c r="H15" s="187">
        <v>216649</v>
      </c>
      <c r="I15" s="196">
        <v>1743363</v>
      </c>
      <c r="J15" s="87">
        <f t="shared" si="4"/>
        <v>204396</v>
      </c>
      <c r="K15" s="88">
        <f t="shared" si="5"/>
        <v>1668.1302538153923</v>
      </c>
      <c r="L15" s="89">
        <f t="shared" si="2"/>
        <v>314956</v>
      </c>
      <c r="M15" s="117">
        <f t="shared" si="3"/>
        <v>22.049457892603442</v>
      </c>
      <c r="P15" s="56" t="s">
        <v>77</v>
      </c>
    </row>
    <row r="16" spans="1:19" ht="21.2" customHeight="1">
      <c r="A16" s="263" t="s">
        <v>62</v>
      </c>
      <c r="B16" s="264"/>
      <c r="C16" s="264"/>
      <c r="D16" s="65" t="s">
        <v>47</v>
      </c>
      <c r="E16" s="147">
        <v>257133</v>
      </c>
      <c r="F16" s="161">
        <v>17726</v>
      </c>
      <c r="G16" s="161">
        <v>219920</v>
      </c>
      <c r="H16" s="188">
        <v>10817</v>
      </c>
      <c r="I16" s="197">
        <v>177005</v>
      </c>
      <c r="J16" s="87">
        <f t="shared" si="4"/>
        <v>-6909</v>
      </c>
      <c r="K16" s="88">
        <f t="shared" si="5"/>
        <v>-38.976644477039379</v>
      </c>
      <c r="L16" s="89">
        <f t="shared" si="2"/>
        <v>-42915</v>
      </c>
      <c r="M16" s="117">
        <f t="shared" si="3"/>
        <v>-19.513914150600215</v>
      </c>
      <c r="P16" s="56" t="s">
        <v>78</v>
      </c>
    </row>
    <row r="17" spans="1:16" ht="21.2" customHeight="1">
      <c r="A17" s="263"/>
      <c r="B17" s="264"/>
      <c r="C17" s="264"/>
      <c r="D17" s="65" t="s">
        <v>48</v>
      </c>
      <c r="E17" s="147">
        <v>3567347</v>
      </c>
      <c r="F17" s="161">
        <v>244046</v>
      </c>
      <c r="G17" s="161">
        <v>3007308</v>
      </c>
      <c r="H17" s="189">
        <v>131887</v>
      </c>
      <c r="I17" s="198">
        <v>2466379</v>
      </c>
      <c r="J17" s="87">
        <f t="shared" si="4"/>
        <v>-112159</v>
      </c>
      <c r="K17" s="88">
        <f t="shared" si="5"/>
        <v>-45.958139039361434</v>
      </c>
      <c r="L17" s="89">
        <f t="shared" si="2"/>
        <v>-540929</v>
      </c>
      <c r="M17" s="117">
        <f t="shared" si="3"/>
        <v>-17.98714996934136</v>
      </c>
      <c r="P17" s="56" t="s">
        <v>79</v>
      </c>
    </row>
    <row r="18" spans="1:16" ht="21.2" customHeight="1">
      <c r="A18" s="263" t="s">
        <v>56</v>
      </c>
      <c r="B18" s="264"/>
      <c r="C18" s="264"/>
      <c r="D18" s="65" t="s">
        <v>47</v>
      </c>
      <c r="E18" s="147">
        <v>148930</v>
      </c>
      <c r="F18" s="161">
        <v>11913</v>
      </c>
      <c r="G18" s="161">
        <v>121238</v>
      </c>
      <c r="H18" s="190">
        <v>11743</v>
      </c>
      <c r="I18" s="199">
        <v>101260</v>
      </c>
      <c r="J18" s="87">
        <f t="shared" si="4"/>
        <v>-170</v>
      </c>
      <c r="K18" s="88">
        <f t="shared" si="5"/>
        <v>-1.4270125073449123</v>
      </c>
      <c r="L18" s="89">
        <f t="shared" si="2"/>
        <v>-19978</v>
      </c>
      <c r="M18" s="118">
        <f t="shared" si="3"/>
        <v>-16.478331876144452</v>
      </c>
      <c r="P18" s="56" t="s">
        <v>80</v>
      </c>
    </row>
    <row r="19" spans="1:16" ht="21.2" customHeight="1">
      <c r="A19" s="263"/>
      <c r="B19" s="264"/>
      <c r="C19" s="264"/>
      <c r="D19" s="65" t="s">
        <v>48</v>
      </c>
      <c r="E19" s="147">
        <v>2355281</v>
      </c>
      <c r="F19" s="161">
        <v>183760</v>
      </c>
      <c r="G19" s="161">
        <v>1912993</v>
      </c>
      <c r="H19" s="191">
        <v>196121</v>
      </c>
      <c r="I19" s="200">
        <v>1659949</v>
      </c>
      <c r="J19" s="87">
        <f t="shared" si="4"/>
        <v>12361</v>
      </c>
      <c r="K19" s="88">
        <f t="shared" si="5"/>
        <v>6.7267087505441907</v>
      </c>
      <c r="L19" s="89">
        <f t="shared" si="2"/>
        <v>-253044</v>
      </c>
      <c r="M19" s="118">
        <f t="shared" si="3"/>
        <v>-13.227649029557355</v>
      </c>
      <c r="P19" s="56" t="s">
        <v>81</v>
      </c>
    </row>
    <row r="20" spans="1:16" ht="21.2" customHeight="1">
      <c r="A20" s="271" t="s">
        <v>68</v>
      </c>
      <c r="B20" s="272"/>
      <c r="C20" s="272"/>
      <c r="D20" s="100" t="s">
        <v>47</v>
      </c>
      <c r="E20" s="114">
        <v>0</v>
      </c>
      <c r="F20" s="159">
        <v>0</v>
      </c>
      <c r="G20" s="159">
        <v>0</v>
      </c>
      <c r="H20" s="114">
        <v>0</v>
      </c>
      <c r="I20" s="114">
        <v>0</v>
      </c>
      <c r="J20" s="101">
        <f t="shared" si="4"/>
        <v>0</v>
      </c>
      <c r="K20" s="114">
        <v>0</v>
      </c>
      <c r="L20" s="89">
        <f t="shared" si="2"/>
        <v>0</v>
      </c>
      <c r="M20" s="133">
        <v>0</v>
      </c>
      <c r="P20" s="56" t="s">
        <v>82</v>
      </c>
    </row>
    <row r="21" spans="1:16" ht="21.2" customHeight="1">
      <c r="A21" s="271"/>
      <c r="B21" s="272"/>
      <c r="C21" s="272"/>
      <c r="D21" s="100" t="s">
        <v>48</v>
      </c>
      <c r="E21" s="114">
        <v>0</v>
      </c>
      <c r="F21" s="159">
        <v>0</v>
      </c>
      <c r="G21" s="159">
        <v>0</v>
      </c>
      <c r="H21" s="114">
        <v>0</v>
      </c>
      <c r="I21" s="114">
        <v>0</v>
      </c>
      <c r="J21" s="101">
        <f t="shared" si="0"/>
        <v>0</v>
      </c>
      <c r="K21" s="114">
        <v>0</v>
      </c>
      <c r="L21" s="89">
        <f t="shared" si="2"/>
        <v>0</v>
      </c>
      <c r="M21" s="133">
        <v>0</v>
      </c>
      <c r="P21" s="56" t="s">
        <v>83</v>
      </c>
    </row>
    <row r="22" spans="1:16" ht="21.2" customHeight="1">
      <c r="A22" s="263" t="s">
        <v>93</v>
      </c>
      <c r="B22" s="264"/>
      <c r="C22" s="264"/>
      <c r="D22" s="65" t="s">
        <v>47</v>
      </c>
      <c r="E22" s="147">
        <v>8</v>
      </c>
      <c r="F22" s="159">
        <v>8</v>
      </c>
      <c r="G22" s="159">
        <v>8</v>
      </c>
      <c r="H22" s="114">
        <v>0</v>
      </c>
      <c r="I22" s="114">
        <v>0</v>
      </c>
      <c r="J22" s="101">
        <f t="shared" si="0"/>
        <v>-8</v>
      </c>
      <c r="K22" s="114">
        <v>0</v>
      </c>
      <c r="L22" s="89">
        <f t="shared" si="2"/>
        <v>-8</v>
      </c>
      <c r="M22" s="133">
        <v>0</v>
      </c>
      <c r="P22" s="56" t="s">
        <v>96</v>
      </c>
    </row>
    <row r="23" spans="1:16" ht="21.2" customHeight="1">
      <c r="A23" s="263"/>
      <c r="B23" s="264"/>
      <c r="C23" s="264"/>
      <c r="D23" s="65" t="s">
        <v>48</v>
      </c>
      <c r="E23" s="147">
        <v>43</v>
      </c>
      <c r="F23" s="159">
        <v>43</v>
      </c>
      <c r="G23" s="159">
        <v>43</v>
      </c>
      <c r="H23" s="114">
        <v>0</v>
      </c>
      <c r="I23" s="114">
        <v>0</v>
      </c>
      <c r="J23" s="101">
        <f t="shared" si="0"/>
        <v>-43</v>
      </c>
      <c r="K23" s="114">
        <v>0</v>
      </c>
      <c r="L23" s="89">
        <f t="shared" si="2"/>
        <v>-43</v>
      </c>
      <c r="M23" s="133">
        <v>0</v>
      </c>
      <c r="P23" s="56" t="s">
        <v>96</v>
      </c>
    </row>
    <row r="24" spans="1:16" ht="21.2" customHeight="1">
      <c r="A24" s="263" t="s">
        <v>63</v>
      </c>
      <c r="B24" s="264"/>
      <c r="C24" s="264"/>
      <c r="D24" s="65" t="s">
        <v>64</v>
      </c>
      <c r="E24" s="147">
        <v>43</v>
      </c>
      <c r="F24" s="165">
        <v>12</v>
      </c>
      <c r="G24" s="165">
        <v>43</v>
      </c>
      <c r="H24" s="114"/>
      <c r="I24" s="114">
        <v>107</v>
      </c>
      <c r="J24" s="101">
        <f t="shared" si="0"/>
        <v>-12</v>
      </c>
      <c r="K24" s="114">
        <v>0</v>
      </c>
      <c r="L24" s="89">
        <f t="shared" si="2"/>
        <v>64</v>
      </c>
      <c r="M24" s="117">
        <f t="shared" si="3"/>
        <v>148.83720930232559</v>
      </c>
      <c r="P24" s="56" t="s">
        <v>84</v>
      </c>
    </row>
    <row r="25" spans="1:16" ht="21.2" customHeight="1">
      <c r="A25" s="263"/>
      <c r="B25" s="264"/>
      <c r="C25" s="264"/>
      <c r="D25" s="65" t="s">
        <v>65</v>
      </c>
      <c r="E25" s="147">
        <v>492</v>
      </c>
      <c r="F25" s="165">
        <v>69</v>
      </c>
      <c r="G25" s="165">
        <v>492</v>
      </c>
      <c r="H25" s="114">
        <v>0</v>
      </c>
      <c r="I25" s="114">
        <v>244</v>
      </c>
      <c r="J25" s="101">
        <f t="shared" si="0"/>
        <v>-69</v>
      </c>
      <c r="K25" s="114">
        <v>0</v>
      </c>
      <c r="L25" s="89">
        <f t="shared" si="2"/>
        <v>-248</v>
      </c>
      <c r="M25" s="117">
        <f t="shared" si="3"/>
        <v>-50.40650406504065</v>
      </c>
      <c r="P25" s="56" t="s">
        <v>84</v>
      </c>
    </row>
    <row r="26" spans="1:16" ht="21.2" customHeight="1">
      <c r="A26" s="263" t="s">
        <v>58</v>
      </c>
      <c r="B26" s="264"/>
      <c r="C26" s="264"/>
      <c r="D26" s="65" t="s">
        <v>47</v>
      </c>
      <c r="E26" s="147">
        <v>478</v>
      </c>
      <c r="F26" s="162">
        <v>48</v>
      </c>
      <c r="G26" s="166">
        <v>266</v>
      </c>
      <c r="H26" s="114">
        <v>0</v>
      </c>
      <c r="I26" s="147">
        <v>212</v>
      </c>
      <c r="J26" s="101">
        <f t="shared" si="0"/>
        <v>-48</v>
      </c>
      <c r="K26" s="88">
        <f t="shared" si="1"/>
        <v>-100</v>
      </c>
      <c r="L26" s="89">
        <f t="shared" si="2"/>
        <v>-54</v>
      </c>
      <c r="M26" s="117">
        <f t="shared" si="3"/>
        <v>-20.300751879699249</v>
      </c>
      <c r="P26" s="56" t="s">
        <v>85</v>
      </c>
    </row>
    <row r="27" spans="1:16" ht="21.2" customHeight="1">
      <c r="A27" s="263"/>
      <c r="B27" s="264"/>
      <c r="C27" s="264"/>
      <c r="D27" s="65" t="s">
        <v>48</v>
      </c>
      <c r="E27" s="147">
        <v>2537</v>
      </c>
      <c r="F27" s="162">
        <v>427</v>
      </c>
      <c r="G27" s="166">
        <v>2342</v>
      </c>
      <c r="H27" s="114">
        <v>0</v>
      </c>
      <c r="I27" s="147">
        <v>1888</v>
      </c>
      <c r="J27" s="101">
        <f t="shared" si="0"/>
        <v>-427</v>
      </c>
      <c r="K27" s="88">
        <f t="shared" si="1"/>
        <v>-100</v>
      </c>
      <c r="L27" s="89">
        <f t="shared" si="2"/>
        <v>-454</v>
      </c>
      <c r="M27" s="117">
        <f t="shared" si="3"/>
        <v>-19.385140905209227</v>
      </c>
      <c r="P27" s="56" t="s">
        <v>86</v>
      </c>
    </row>
    <row r="28" spans="1:16" ht="21.2" customHeight="1">
      <c r="A28" s="263" t="s">
        <v>59</v>
      </c>
      <c r="B28" s="264"/>
      <c r="C28" s="264"/>
      <c r="D28" s="65" t="s">
        <v>47</v>
      </c>
      <c r="E28" s="147">
        <v>95587</v>
      </c>
      <c r="F28" s="162">
        <v>8735</v>
      </c>
      <c r="G28" s="162">
        <v>78482</v>
      </c>
      <c r="H28" s="181">
        <v>7839</v>
      </c>
      <c r="I28" s="201">
        <v>75970</v>
      </c>
      <c r="J28" s="101">
        <f t="shared" si="0"/>
        <v>-896</v>
      </c>
      <c r="K28" s="88">
        <f t="shared" si="1"/>
        <v>-10.257584430452198</v>
      </c>
      <c r="L28" s="89">
        <f t="shared" si="2"/>
        <v>-2512</v>
      </c>
      <c r="M28" s="117">
        <f t="shared" si="3"/>
        <v>-3.2007339262506065</v>
      </c>
      <c r="P28" s="56" t="s">
        <v>87</v>
      </c>
    </row>
    <row r="29" spans="1:16" ht="21.2" customHeight="1">
      <c r="A29" s="263"/>
      <c r="B29" s="264"/>
      <c r="C29" s="264"/>
      <c r="D29" s="65" t="s">
        <v>48</v>
      </c>
      <c r="E29" s="147">
        <v>1614394</v>
      </c>
      <c r="F29" s="162">
        <v>161052</v>
      </c>
      <c r="G29" s="162">
        <v>1322906</v>
      </c>
      <c r="H29" s="147">
        <v>100838</v>
      </c>
      <c r="I29" s="202">
        <v>1288831</v>
      </c>
      <c r="J29" s="101">
        <f t="shared" si="0"/>
        <v>-60214</v>
      </c>
      <c r="K29" s="88">
        <f t="shared" si="1"/>
        <v>-37.387924397089137</v>
      </c>
      <c r="L29" s="89">
        <f t="shared" si="2"/>
        <v>-34075</v>
      </c>
      <c r="M29" s="117">
        <f t="shared" si="3"/>
        <v>-2.5757687998996204</v>
      </c>
      <c r="P29" s="56" t="s">
        <v>88</v>
      </c>
    </row>
    <row r="30" spans="1:16" ht="21.2" customHeight="1">
      <c r="A30" s="263" t="s">
        <v>60</v>
      </c>
      <c r="B30" s="264"/>
      <c r="C30" s="264"/>
      <c r="D30" s="65" t="s">
        <v>47</v>
      </c>
      <c r="E30" s="147">
        <v>139949</v>
      </c>
      <c r="F30" s="162">
        <v>15071</v>
      </c>
      <c r="G30" s="163">
        <v>108074</v>
      </c>
      <c r="H30" s="182">
        <v>12775</v>
      </c>
      <c r="I30" s="203">
        <v>115394</v>
      </c>
      <c r="J30" s="87">
        <f t="shared" si="0"/>
        <v>-2296</v>
      </c>
      <c r="K30" s="88">
        <f t="shared" si="1"/>
        <v>-15.234556432884347</v>
      </c>
      <c r="L30" s="89">
        <f t="shared" si="2"/>
        <v>7320</v>
      </c>
      <c r="M30" s="117">
        <f t="shared" si="3"/>
        <v>6.7731369246997417</v>
      </c>
      <c r="P30" s="56" t="s">
        <v>89</v>
      </c>
    </row>
    <row r="31" spans="1:16" ht="21.2" customHeight="1">
      <c r="A31" s="263"/>
      <c r="B31" s="264"/>
      <c r="C31" s="264"/>
      <c r="D31" s="65" t="s">
        <v>48</v>
      </c>
      <c r="E31" s="147">
        <v>2096293</v>
      </c>
      <c r="F31" s="162">
        <v>221007</v>
      </c>
      <c r="G31" s="164">
        <v>1625033</v>
      </c>
      <c r="H31" s="183">
        <v>190405</v>
      </c>
      <c r="I31" s="204">
        <v>1686602</v>
      </c>
      <c r="J31" s="87">
        <f t="shared" si="0"/>
        <v>-30602</v>
      </c>
      <c r="K31" s="88">
        <f t="shared" si="1"/>
        <v>-13.846620242797741</v>
      </c>
      <c r="L31" s="89">
        <f t="shared" si="2"/>
        <v>61569</v>
      </c>
      <c r="M31" s="117">
        <f t="shared" si="3"/>
        <v>3.7887845969897285</v>
      </c>
      <c r="P31" s="56" t="s">
        <v>90</v>
      </c>
    </row>
    <row r="32" spans="1:16" ht="21.2" customHeight="1">
      <c r="A32" s="263" t="s">
        <v>61</v>
      </c>
      <c r="B32" s="264"/>
      <c r="C32" s="264"/>
      <c r="D32" s="65" t="s">
        <v>47</v>
      </c>
      <c r="E32" s="147">
        <v>52891</v>
      </c>
      <c r="F32" s="162">
        <v>4134</v>
      </c>
      <c r="G32" s="162">
        <v>44124</v>
      </c>
      <c r="H32" s="184">
        <v>3756</v>
      </c>
      <c r="I32" s="205">
        <v>38139</v>
      </c>
      <c r="J32" s="87">
        <f>H32-F32</f>
        <v>-378</v>
      </c>
      <c r="K32" s="88">
        <f t="shared" si="1"/>
        <v>-9.1436865021770757</v>
      </c>
      <c r="L32" s="89">
        <f>I32-G32</f>
        <v>-5985</v>
      </c>
      <c r="M32" s="117">
        <f t="shared" si="3"/>
        <v>-13.564046777264068</v>
      </c>
      <c r="P32" s="56" t="s">
        <v>91</v>
      </c>
    </row>
    <row r="33" spans="1:16" ht="21.2" customHeight="1">
      <c r="A33" s="263"/>
      <c r="B33" s="264"/>
      <c r="C33" s="264"/>
      <c r="D33" s="65" t="s">
        <v>48</v>
      </c>
      <c r="E33" s="147">
        <v>864813</v>
      </c>
      <c r="F33" s="147">
        <v>72460</v>
      </c>
      <c r="G33" s="147">
        <v>715830</v>
      </c>
      <c r="H33" s="185">
        <v>67272</v>
      </c>
      <c r="I33" s="206">
        <v>602937</v>
      </c>
      <c r="J33" s="87">
        <f>H33-F33</f>
        <v>-5188</v>
      </c>
      <c r="K33" s="88">
        <f t="shared" si="1"/>
        <v>-7.1598123102401274</v>
      </c>
      <c r="L33" s="89">
        <f>I33-G33</f>
        <v>-112893</v>
      </c>
      <c r="M33" s="117">
        <f t="shared" si="3"/>
        <v>-15.770923263903441</v>
      </c>
      <c r="P33" s="56" t="s">
        <v>92</v>
      </c>
    </row>
    <row r="34" spans="1:16" ht="21.2" customHeight="1">
      <c r="A34" s="255" t="s">
        <v>100</v>
      </c>
      <c r="B34" s="256"/>
      <c r="C34" s="256"/>
      <c r="D34" s="139" t="s">
        <v>47</v>
      </c>
      <c r="E34" s="114">
        <v>0</v>
      </c>
      <c r="F34" s="114">
        <v>0</v>
      </c>
      <c r="G34" s="114">
        <v>0</v>
      </c>
      <c r="H34" s="114">
        <v>0</v>
      </c>
      <c r="I34" s="140">
        <v>80</v>
      </c>
      <c r="J34" s="141">
        <f>H34-F34</f>
        <v>0</v>
      </c>
      <c r="K34" s="114">
        <v>0</v>
      </c>
      <c r="L34" s="142">
        <f>I34-G34</f>
        <v>80</v>
      </c>
      <c r="M34" s="145" t="s">
        <v>99</v>
      </c>
      <c r="P34" s="56" t="s">
        <v>101</v>
      </c>
    </row>
    <row r="35" spans="1:16" ht="21.2" customHeight="1" thickBot="1">
      <c r="A35" s="257"/>
      <c r="B35" s="258"/>
      <c r="C35" s="258"/>
      <c r="D35" s="119" t="s">
        <v>48</v>
      </c>
      <c r="E35" s="143">
        <v>0</v>
      </c>
      <c r="F35" s="143">
        <v>0</v>
      </c>
      <c r="G35" s="143">
        <v>0</v>
      </c>
      <c r="H35" s="143">
        <v>0</v>
      </c>
      <c r="I35" s="120">
        <v>1384</v>
      </c>
      <c r="J35" s="121">
        <f>H35-F35</f>
        <v>0</v>
      </c>
      <c r="K35" s="143">
        <v>0</v>
      </c>
      <c r="L35" s="122">
        <f>I35-G35</f>
        <v>1384</v>
      </c>
      <c r="M35" s="146" t="s">
        <v>99</v>
      </c>
      <c r="P35" s="56" t="s">
        <v>101</v>
      </c>
    </row>
  </sheetData>
  <mergeCells count="21">
    <mergeCell ref="A16:C17"/>
    <mergeCell ref="A18:C19"/>
    <mergeCell ref="A26:C27"/>
    <mergeCell ref="A24:C25"/>
    <mergeCell ref="A22:C23"/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</mergeCells>
  <phoneticPr fontId="25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재게(10월)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2022-12-07T23:32:11Z</dcterms:modified>
</cp:coreProperties>
</file>