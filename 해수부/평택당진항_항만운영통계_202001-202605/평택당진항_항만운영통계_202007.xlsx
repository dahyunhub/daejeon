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I7" i="21"/>
  <c r="G4" i="33" s="1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<sst xmlns="http://schemas.openxmlformats.org/spreadsheetml/2006/main" count="126" uniqueCount="82">
  <si>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</si>
  <si>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</si>
  <si>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</si>
  <si>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</si>
  <si>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</si>
  <si>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</si>
  <si>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</si>
  <si>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</si>
  <si>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</si>
  <si>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</si>
  <si>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</si>
  <si>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</si>
  <si>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</si>
  <si>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</si>
  <si>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</si>
  <si>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</si>
  <si>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</si>
  <si>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</si>
  <si>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</si>
  <si>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</si>
  <si>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</si>
  <si>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</si>
  <si>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</si>
  <si>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</si>
  <si>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</si>
  <si>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</si>
  <si>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</si>
  <si>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</si>
  <si>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</si>
  <si>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</si>
  <si>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</si>
  <si>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</si>
  <si>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</si>
  <si>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</si>
  <si>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</si>
  <si>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</si>
  <si>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</si>
  <si>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</si>
  <si>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</si>
  <si>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</si>
  <si>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</si>
  <si>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</si>
  <si>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</si>
  <si>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</si>
  <si>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</si>
  <si>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</si>
  <si>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</si>
  <si>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</si>
  <si>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</si>
  <si>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</si>
  <si>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</si>
  <si>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</si>
  <si>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</si>
  <si>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</si>
  <si>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</si>
  <si>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</si>
  <si>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</si>
  <si>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</si>
  <si>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</si>
  <si>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</si>
  <si>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</si>
  <si>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</si>
  <si>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</si>
  <si>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</si>
  <si>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</si>
  <si>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</si>
  <si>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</si>
  <si>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</si>
  <si>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</si>
  <si>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</si>
  <si>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</si>
  <si>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</si>
  <si>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</si>
  <si>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</si>
  <si>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</si>
  <si>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(단위 : 척)</t>
    <phoneticPr fontId="5" type="noConversion"/>
  </si>
  <si>
    <t>2020년도</t>
    <phoneticPr fontId="5" type="noConversion"/>
  </si>
  <si>
    <t>7월(A)</t>
    <phoneticPr fontId="5" type="noConversion"/>
  </si>
  <si>
    <t>7월누계(B)</t>
    <phoneticPr fontId="5" type="noConversion"/>
  </si>
  <si>
    <t>7월(C)</t>
    <phoneticPr fontId="5" type="noConversion"/>
  </si>
  <si>
    <t>7월누계(D)</t>
    <phoneticPr fontId="5" type="noConversion"/>
  </si>
  <si>
    <t>(2020. 7월분)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</si>
</sst>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17" xfId="0" applyNumberFormat="1" applyFont="1" applyFill="1" applyBorder="1" applyAlignment="1">
      <alignment horizontal="center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7월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64932213</c:v>
                </c:pt>
              </c:numCache>
            </c:numRef>
          </c:val>
        </c:ser>
        <c:ser>
          <c:idx val="1"/>
          <c:order val="1"/>
          <c:tx>
            <c:v>'20년 7월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61543743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4945024"/>
        <c:axId val="194946560"/>
        <c:axId val="0"/>
      </c:bar3DChart>
      <c:catAx>
        <c:axId val="194945024"/>
        <c:scaling>
          <c:orientation val="minMax"/>
        </c:scaling>
        <c:delete val="1"/>
        <c:axPos val="b"/>
        <c:majorTickMark val="out"/>
        <c:minorTickMark val="none"/>
        <c:tickLblPos val="none"/>
        <c:crossAx val="194946560"/>
        <c:crosses val="autoZero"/>
        <c:auto val="1"/>
        <c:lblAlgn val="ctr"/>
        <c:lblOffset val="100"/>
        <c:noMultiLvlLbl val="0"/>
      </c:catAx>
      <c:valAx>
        <c:axId val="19494656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494502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7월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414475</c:v>
                </c:pt>
              </c:numCache>
            </c:numRef>
          </c:val>
        </c:ser>
        <c:ser>
          <c:idx val="1"/>
          <c:order val="1"/>
          <c:tx>
            <c:v>'20년 7월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435080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105152"/>
        <c:axId val="195106688"/>
        <c:axId val="0"/>
      </c:bar3DChart>
      <c:catAx>
        <c:axId val="195105152"/>
        <c:scaling>
          <c:orientation val="minMax"/>
        </c:scaling>
        <c:delete val="1"/>
        <c:axPos val="b"/>
        <c:majorTickMark val="out"/>
        <c:minorTickMark val="none"/>
        <c:tickLblPos val="none"/>
        <c:crossAx val="195106688"/>
        <c:crosses val="autoZero"/>
        <c:auto val="1"/>
        <c:lblAlgn val="ctr"/>
        <c:lblOffset val="100"/>
        <c:noMultiLvlLbl val="0"/>
      </c:catAx>
      <c:valAx>
        <c:axId val="19510668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10515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20.7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61543.743000000002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53120"/>
        <c:axId val="194883968"/>
      </c:lineChart>
      <c:catAx>
        <c:axId val="19485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4883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48839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48531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20.7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435080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77984"/>
        <c:axId val="203179904"/>
      </c:lineChart>
      <c:catAx>
        <c:axId val="20317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179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1799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1779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20.7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08576"/>
        <c:axId val="203210752"/>
      </c:lineChart>
      <c:catAx>
        <c:axId val="20320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1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210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0857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20.7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9782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22400"/>
        <c:axId val="202913280"/>
      </c:lineChart>
      <c:catAx>
        <c:axId val="20322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13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2913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224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20.7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9782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41568"/>
        <c:axId val="202943488"/>
      </c:lineChart>
      <c:catAx>
        <c:axId val="20294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4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29434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4156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81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4" t="s">
        <v>71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2:13" ht="21.2" customHeight="1">
      <c r="B5" s="189" t="s">
        <v>7</v>
      </c>
      <c r="C5" s="190"/>
      <c r="D5" s="191"/>
      <c r="E5" s="39"/>
      <c r="F5" s="187" t="s">
        <v>73</v>
      </c>
      <c r="G5" s="198"/>
      <c r="H5" s="215" t="s">
        <v>76</v>
      </c>
      <c r="I5" s="215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3" t="s">
        <v>77</v>
      </c>
      <c r="G6" s="41" t="s">
        <v>78</v>
      </c>
      <c r="H6" s="170" t="s">
        <v>79</v>
      </c>
      <c r="I6" s="171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9" t="s">
        <v>21</v>
      </c>
      <c r="C7" s="184" t="s">
        <v>12</v>
      </c>
      <c r="D7" s="185"/>
      <c r="E7" s="13">
        <f>SUM(E8:E9)</f>
        <v>18416</v>
      </c>
      <c r="F7" s="13">
        <f>SUM(F8:F9)</f>
        <v>1509</v>
      </c>
      <c r="G7" s="13">
        <f>SUM(G8:G9)</f>
        <v>10756</v>
      </c>
      <c r="H7" s="13">
        <f>SUM(H8:H9)</f>
        <v>1317</v>
      </c>
      <c r="I7" s="13">
        <f>SUM(I8:I9)</f>
        <v>9782</v>
      </c>
      <c r="J7" s="13">
        <f>H7-F7</f>
        <v>-192</v>
      </c>
      <c r="K7" s="16">
        <f>H7/F7</f>
        <v>0.87276341948310143</v>
      </c>
      <c r="L7" s="14">
        <f>I7-G7</f>
        <v>-974</v>
      </c>
      <c r="M7" s="24">
        <f>I7/G7</f>
        <v>0.90944589066567494</v>
      </c>
    </row>
    <row r="8" spans="2:13" ht="19.5" customHeight="1">
      <c r="B8" s="210"/>
      <c r="C8" s="200" t="s">
        <v>9</v>
      </c>
      <c r="D8" s="201"/>
      <c r="E8" s="20">
        <v>11525</v>
      </c>
      <c r="F8" s="20">
        <v>938</v>
      </c>
      <c r="G8" s="21">
        <v>6751</v>
      </c>
      <c r="H8" s="20">
        <v>775</v>
      </c>
      <c r="I8" s="20">
        <v>6023</v>
      </c>
      <c r="J8" s="4">
        <f t="shared" ref="J8:J28" si="0">H8-F8</f>
        <v>-163</v>
      </c>
      <c r="K8" s="18">
        <f t="shared" ref="K8:K28" si="1">H8/F8</f>
        <v>0.82622601279317698</v>
      </c>
      <c r="L8" s="19">
        <f t="shared" ref="L8:L28" si="2">I8-G8</f>
        <v>-728</v>
      </c>
      <c r="M8" s="26">
        <f t="shared" ref="M8:M28" si="3">I8/G8</f>
        <v>0.89216412383350618</v>
      </c>
    </row>
    <row r="9" spans="2:13" ht="19.5" customHeight="1">
      <c r="B9" s="211"/>
      <c r="C9" s="202" t="s">
        <v>10</v>
      </c>
      <c r="D9" s="203"/>
      <c r="E9" s="21">
        <v>6891</v>
      </c>
      <c r="F9" s="21">
        <v>571</v>
      </c>
      <c r="G9" s="21">
        <v>4005</v>
      </c>
      <c r="H9" s="21">
        <v>542</v>
      </c>
      <c r="I9" s="21">
        <v>3759</v>
      </c>
      <c r="J9" s="21">
        <f t="shared" si="0"/>
        <v>-29</v>
      </c>
      <c r="K9" s="22">
        <f t="shared" si="1"/>
        <v>0.94921190893169882</v>
      </c>
      <c r="L9" s="23">
        <f t="shared" si="2"/>
        <v>-246</v>
      </c>
      <c r="M9" s="27">
        <f t="shared" si="3"/>
        <v>0.93857677902621728</v>
      </c>
    </row>
    <row r="10" spans="2:13" ht="21.2" customHeight="1">
      <c r="B10" s="209" t="s">
        <v>22</v>
      </c>
      <c r="C10" s="184" t="s">
        <v>8</v>
      </c>
      <c r="D10" s="185"/>
      <c r="E10" s="45">
        <f>E11+E15</f>
        <v>113201331</v>
      </c>
      <c r="F10" s="45">
        <f>F11+F15</f>
        <v>9170517</v>
      </c>
      <c r="G10" s="45">
        <f>G11+G15</f>
        <v>64932213</v>
      </c>
      <c r="H10" s="45">
        <f>H11+H15</f>
        <v>8223849</v>
      </c>
      <c r="I10" s="45">
        <f>I11+I15</f>
        <v>61543743</v>
      </c>
      <c r="J10" s="45">
        <f t="shared" si="0"/>
        <v>-946668</v>
      </c>
      <c r="K10" s="16">
        <f t="shared" si="1"/>
        <v>0.89677048742181054</v>
      </c>
      <c r="L10" s="49">
        <f>I10-G10</f>
        <v>-3388470</v>
      </c>
      <c r="M10" s="24">
        <f t="shared" si="3"/>
        <v>0.94781527005709787</v>
      </c>
    </row>
    <row r="11" spans="2:13" ht="19.5" customHeight="1">
      <c r="B11" s="210"/>
      <c r="C11" s="206" t="s">
        <v>1</v>
      </c>
      <c r="D11" s="99" t="s">
        <v>0</v>
      </c>
      <c r="E11" s="93">
        <f>SUM(E12:E14)</f>
        <v>102609234</v>
      </c>
      <c r="F11" s="93">
        <f>SUM(F12:F14)</f>
        <v>8232041</v>
      </c>
      <c r="G11" s="93">
        <f>SUM(G12:G14)</f>
        <v>58835600</v>
      </c>
      <c r="H11" s="93">
        <f>SUM(H12:H14)</f>
        <v>7291086</v>
      </c>
      <c r="I11" s="93">
        <f>SUM(I12:I14)</f>
        <v>55125558</v>
      </c>
      <c r="J11" s="94">
        <f t="shared" si="0"/>
        <v>-940955</v>
      </c>
      <c r="K11" s="95">
        <f t="shared" si="1"/>
        <v>0.88569602605234843</v>
      </c>
      <c r="L11" s="96">
        <f t="shared" si="2"/>
        <v>-3710042</v>
      </c>
      <c r="M11" s="97">
        <f t="shared" si="3"/>
        <v>0.93694222545533656</v>
      </c>
    </row>
    <row r="12" spans="2:13" ht="19.5" customHeight="1">
      <c r="B12" s="210"/>
      <c r="C12" s="207"/>
      <c r="D12" s="5" t="s">
        <v>5</v>
      </c>
      <c r="E12" s="46">
        <v>80537389</v>
      </c>
      <c r="F12" s="46">
        <v>6363396</v>
      </c>
      <c r="G12" s="46">
        <v>45686428</v>
      </c>
      <c r="H12" s="46">
        <v>5627205</v>
      </c>
      <c r="I12" s="46">
        <v>44416321</v>
      </c>
      <c r="J12" s="94">
        <f t="shared" si="0"/>
        <v>-736191</v>
      </c>
      <c r="K12" s="18">
        <f t="shared" si="1"/>
        <v>0.88430847302289528</v>
      </c>
      <c r="L12" s="48">
        <f t="shared" si="2"/>
        <v>-1270107</v>
      </c>
      <c r="M12" s="26">
        <f t="shared" si="3"/>
        <v>0.97219946807835356</v>
      </c>
    </row>
    <row r="13" spans="2:13" ht="19.5" customHeight="1">
      <c r="B13" s="210"/>
      <c r="C13" s="207"/>
      <c r="D13" s="5" t="s">
        <v>6</v>
      </c>
      <c r="E13" s="46">
        <v>15743706</v>
      </c>
      <c r="F13" s="46">
        <v>1298737</v>
      </c>
      <c r="G13" s="46">
        <v>9505794</v>
      </c>
      <c r="H13" s="46">
        <v>1272761</v>
      </c>
      <c r="I13" s="46">
        <v>7850252</v>
      </c>
      <c r="J13" s="94">
        <f t="shared" si="0"/>
        <v>-25976</v>
      </c>
      <c r="K13" s="18">
        <f t="shared" si="1"/>
        <v>0.97999902982667009</v>
      </c>
      <c r="L13" s="48">
        <f t="shared" si="2"/>
        <v>-1655542</v>
      </c>
      <c r="M13" s="26">
        <f t="shared" si="3"/>
        <v>0.82583864114875627</v>
      </c>
    </row>
    <row r="14" spans="2:13" ht="19.5" customHeight="1">
      <c r="B14" s="210"/>
      <c r="C14" s="208"/>
      <c r="D14" s="5" t="s">
        <v>13</v>
      </c>
      <c r="E14" s="46">
        <v>6328139</v>
      </c>
      <c r="F14" s="46">
        <v>569908</v>
      </c>
      <c r="G14" s="46">
        <v>3643378</v>
      </c>
      <c r="H14" s="46">
        <v>391120</v>
      </c>
      <c r="I14" s="46">
        <v>2858985</v>
      </c>
      <c r="J14" s="94">
        <f t="shared" si="0"/>
        <v>-178788</v>
      </c>
      <c r="K14" s="18">
        <f>H14/F14</f>
        <v>0.68628620759841941</v>
      </c>
      <c r="L14" s="48">
        <f t="shared" si="2"/>
        <v>-784393</v>
      </c>
      <c r="M14" s="26">
        <f t="shared" si="3"/>
        <v>0.78470721401951704</v>
      </c>
    </row>
    <row r="15" spans="2:13" ht="19.5" customHeight="1">
      <c r="B15" s="210"/>
      <c r="C15" s="216" t="s">
        <v>2</v>
      </c>
      <c r="D15" s="98" t="s">
        <v>0</v>
      </c>
      <c r="E15" s="88">
        <f>SUM(E16:E18)</f>
        <v>10592097</v>
      </c>
      <c r="F15" s="88">
        <f>SUM(F16:F18)</f>
        <v>938476</v>
      </c>
      <c r="G15" s="88">
        <f>SUM(G16:G18)</f>
        <v>6096613</v>
      </c>
      <c r="H15" s="88">
        <f>SUM(H16:H18)</f>
        <v>932763</v>
      </c>
      <c r="I15" s="88">
        <f>SUM(I16:I18)</f>
        <v>6418185</v>
      </c>
      <c r="J15" s="89">
        <f t="shared" si="0"/>
        <v>-5713</v>
      </c>
      <c r="K15" s="90">
        <f t="shared" si="1"/>
        <v>0.99391247085700651</v>
      </c>
      <c r="L15" s="91">
        <f t="shared" si="2"/>
        <v>321572</v>
      </c>
      <c r="M15" s="92">
        <f t="shared" si="3"/>
        <v>1.0527460083164208</v>
      </c>
    </row>
    <row r="16" spans="2:13" ht="19.5" customHeight="1">
      <c r="B16" s="210"/>
      <c r="C16" s="217"/>
      <c r="D16" s="5" t="s">
        <v>3</v>
      </c>
      <c r="E16" s="46">
        <v>7499173</v>
      </c>
      <c r="F16" s="46">
        <v>659652</v>
      </c>
      <c r="G16" s="46">
        <v>4268776</v>
      </c>
      <c r="H16" s="46">
        <v>649065</v>
      </c>
      <c r="I16" s="46">
        <v>4591297</v>
      </c>
      <c r="J16" s="89">
        <f t="shared" si="0"/>
        <v>-10587</v>
      </c>
      <c r="K16" s="18">
        <f t="shared" si="1"/>
        <v>0.98395062851321602</v>
      </c>
      <c r="L16" s="48">
        <f t="shared" si="2"/>
        <v>322521</v>
      </c>
      <c r="M16" s="26">
        <f t="shared" si="3"/>
        <v>1.0755535076096754</v>
      </c>
    </row>
    <row r="17" spans="1:13" ht="19.5" customHeight="1">
      <c r="B17" s="210"/>
      <c r="C17" s="217"/>
      <c r="D17" s="6" t="s">
        <v>4</v>
      </c>
      <c r="E17" s="47">
        <v>3086684</v>
      </c>
      <c r="F17" s="47">
        <v>278824</v>
      </c>
      <c r="G17" s="47">
        <v>1827837</v>
      </c>
      <c r="H17" s="47">
        <v>283698</v>
      </c>
      <c r="I17" s="47">
        <v>1817967</v>
      </c>
      <c r="J17" s="172">
        <v>0</v>
      </c>
      <c r="K17" s="18">
        <f t="shared" si="1"/>
        <v>1.0174805612142426</v>
      </c>
      <c r="L17" s="48">
        <f t="shared" si="2"/>
        <v>-9870</v>
      </c>
      <c r="M17" s="26">
        <f t="shared" si="3"/>
        <v>0.99460017496089637</v>
      </c>
    </row>
    <row r="18" spans="1:13" ht="19.5" customHeight="1">
      <c r="B18" s="211"/>
      <c r="C18" s="218"/>
      <c r="D18" s="6" t="s">
        <v>17</v>
      </c>
      <c r="E18" s="47">
        <v>6240</v>
      </c>
      <c r="F18" s="165">
        <v>0</v>
      </c>
      <c r="G18" s="165">
        <v>0</v>
      </c>
      <c r="H18" s="165">
        <v>0</v>
      </c>
      <c r="I18" s="47">
        <v>8921</v>
      </c>
      <c r="J18" s="89">
        <f t="shared" si="0"/>
        <v>0</v>
      </c>
      <c r="K18" s="18" t="e">
        <f t="shared" si="1"/>
        <v>#DIV/0!</v>
      </c>
      <c r="L18" s="48">
        <f t="shared" si="2"/>
        <v>8921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2" t="s">
        <v>23</v>
      </c>
      <c r="L19" s="213"/>
      <c r="M19" s="214"/>
    </row>
    <row r="20" spans="1:13" ht="21.2" customHeight="1">
      <c r="B20" s="28"/>
      <c r="C20" s="184" t="s">
        <v>8</v>
      </c>
      <c r="D20" s="185"/>
      <c r="E20" s="105">
        <f>SUM(E21,E25)</f>
        <v>725047</v>
      </c>
      <c r="F20" s="3">
        <f>SUM(F21,F25)</f>
        <v>66106</v>
      </c>
      <c r="G20" s="3">
        <f>SUM(G21,G25)</f>
        <v>414475</v>
      </c>
      <c r="H20" s="105">
        <f>SUM(H21,H25)</f>
        <v>72609</v>
      </c>
      <c r="I20" s="105">
        <f>SUM(I21,I25)</f>
        <v>435080</v>
      </c>
      <c r="J20" s="106">
        <f t="shared" si="0"/>
        <v>6503</v>
      </c>
      <c r="K20" s="107">
        <f t="shared" si="1"/>
        <v>1.0983723111366592</v>
      </c>
      <c r="L20" s="108">
        <f t="shared" si="2"/>
        <v>20605</v>
      </c>
      <c r="M20" s="24">
        <f>I20/G20</f>
        <v>1.0497134929730383</v>
      </c>
    </row>
    <row r="21" spans="1:13" ht="19.5" customHeight="1">
      <c r="B21" s="25"/>
      <c r="C21" s="199" t="s">
        <v>1</v>
      </c>
      <c r="D21" s="100" t="s">
        <v>0</v>
      </c>
      <c r="E21" s="101">
        <f>SUM(E22:E24)</f>
        <v>725047</v>
      </c>
      <c r="F21" s="101">
        <f>SUM(F22:F24)</f>
        <v>66106</v>
      </c>
      <c r="G21" s="101">
        <f>SUM(G22:G24)</f>
        <v>414475</v>
      </c>
      <c r="H21" s="101">
        <f>SUM(H22:H24)</f>
        <v>72609</v>
      </c>
      <c r="I21" s="101">
        <f>SUM(I22:I24)</f>
        <v>435080</v>
      </c>
      <c r="J21" s="102">
        <f t="shared" si="0"/>
        <v>6503</v>
      </c>
      <c r="K21" s="103">
        <f t="shared" si="1"/>
        <v>1.0983723111366592</v>
      </c>
      <c r="L21" s="104">
        <f t="shared" si="2"/>
        <v>20605</v>
      </c>
      <c r="M21" s="97">
        <f t="shared" si="3"/>
        <v>1.0497134929730383</v>
      </c>
    </row>
    <row r="22" spans="1:13" ht="19.5" customHeight="1">
      <c r="B22" s="169" t="s">
        <v>19</v>
      </c>
      <c r="C22" s="199"/>
      <c r="D22" s="52" t="s">
        <v>5</v>
      </c>
      <c r="E22" s="54">
        <v>359665</v>
      </c>
      <c r="F22" s="54">
        <v>33211</v>
      </c>
      <c r="G22" s="54">
        <v>208284</v>
      </c>
      <c r="H22" s="54">
        <v>33927</v>
      </c>
      <c r="I22" s="54">
        <v>212515</v>
      </c>
      <c r="J22" s="102">
        <f t="shared" si="0"/>
        <v>716</v>
      </c>
      <c r="K22" s="51">
        <f t="shared" si="1"/>
        <v>1.0215591219776581</v>
      </c>
      <c r="L22" s="23">
        <f t="shared" si="2"/>
        <v>4231</v>
      </c>
      <c r="M22" s="26">
        <f t="shared" si="3"/>
        <v>1.0203136102629102</v>
      </c>
    </row>
    <row r="23" spans="1:13" ht="19.5" customHeight="1">
      <c r="B23" s="169" t="s">
        <v>20</v>
      </c>
      <c r="C23" s="199"/>
      <c r="D23" s="2" t="s">
        <v>14</v>
      </c>
      <c r="E23" s="54">
        <v>353048</v>
      </c>
      <c r="F23" s="54">
        <v>32149</v>
      </c>
      <c r="G23" s="54">
        <v>199589</v>
      </c>
      <c r="H23" s="54">
        <v>37893</v>
      </c>
      <c r="I23" s="54">
        <v>215146</v>
      </c>
      <c r="J23" s="102">
        <f t="shared" si="0"/>
        <v>5744</v>
      </c>
      <c r="K23" s="51">
        <f t="shared" si="1"/>
        <v>1.178668076767551</v>
      </c>
      <c r="L23" s="19">
        <f t="shared" si="2"/>
        <v>15557</v>
      </c>
      <c r="M23" s="26">
        <f t="shared" si="3"/>
        <v>1.0779451773394326</v>
      </c>
    </row>
    <row r="24" spans="1:13" ht="19.5" customHeight="1">
      <c r="B24" s="31"/>
      <c r="C24" s="199"/>
      <c r="D24" s="2" t="s">
        <v>13</v>
      </c>
      <c r="E24" s="54">
        <v>12334</v>
      </c>
      <c r="F24" s="54">
        <v>746</v>
      </c>
      <c r="G24" s="54">
        <v>6602</v>
      </c>
      <c r="H24" s="54">
        <v>789</v>
      </c>
      <c r="I24" s="54">
        <v>7419</v>
      </c>
      <c r="J24" s="102">
        <f t="shared" si="0"/>
        <v>43</v>
      </c>
      <c r="K24" s="51">
        <f t="shared" si="1"/>
        <v>1.0576407506702412</v>
      </c>
      <c r="L24" s="19">
        <f t="shared" si="2"/>
        <v>817</v>
      </c>
      <c r="M24" s="26">
        <f t="shared" si="3"/>
        <v>1.1237503786731293</v>
      </c>
    </row>
    <row r="25" spans="1:13" ht="19.5" customHeight="1">
      <c r="B25" s="25"/>
      <c r="C25" s="176" t="s">
        <v>2</v>
      </c>
      <c r="D25" s="100" t="s">
        <v>72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100" t="s">
        <v>72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100" t="s">
        <v>72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177" t="s">
        <v>69</v>
      </c>
      <c r="C28" s="178"/>
      <c r="D28" s="179"/>
      <c r="E28" s="147">
        <v>1523131</v>
      </c>
      <c r="F28" s="147">
        <v>147199</v>
      </c>
      <c r="G28" s="147">
        <v>891569</v>
      </c>
      <c r="H28" s="147">
        <v>103109</v>
      </c>
      <c r="I28" s="147">
        <v>669630</v>
      </c>
      <c r="J28" s="148">
        <f t="shared" si="0"/>
        <v>-44090</v>
      </c>
      <c r="K28" s="149">
        <f t="shared" si="1"/>
        <v>0.70047350865155333</v>
      </c>
      <c r="L28" s="150">
        <f t="shared" si="2"/>
        <v>-221939</v>
      </c>
      <c r="M28" s="151">
        <f t="shared" si="3"/>
        <v>0.75106918253102117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33"/>
      <c r="E31" s="133"/>
      <c r="F31" s="133"/>
      <c r="G31" s="133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P4" sqref="P4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9" t="s">
        <v>75</v>
      </c>
      <c r="G2" s="219"/>
      <c r="H2"/>
      <c r="I2"/>
      <c r="J2"/>
      <c r="K2" s="166"/>
      <c r="L2" s="166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7">
        <v>20.7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8">
        <f>$G$3</f>
        <v>20.7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9782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61543.743000000002</v>
      </c>
    </row>
    <row r="5" spans="1:27" s="58" customFormat="1" ht="30.2" customHeight="1" thickBot="1">
      <c r="A5"/>
      <c r="B5"/>
      <c r="C5"/>
      <c r="D5" s="166"/>
      <c r="E5" s="166"/>
      <c r="F5" s="220" t="s">
        <v>33</v>
      </c>
      <c r="G5" s="220"/>
      <c r="H5" s="63"/>
      <c r="I5" s="64"/>
      <c r="J5" s="64"/>
      <c r="K5" s="166"/>
      <c r="L5" s="166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8">
        <f>$G$3</f>
        <v>20.7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8">
        <f>$G$3</f>
        <v>20.7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435080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G1" sqref="G1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41" t="s">
        <v>39</v>
      </c>
      <c r="B2" s="242"/>
      <c r="C2" s="242"/>
      <c r="D2" s="245" t="s">
        <v>40</v>
      </c>
      <c r="E2" s="76"/>
      <c r="F2" s="247" t="s">
        <v>73</v>
      </c>
      <c r="G2" s="248"/>
      <c r="H2" s="237" t="s">
        <v>74</v>
      </c>
      <c r="I2" s="237"/>
      <c r="J2" s="237" t="s">
        <v>41</v>
      </c>
      <c r="K2" s="237"/>
      <c r="L2" s="237"/>
      <c r="M2" s="238"/>
    </row>
    <row r="3" spans="1:13" ht="21.95" customHeight="1">
      <c r="A3" s="243"/>
      <c r="B3" s="244"/>
      <c r="C3" s="244"/>
      <c r="D3" s="246"/>
      <c r="E3" s="77" t="s">
        <v>42</v>
      </c>
      <c r="F3" s="77" t="str">
        <f>통계요약!F6</f>
        <v>7월(A)</v>
      </c>
      <c r="G3" s="77" t="str">
        <f>통계요약!G6</f>
        <v>7월누계(B)</v>
      </c>
      <c r="H3" s="77" t="str">
        <f>통계요약!H6</f>
        <v>7월(C)</v>
      </c>
      <c r="I3" s="77" t="str">
        <f>통계요약!I6</f>
        <v>7월누계(D)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39" t="s">
        <v>46</v>
      </c>
      <c r="B4" s="240"/>
      <c r="C4" s="240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66010</v>
      </c>
      <c r="G4" s="121">
        <f>SUM(G6,G8,G10,G12,G14,G16,G18,G22,G24,G26,G28,G20)</f>
        <v>414307</v>
      </c>
      <c r="H4" s="121">
        <f>SUM(H6,H8,H12,H14,H16,H18,H22,H24,H26,H28,H20,H10)</f>
        <v>72609</v>
      </c>
      <c r="I4" s="121">
        <f>SUM(I6,I8,I12,I14,I16,I18,I22,I24,I26,I28,I20,I10)</f>
        <v>435080</v>
      </c>
      <c r="J4" s="110">
        <f t="shared" ref="J4:J27" si="0">H4-F4</f>
        <v>6599</v>
      </c>
      <c r="K4" s="111">
        <f t="shared" ref="K4:K27" si="1">(H4/F4*100)-100</f>
        <v>9.9969701560369515</v>
      </c>
      <c r="L4" s="112">
        <f t="shared" ref="L4:L27" si="2">I4-G4</f>
        <v>20773</v>
      </c>
      <c r="M4" s="127">
        <f t="shared" ref="M4:M27" si="3">(I4/G4*100)-100</f>
        <v>5.0139148023084346</v>
      </c>
    </row>
    <row r="5" spans="1:13" ht="21.95" customHeight="1">
      <c r="A5" s="239"/>
      <c r="B5" s="240"/>
      <c r="C5" s="240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936556</v>
      </c>
      <c r="G5" s="121">
        <f>SUM(G7,G9,G11,G13,G15,G17,G19,G23,G25,G27,G29,G21)</f>
        <v>6495131</v>
      </c>
      <c r="H5" s="121">
        <f>SUM(H7,H9,H13,H15,H17,H19,H23,H25,H27,H29,H21,H11)</f>
        <v>1095503</v>
      </c>
      <c r="I5" s="121">
        <f>SUM(I7,I9,I13,I15,I17,I19,I23,I25,I27,I29,I21,I11)</f>
        <v>6517513</v>
      </c>
      <c r="J5" s="110">
        <f t="shared" si="0"/>
        <v>158947</v>
      </c>
      <c r="K5" s="111">
        <f t="shared" si="1"/>
        <v>16.971435771059063</v>
      </c>
      <c r="L5" s="112">
        <f t="shared" si="2"/>
        <v>22382</v>
      </c>
      <c r="M5" s="127">
        <f t="shared" si="3"/>
        <v>0.34459659089247907</v>
      </c>
    </row>
    <row r="6" spans="1:13" ht="21.2" customHeight="1">
      <c r="A6" s="227" t="s">
        <v>53</v>
      </c>
      <c r="B6" s="228"/>
      <c r="C6" s="228"/>
      <c r="D6" s="81" t="s">
        <v>47</v>
      </c>
      <c r="E6" s="122">
        <v>35729</v>
      </c>
      <c r="F6" s="122">
        <v>3256</v>
      </c>
      <c r="G6" s="122">
        <v>19942</v>
      </c>
      <c r="H6" s="122">
        <v>3360</v>
      </c>
      <c r="I6" s="122">
        <v>20155</v>
      </c>
      <c r="J6" s="113">
        <f t="shared" ref="J6:J18" si="4">H6-F6</f>
        <v>104</v>
      </c>
      <c r="K6" s="114">
        <f t="shared" ref="K6:K17" si="5">(H6/F6*100)-100</f>
        <v>3.1941031941032065</v>
      </c>
      <c r="L6" s="115">
        <f t="shared" si="2"/>
        <v>213</v>
      </c>
      <c r="M6" s="128">
        <f t="shared" si="3"/>
        <v>1.0680974826998266</v>
      </c>
    </row>
    <row r="7" spans="1:13" ht="21.2" customHeight="1">
      <c r="A7" s="227"/>
      <c r="B7" s="228"/>
      <c r="C7" s="228"/>
      <c r="D7" s="81" t="s">
        <v>48</v>
      </c>
      <c r="E7" s="122">
        <v>661078</v>
      </c>
      <c r="F7" s="122">
        <v>60737</v>
      </c>
      <c r="G7" s="122">
        <v>374286</v>
      </c>
      <c r="H7" s="122">
        <v>62198</v>
      </c>
      <c r="I7" s="122">
        <v>370695</v>
      </c>
      <c r="J7" s="113">
        <f t="shared" si="4"/>
        <v>1461</v>
      </c>
      <c r="K7" s="114">
        <f t="shared" si="5"/>
        <v>2.4054530187529934</v>
      </c>
      <c r="L7" s="115">
        <f t="shared" si="2"/>
        <v>-3591</v>
      </c>
      <c r="M7" s="128">
        <f t="shared" si="3"/>
        <v>-0.95942674852919652</v>
      </c>
    </row>
    <row r="8" spans="1:13" ht="21.2" customHeight="1">
      <c r="A8" s="227" t="s">
        <v>54</v>
      </c>
      <c r="B8" s="228"/>
      <c r="C8" s="228"/>
      <c r="D8" s="81" t="s">
        <v>47</v>
      </c>
      <c r="E8" s="122">
        <v>59188</v>
      </c>
      <c r="F8" s="122">
        <v>5270</v>
      </c>
      <c r="G8" s="122">
        <v>35920</v>
      </c>
      <c r="H8" s="122">
        <v>6020</v>
      </c>
      <c r="I8" s="122">
        <v>35231</v>
      </c>
      <c r="J8" s="113">
        <f t="shared" si="4"/>
        <v>750</v>
      </c>
      <c r="K8" s="114">
        <f t="shared" si="5"/>
        <v>14.231499051233399</v>
      </c>
      <c r="L8" s="115">
        <f t="shared" si="2"/>
        <v>-689</v>
      </c>
      <c r="M8" s="128">
        <f t="shared" si="3"/>
        <v>-1.9181514476614581</v>
      </c>
    </row>
    <row r="9" spans="1:13" ht="21.2" customHeight="1">
      <c r="A9" s="227"/>
      <c r="B9" s="228"/>
      <c r="C9" s="228"/>
      <c r="D9" s="81" t="s">
        <v>48</v>
      </c>
      <c r="E9" s="122">
        <v>905440</v>
      </c>
      <c r="F9" s="122">
        <v>79561</v>
      </c>
      <c r="G9" s="122">
        <v>543334</v>
      </c>
      <c r="H9" s="122">
        <v>94737</v>
      </c>
      <c r="I9" s="122">
        <v>554727</v>
      </c>
      <c r="J9" s="113">
        <f t="shared" si="4"/>
        <v>15176</v>
      </c>
      <c r="K9" s="114">
        <f t="shared" si="5"/>
        <v>19.074672264048971</v>
      </c>
      <c r="L9" s="115">
        <f t="shared" si="2"/>
        <v>11393</v>
      </c>
      <c r="M9" s="128">
        <f t="shared" si="3"/>
        <v>2.0968685927992681</v>
      </c>
    </row>
    <row r="10" spans="1:13" ht="21.2" customHeight="1">
      <c r="A10" s="221" t="s">
        <v>66</v>
      </c>
      <c r="B10" s="222"/>
      <c r="C10" s="223"/>
      <c r="D10" s="81" t="s">
        <v>47</v>
      </c>
      <c r="E10" s="122">
        <v>1727</v>
      </c>
      <c r="F10" s="122">
        <v>104</v>
      </c>
      <c r="G10" s="122">
        <v>618</v>
      </c>
      <c r="H10" s="164">
        <v>0</v>
      </c>
      <c r="I10" s="164">
        <v>0</v>
      </c>
      <c r="J10" s="113">
        <f t="shared" si="4"/>
        <v>-104</v>
      </c>
      <c r="K10" s="114">
        <f t="shared" si="5"/>
        <v>-100</v>
      </c>
      <c r="L10" s="115">
        <f t="shared" si="2"/>
        <v>-618</v>
      </c>
      <c r="M10" s="128">
        <f t="shared" si="3"/>
        <v>-100</v>
      </c>
    </row>
    <row r="11" spans="1:13" ht="21.2" customHeight="1">
      <c r="A11" s="224"/>
      <c r="B11" s="225"/>
      <c r="C11" s="226"/>
      <c r="D11" s="81" t="s">
        <v>65</v>
      </c>
      <c r="E11" s="122">
        <v>36095</v>
      </c>
      <c r="F11" s="122">
        <v>1792</v>
      </c>
      <c r="G11" s="122">
        <v>10956</v>
      </c>
      <c r="H11" s="164">
        <v>0</v>
      </c>
      <c r="I11" s="164">
        <v>0</v>
      </c>
      <c r="J11" s="113">
        <f t="shared" si="4"/>
        <v>-1792</v>
      </c>
      <c r="K11" s="114">
        <f t="shared" si="5"/>
        <v>-100</v>
      </c>
      <c r="L11" s="115">
        <f t="shared" si="2"/>
        <v>-10956</v>
      </c>
      <c r="M11" s="128">
        <f t="shared" si="3"/>
        <v>-100</v>
      </c>
    </row>
    <row r="12" spans="1:13" ht="21.2" customHeight="1">
      <c r="A12" s="227" t="s">
        <v>55</v>
      </c>
      <c r="B12" s="228"/>
      <c r="C12" s="228"/>
      <c r="D12" s="81" t="s">
        <v>47</v>
      </c>
      <c r="E12" s="122">
        <v>60588</v>
      </c>
      <c r="F12" s="122">
        <v>4697</v>
      </c>
      <c r="G12" s="122">
        <v>31541</v>
      </c>
      <c r="H12" s="122">
        <v>9631</v>
      </c>
      <c r="I12" s="122">
        <v>49167</v>
      </c>
      <c r="J12" s="113">
        <f t="shared" si="4"/>
        <v>4934</v>
      </c>
      <c r="K12" s="114">
        <f t="shared" si="5"/>
        <v>105.04577389823294</v>
      </c>
      <c r="L12" s="115">
        <f t="shared" si="2"/>
        <v>17626</v>
      </c>
      <c r="M12" s="128">
        <f t="shared" si="3"/>
        <v>55.882819187723896</v>
      </c>
    </row>
    <row r="13" spans="1:13" ht="21.2" customHeight="1">
      <c r="A13" s="227"/>
      <c r="B13" s="228"/>
      <c r="C13" s="228"/>
      <c r="D13" s="81" t="s">
        <v>48</v>
      </c>
      <c r="E13" s="122">
        <v>474427</v>
      </c>
      <c r="F13" s="122">
        <v>20230</v>
      </c>
      <c r="G13" s="122">
        <v>186750</v>
      </c>
      <c r="H13" s="122">
        <v>146932</v>
      </c>
      <c r="I13" s="122">
        <v>716968</v>
      </c>
      <c r="J13" s="113">
        <f t="shared" si="4"/>
        <v>126702</v>
      </c>
      <c r="K13" s="114">
        <f t="shared" si="5"/>
        <v>626.30746416213549</v>
      </c>
      <c r="L13" s="115">
        <f t="shared" si="2"/>
        <v>530218</v>
      </c>
      <c r="M13" s="128">
        <f t="shared" si="3"/>
        <v>283.91860776439091</v>
      </c>
    </row>
    <row r="14" spans="1:13" ht="21.2" customHeight="1">
      <c r="A14" s="227" t="s">
        <v>62</v>
      </c>
      <c r="B14" s="228"/>
      <c r="C14" s="228"/>
      <c r="D14" s="81" t="s">
        <v>47</v>
      </c>
      <c r="E14" s="122">
        <v>173357</v>
      </c>
      <c r="F14" s="122">
        <v>17998</v>
      </c>
      <c r="G14" s="122">
        <v>101904</v>
      </c>
      <c r="H14" s="122">
        <v>21023</v>
      </c>
      <c r="I14" s="122">
        <v>120861</v>
      </c>
      <c r="J14" s="113">
        <f t="shared" si="4"/>
        <v>3025</v>
      </c>
      <c r="K14" s="114">
        <f t="shared" si="5"/>
        <v>16.807423047005216</v>
      </c>
      <c r="L14" s="115">
        <f t="shared" si="2"/>
        <v>18957</v>
      </c>
      <c r="M14" s="128">
        <f t="shared" si="3"/>
        <v>18.602802637776733</v>
      </c>
    </row>
    <row r="15" spans="1:13" ht="21.2" customHeight="1">
      <c r="A15" s="227"/>
      <c r="B15" s="228"/>
      <c r="C15" s="228"/>
      <c r="D15" s="81" t="s">
        <v>48</v>
      </c>
      <c r="E15" s="122">
        <v>3000801</v>
      </c>
      <c r="F15" s="122">
        <v>275384</v>
      </c>
      <c r="G15" s="122">
        <v>1957647</v>
      </c>
      <c r="H15" s="122">
        <v>305208</v>
      </c>
      <c r="I15" s="122">
        <v>1652492</v>
      </c>
      <c r="J15" s="113">
        <f t="shared" si="4"/>
        <v>29824</v>
      </c>
      <c r="K15" s="114">
        <f t="shared" si="5"/>
        <v>10.829968335124775</v>
      </c>
      <c r="L15" s="115">
        <f t="shared" si="2"/>
        <v>-305155</v>
      </c>
      <c r="M15" s="128">
        <f t="shared" si="3"/>
        <v>-15.587846021269414</v>
      </c>
    </row>
    <row r="16" spans="1:13" ht="21.2" customHeight="1">
      <c r="A16" s="227" t="s">
        <v>56</v>
      </c>
      <c r="B16" s="228"/>
      <c r="C16" s="228"/>
      <c r="D16" s="81" t="s">
        <v>47</v>
      </c>
      <c r="E16" s="122">
        <v>167550</v>
      </c>
      <c r="F16" s="122">
        <v>15056</v>
      </c>
      <c r="G16" s="122">
        <v>97400</v>
      </c>
      <c r="H16" s="122">
        <v>13361</v>
      </c>
      <c r="I16" s="122">
        <v>94187</v>
      </c>
      <c r="J16" s="113">
        <f t="shared" si="4"/>
        <v>-1695</v>
      </c>
      <c r="K16" s="82">
        <f t="shared" si="5"/>
        <v>-11.257970244420832</v>
      </c>
      <c r="L16" s="83">
        <f t="shared" si="2"/>
        <v>-3213</v>
      </c>
      <c r="M16" s="129">
        <f t="shared" si="3"/>
        <v>-3.2987679671457926</v>
      </c>
    </row>
    <row r="17" spans="1:13" ht="21.2" customHeight="1">
      <c r="A17" s="227"/>
      <c r="B17" s="228"/>
      <c r="C17" s="228"/>
      <c r="D17" s="81" t="s">
        <v>48</v>
      </c>
      <c r="E17" s="122">
        <v>2696085</v>
      </c>
      <c r="F17" s="122">
        <v>221808</v>
      </c>
      <c r="G17" s="122">
        <v>1578380</v>
      </c>
      <c r="H17" s="122">
        <v>193893</v>
      </c>
      <c r="I17" s="122">
        <v>1487778</v>
      </c>
      <c r="J17" s="113">
        <f t="shared" si="4"/>
        <v>-27915</v>
      </c>
      <c r="K17" s="82">
        <f t="shared" si="5"/>
        <v>-12.585208829257738</v>
      </c>
      <c r="L17" s="83">
        <f t="shared" si="2"/>
        <v>-90602</v>
      </c>
      <c r="M17" s="129">
        <f t="shared" si="3"/>
        <v>-5.7401893080246822</v>
      </c>
    </row>
    <row r="18" spans="1:13" ht="21.2" customHeight="1">
      <c r="A18" s="231" t="s">
        <v>70</v>
      </c>
      <c r="B18" s="232"/>
      <c r="C18" s="232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0</v>
      </c>
      <c r="J18" s="155">
        <f t="shared" si="4"/>
        <v>0</v>
      </c>
      <c r="K18" s="156" t="s">
        <v>68</v>
      </c>
      <c r="L18" s="157">
        <f t="shared" si="2"/>
        <v>0</v>
      </c>
      <c r="M18" s="158">
        <v>0</v>
      </c>
    </row>
    <row r="19" spans="1:13" ht="21.2" customHeight="1">
      <c r="A19" s="233"/>
      <c r="B19" s="234"/>
      <c r="C19" s="234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0</v>
      </c>
      <c r="J19" s="155">
        <f t="shared" si="0"/>
        <v>0</v>
      </c>
      <c r="K19" s="160" t="s">
        <v>68</v>
      </c>
      <c r="L19" s="161">
        <f t="shared" si="2"/>
        <v>0</v>
      </c>
      <c r="M19" s="162">
        <v>0</v>
      </c>
    </row>
    <row r="20" spans="1:13" ht="21.2" customHeight="1">
      <c r="A20" s="221" t="s">
        <v>63</v>
      </c>
      <c r="B20" s="222"/>
      <c r="C20" s="223"/>
      <c r="D20" s="84" t="s">
        <v>64</v>
      </c>
      <c r="E20" s="122">
        <v>178</v>
      </c>
      <c r="F20" s="163">
        <v>40</v>
      </c>
      <c r="G20" s="163">
        <v>98</v>
      </c>
      <c r="H20" s="163">
        <v>18</v>
      </c>
      <c r="I20" s="163">
        <v>64</v>
      </c>
      <c r="J20" s="113">
        <f t="shared" si="0"/>
        <v>-22</v>
      </c>
      <c r="K20" s="145" t="s">
        <v>68</v>
      </c>
      <c r="L20" s="117">
        <f t="shared" si="2"/>
        <v>-34</v>
      </c>
      <c r="M20" s="130">
        <f t="shared" si="3"/>
        <v>-34.693877551020407</v>
      </c>
    </row>
    <row r="21" spans="1:13" ht="21.2" customHeight="1">
      <c r="A21" s="224"/>
      <c r="B21" s="225"/>
      <c r="C21" s="226"/>
      <c r="D21" s="84" t="s">
        <v>65</v>
      </c>
      <c r="E21" s="122">
        <v>1254</v>
      </c>
      <c r="F21" s="163">
        <v>324</v>
      </c>
      <c r="G21" s="163">
        <v>554</v>
      </c>
      <c r="H21" s="163">
        <v>74</v>
      </c>
      <c r="I21" s="163">
        <v>424</v>
      </c>
      <c r="J21" s="113">
        <f t="shared" si="0"/>
        <v>-250</v>
      </c>
      <c r="K21" s="145" t="s">
        <v>68</v>
      </c>
      <c r="L21" s="117">
        <f t="shared" si="2"/>
        <v>-130</v>
      </c>
      <c r="M21" s="130">
        <f t="shared" si="3"/>
        <v>-23.46570397111914</v>
      </c>
    </row>
    <row r="22" spans="1:13" ht="21.2" customHeight="1">
      <c r="A22" s="227" t="s">
        <v>58</v>
      </c>
      <c r="B22" s="228"/>
      <c r="C22" s="228"/>
      <c r="D22" s="81" t="s">
        <v>47</v>
      </c>
      <c r="E22" s="122">
        <v>486</v>
      </c>
      <c r="F22" s="164">
        <v>0</v>
      </c>
      <c r="G22" s="122">
        <v>360</v>
      </c>
      <c r="H22" s="164">
        <v>74</v>
      </c>
      <c r="I22" s="122">
        <v>316</v>
      </c>
      <c r="J22" s="113">
        <f t="shared" si="0"/>
        <v>74</v>
      </c>
      <c r="K22" s="114" t="e">
        <f t="shared" si="1"/>
        <v>#DIV/0!</v>
      </c>
      <c r="L22" s="115">
        <f t="shared" si="2"/>
        <v>-44</v>
      </c>
      <c r="M22" s="128">
        <f t="shared" si="3"/>
        <v>-12.222222222222229</v>
      </c>
    </row>
    <row r="23" spans="1:13" ht="21.2" customHeight="1">
      <c r="A23" s="235"/>
      <c r="B23" s="236"/>
      <c r="C23" s="236"/>
      <c r="D23" s="84" t="s">
        <v>48</v>
      </c>
      <c r="E23" s="122">
        <v>4285</v>
      </c>
      <c r="F23" s="164">
        <v>0</v>
      </c>
      <c r="G23" s="122">
        <v>3246</v>
      </c>
      <c r="H23" s="164">
        <v>552</v>
      </c>
      <c r="I23" s="122">
        <v>2866</v>
      </c>
      <c r="J23" s="113">
        <f t="shared" si="0"/>
        <v>552</v>
      </c>
      <c r="K23" s="116" t="e">
        <f t="shared" si="1"/>
        <v>#DIV/0!</v>
      </c>
      <c r="L23" s="117">
        <f t="shared" si="2"/>
        <v>-380</v>
      </c>
      <c r="M23" s="130">
        <f t="shared" si="3"/>
        <v>-11.706715958102279</v>
      </c>
    </row>
    <row r="24" spans="1:13" ht="21.2" customHeight="1">
      <c r="A24" s="227" t="s">
        <v>59</v>
      </c>
      <c r="B24" s="228"/>
      <c r="C24" s="228"/>
      <c r="D24" s="81" t="s">
        <v>47</v>
      </c>
      <c r="E24" s="122">
        <v>81150</v>
      </c>
      <c r="F24" s="122">
        <v>7118</v>
      </c>
      <c r="G24" s="122">
        <v>45119</v>
      </c>
      <c r="H24" s="122">
        <v>6771</v>
      </c>
      <c r="I24" s="122">
        <v>39306</v>
      </c>
      <c r="J24" s="113">
        <f t="shared" si="0"/>
        <v>-347</v>
      </c>
      <c r="K24" s="114">
        <f t="shared" si="1"/>
        <v>-4.8749648777746586</v>
      </c>
      <c r="L24" s="115">
        <f t="shared" si="2"/>
        <v>-5813</v>
      </c>
      <c r="M24" s="128">
        <f t="shared" si="3"/>
        <v>-12.883707528978931</v>
      </c>
    </row>
    <row r="25" spans="1:13" ht="21.2" customHeight="1">
      <c r="A25" s="227"/>
      <c r="B25" s="228"/>
      <c r="C25" s="228"/>
      <c r="D25" s="81" t="s">
        <v>48</v>
      </c>
      <c r="E25" s="122">
        <v>1256097</v>
      </c>
      <c r="F25" s="122">
        <v>105229</v>
      </c>
      <c r="G25" s="122">
        <v>716536</v>
      </c>
      <c r="H25" s="122">
        <v>106874</v>
      </c>
      <c r="I25" s="122">
        <v>614217</v>
      </c>
      <c r="J25" s="113">
        <f t="shared" si="0"/>
        <v>1645</v>
      </c>
      <c r="K25" s="114">
        <f t="shared" si="1"/>
        <v>1.5632572769863913</v>
      </c>
      <c r="L25" s="115">
        <f t="shared" si="2"/>
        <v>-102319</v>
      </c>
      <c r="M25" s="128">
        <f t="shared" si="3"/>
        <v>-14.279673317181548</v>
      </c>
    </row>
    <row r="26" spans="1:13" ht="21.2" customHeight="1">
      <c r="A26" s="227" t="s">
        <v>60</v>
      </c>
      <c r="B26" s="228"/>
      <c r="C26" s="228"/>
      <c r="D26" s="86" t="s">
        <v>47</v>
      </c>
      <c r="E26" s="123">
        <v>115220</v>
      </c>
      <c r="F26" s="123">
        <v>10365</v>
      </c>
      <c r="G26" s="123">
        <v>64411</v>
      </c>
      <c r="H26" s="123">
        <v>9534</v>
      </c>
      <c r="I26" s="123">
        <v>56616</v>
      </c>
      <c r="J26" s="113">
        <f t="shared" si="0"/>
        <v>-831</v>
      </c>
      <c r="K26" s="118">
        <f t="shared" si="1"/>
        <v>-8.0173661360347381</v>
      </c>
      <c r="L26" s="119">
        <f t="shared" si="2"/>
        <v>-7795</v>
      </c>
      <c r="M26" s="131">
        <f t="shared" si="3"/>
        <v>-12.101970160376325</v>
      </c>
    </row>
    <row r="27" spans="1:13" ht="21.2" customHeight="1">
      <c r="A27" s="227"/>
      <c r="B27" s="228"/>
      <c r="C27" s="228"/>
      <c r="D27" s="84" t="s">
        <v>48</v>
      </c>
      <c r="E27" s="134">
        <v>1551822</v>
      </c>
      <c r="F27" s="134">
        <v>137915</v>
      </c>
      <c r="G27" s="134">
        <v>876124</v>
      </c>
      <c r="H27" s="134">
        <v>140315</v>
      </c>
      <c r="I27" s="134">
        <v>819370</v>
      </c>
      <c r="J27" s="135">
        <f t="shared" si="0"/>
        <v>2400</v>
      </c>
      <c r="K27" s="116">
        <f t="shared" si="1"/>
        <v>1.7402022985172181</v>
      </c>
      <c r="L27" s="117">
        <f t="shared" si="2"/>
        <v>-56754</v>
      </c>
      <c r="M27" s="130">
        <f t="shared" si="3"/>
        <v>-6.4778501673279152</v>
      </c>
    </row>
    <row r="28" spans="1:13" ht="21.2" customHeight="1">
      <c r="A28" s="227" t="s">
        <v>61</v>
      </c>
      <c r="B28" s="228"/>
      <c r="C28" s="228"/>
      <c r="D28" s="81" t="s">
        <v>47</v>
      </c>
      <c r="E28" s="122">
        <v>29479</v>
      </c>
      <c r="F28" s="122">
        <v>2106</v>
      </c>
      <c r="G28" s="122">
        <v>16994</v>
      </c>
      <c r="H28" s="122">
        <v>2817</v>
      </c>
      <c r="I28" s="122">
        <v>19177</v>
      </c>
      <c r="J28" s="113">
        <f>H28-F28</f>
        <v>711</v>
      </c>
      <c r="K28" s="141" t="s">
        <v>67</v>
      </c>
      <c r="L28" s="115">
        <f>I28-G28</f>
        <v>2183</v>
      </c>
      <c r="M28" s="143" t="s">
        <v>67</v>
      </c>
    </row>
    <row r="29" spans="1:13" ht="21.2" customHeight="1" thickBot="1">
      <c r="A29" s="229"/>
      <c r="B29" s="230"/>
      <c r="C29" s="230"/>
      <c r="D29" s="136" t="s">
        <v>48</v>
      </c>
      <c r="E29" s="137">
        <v>456522</v>
      </c>
      <c r="F29" s="137">
        <v>33576</v>
      </c>
      <c r="G29" s="137">
        <v>247318</v>
      </c>
      <c r="H29" s="137">
        <v>44720</v>
      </c>
      <c r="I29" s="137">
        <v>297976</v>
      </c>
      <c r="J29" s="138">
        <f>H29-F29</f>
        <v>11144</v>
      </c>
      <c r="K29" s="142" t="s">
        <v>67</v>
      </c>
      <c r="L29" s="139">
        <f>I29-G29</f>
        <v>50658</v>
      </c>
      <c r="M29" s="144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2020-08-24T08:34:50Z</dcterms:modified>
</cp:coreProperties>
</file>