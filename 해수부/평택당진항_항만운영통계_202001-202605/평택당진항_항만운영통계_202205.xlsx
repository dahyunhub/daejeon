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345" yWindow="1950" windowWidth="22605" windowHeight="10290" tabRatio="601" firstSheet="1" activeTab="1"/>
  </bookViews>
  <sheets>
    <sheet name="VXXX" sheetId="27" state="veryHidden" r:id="rId1"/>
    <sheet name="통계요약" sheetId="21" r:id="rId2"/>
    <sheet name="연도별 수송실적" sheetId="33" r:id="rId3"/>
  </sheets>
  <definedNames>
    <definedName name="_xlnm.Print_Area" localSheetId="2">'연도별 수송실적'!$A$1:$N$33</definedName>
    <definedName name="_xlnm.Print_Area" localSheetId="1">통계요약!$A$1:$M$40</definedName>
  </definedName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J28" i="21" l="1"/>
  <c r="H11" i="21" l="1"/>
  <c r="I15" i="21" l="1"/>
  <c r="I11" i="21"/>
  <c r="H15" i="21"/>
  <c r="H10" i="21" s="1"/>
  <c r="I10" i="21" l="1"/>
  <c r="N4" i="33" s="1"/>
  <c r="F15" i="21"/>
  <c r="F11" i="21"/>
  <c r="G15" i="21"/>
  <c r="G11" i="21"/>
  <c r="F10" i="21" l="1"/>
  <c r="G10" i="21"/>
  <c r="J17" i="21" l="1"/>
  <c r="E15" i="21" l="1"/>
  <c r="E11" i="21"/>
  <c r="E10" i="21" l="1"/>
  <c r="H21" i="21"/>
  <c r="G21" i="21" l="1"/>
  <c r="L11" i="21"/>
  <c r="G7" i="21" l="1"/>
  <c r="I7" i="21" l="1"/>
  <c r="G4" i="33" s="1"/>
  <c r="H7" i="21" l="1"/>
  <c r="AA7" i="33" l="1"/>
  <c r="N6" i="33"/>
  <c r="G6" i="33"/>
  <c r="N3" i="33"/>
  <c r="E7" i="21" l="1"/>
  <c r="L28" i="21" l="1"/>
  <c r="K28" i="21"/>
  <c r="L26" i="21"/>
  <c r="L27" i="21"/>
  <c r="L18" i="21"/>
  <c r="J11" i="21" l="1"/>
  <c r="J22" i="21" l="1"/>
  <c r="J23" i="21"/>
  <c r="J24" i="21"/>
  <c r="J26" i="21"/>
  <c r="J27" i="21"/>
  <c r="J16" i="21"/>
  <c r="J12" i="21"/>
  <c r="J13" i="21"/>
  <c r="J14" i="21"/>
  <c r="I25" i="21" l="1"/>
  <c r="I21" i="21"/>
  <c r="E25" i="21" l="1"/>
  <c r="E21" i="21"/>
  <c r="E20" i="21" l="1"/>
  <c r="F21" i="21" l="1"/>
  <c r="F7" i="21"/>
  <c r="F25" i="21" l="1"/>
  <c r="J25" i="21" s="1"/>
  <c r="G25" i="21"/>
  <c r="G20" i="21" s="1"/>
  <c r="L25" i="21" l="1"/>
  <c r="K14" i="21"/>
  <c r="M24" i="21" l="1"/>
  <c r="J8" i="21"/>
  <c r="K8" i="21"/>
  <c r="L8" i="21"/>
  <c r="M8" i="21"/>
  <c r="J9" i="21"/>
  <c r="K9" i="21"/>
  <c r="L9" i="21"/>
  <c r="M9" i="21"/>
  <c r="K12" i="21"/>
  <c r="L12" i="21"/>
  <c r="M12" i="21"/>
  <c r="K13" i="21"/>
  <c r="L13" i="21"/>
  <c r="M13" i="21"/>
  <c r="L14" i="21"/>
  <c r="M14" i="21"/>
  <c r="K16" i="21"/>
  <c r="L16" i="21"/>
  <c r="M16" i="21"/>
  <c r="K17" i="21"/>
  <c r="L17" i="21"/>
  <c r="M17" i="21"/>
  <c r="K22" i="21"/>
  <c r="L22" i="21"/>
  <c r="M22" i="21"/>
  <c r="K23" i="21"/>
  <c r="L23" i="21"/>
  <c r="M23" i="21"/>
  <c r="K24" i="21"/>
  <c r="L24" i="21"/>
  <c r="M28" i="21"/>
  <c r="I20" i="21" l="1"/>
  <c r="G7" i="33" s="1"/>
  <c r="H20" i="21"/>
  <c r="J15" i="21"/>
  <c r="M11" i="21"/>
  <c r="K15" i="21"/>
  <c r="M21" i="21"/>
  <c r="K21" i="21"/>
  <c r="F20" i="21"/>
  <c r="L21" i="21"/>
  <c r="J21" i="21"/>
  <c r="L15" i="21"/>
  <c r="K11" i="21"/>
  <c r="M15" i="21"/>
  <c r="M7" i="21"/>
  <c r="L7" i="21"/>
  <c r="J7" i="21"/>
  <c r="K7" i="21"/>
  <c r="L20" i="21" l="1"/>
  <c r="J20" i="21"/>
  <c r="L10" i="21"/>
  <c r="M10" i="21"/>
  <c r="K20" i="21"/>
  <c r="M20" i="21"/>
  <c r="J10" i="21"/>
  <c r="K10" i="21"/>
</calcChain>
</file>

<file path=xl/sharedStrings.xml><?xml version="1.0" encoding="utf-8"?>
<sst xmlns="http://schemas.openxmlformats.org/spreadsheetml/2006/main" count="69" uniqueCount="55">
  <si>
    <t>소계</t>
  </si>
  <si>
    <t>외항</t>
  </si>
  <si>
    <t>연안</t>
  </si>
  <si>
    <t>입항</t>
  </si>
  <si>
    <t>출항</t>
  </si>
  <si>
    <t>수입</t>
  </si>
  <si>
    <t>수출</t>
  </si>
  <si>
    <t>구     분</t>
    <phoneticPr fontId="6" type="noConversion"/>
  </si>
  <si>
    <t xml:space="preserve"> 합  계</t>
    <phoneticPr fontId="6" type="noConversion"/>
  </si>
  <si>
    <t xml:space="preserve"> 외  항</t>
    <phoneticPr fontId="6" type="noConversion"/>
  </si>
  <si>
    <t xml:space="preserve"> 내  항</t>
    <phoneticPr fontId="6" type="noConversion"/>
  </si>
  <si>
    <t>연간누계</t>
    <phoneticPr fontId="6" type="noConversion"/>
  </si>
  <si>
    <t>계</t>
    <phoneticPr fontId="6" type="noConversion"/>
  </si>
  <si>
    <t>환적</t>
    <phoneticPr fontId="6" type="noConversion"/>
  </si>
  <si>
    <t>수출</t>
    <phoneticPr fontId="6" type="noConversion"/>
  </si>
  <si>
    <t>전년동기대비</t>
    <phoneticPr fontId="6" type="noConversion"/>
  </si>
  <si>
    <t>(%)</t>
    <phoneticPr fontId="6" type="noConversion"/>
  </si>
  <si>
    <t>환적</t>
    <phoneticPr fontId="6" type="noConversion"/>
  </si>
  <si>
    <t>D-B</t>
    <phoneticPr fontId="6" type="noConversion"/>
  </si>
  <si>
    <t>컨테</t>
    <phoneticPr fontId="6" type="noConversion"/>
  </si>
  <si>
    <t>이너</t>
    <phoneticPr fontId="6" type="noConversion"/>
  </si>
  <si>
    <t>선박</t>
    <phoneticPr fontId="6" type="noConversion"/>
  </si>
  <si>
    <t>화물</t>
    <phoneticPr fontId="6" type="noConversion"/>
  </si>
  <si>
    <t>(단위:TEU, 100% 기준)</t>
    <phoneticPr fontId="6" type="noConversion"/>
  </si>
  <si>
    <t>(화물)</t>
    <phoneticPr fontId="6" type="noConversion"/>
  </si>
  <si>
    <t xml:space="preserve">   (컨테이너)</t>
    <phoneticPr fontId="6" type="noConversion"/>
  </si>
  <si>
    <t>(평택·당진항)</t>
    <phoneticPr fontId="6" type="noConversion"/>
  </si>
  <si>
    <t xml:space="preserve">  □ 전년 동기대비 비교표</t>
    <phoneticPr fontId="6" type="noConversion"/>
  </si>
  <si>
    <t>■ 연도별 수송실적</t>
    <phoneticPr fontId="22" type="noConversion"/>
  </si>
  <si>
    <t>(단위 : 천톤)</t>
    <phoneticPr fontId="6" type="noConversion"/>
  </si>
  <si>
    <t xml:space="preserve">구분 </t>
    <phoneticPr fontId="6" type="noConversion"/>
  </si>
  <si>
    <t>선박입출항</t>
    <phoneticPr fontId="6" type="noConversion"/>
  </si>
  <si>
    <t>화물입출항</t>
    <phoneticPr fontId="6" type="noConversion"/>
  </si>
  <si>
    <t>(단위 : TEU)</t>
    <phoneticPr fontId="6" type="noConversion"/>
  </si>
  <si>
    <t>(단위 : 명)</t>
    <phoneticPr fontId="6" type="noConversion"/>
  </si>
  <si>
    <t>컨테이너</t>
    <phoneticPr fontId="6" type="noConversion"/>
  </si>
  <si>
    <t>여    객</t>
    <phoneticPr fontId="6" type="noConversion"/>
  </si>
  <si>
    <t xml:space="preserve">  □ 연도별 추이 </t>
  </si>
  <si>
    <t>선박입항 및 화물수송</t>
    <phoneticPr fontId="6" type="noConversion"/>
  </si>
  <si>
    <t xml:space="preserve">     (여객)</t>
    <phoneticPr fontId="6" type="noConversion"/>
  </si>
  <si>
    <t xml:space="preserve">     (화물입출항)</t>
    <phoneticPr fontId="6" type="noConversion"/>
  </si>
  <si>
    <t xml:space="preserve">   (선박입출항)</t>
    <phoneticPr fontId="6" type="noConversion"/>
  </si>
  <si>
    <t>C-A</t>
    <phoneticPr fontId="6" type="noConversion"/>
  </si>
  <si>
    <t>자동차(대)</t>
    <phoneticPr fontId="6" type="noConversion"/>
  </si>
  <si>
    <t>소계</t>
    <phoneticPr fontId="6" type="noConversion"/>
  </si>
  <si>
    <t>(단위 : 척)</t>
    <phoneticPr fontId="6" type="noConversion"/>
  </si>
  <si>
    <r>
      <t xml:space="preserve">                         </t>
    </r>
    <r>
      <rPr>
        <sz val="10"/>
        <rFont val="굴림체"/>
        <family val="3"/>
        <charset val="129"/>
      </rPr>
      <t>(단위 : 척, 천톤, 100% 기준)</t>
    </r>
    <phoneticPr fontId="6" type="noConversion"/>
  </si>
  <si>
    <t>2021년도</t>
    <phoneticPr fontId="6" type="noConversion"/>
  </si>
  <si>
    <t>2022년도</t>
    <phoneticPr fontId="6" type="noConversion"/>
  </si>
  <si>
    <t>순증</t>
    <phoneticPr fontId="6" type="noConversion"/>
  </si>
  <si>
    <t>5월(A)</t>
    <phoneticPr fontId="6" type="noConversion"/>
  </si>
  <si>
    <t>5월누계(B)</t>
    <phoneticPr fontId="6" type="noConversion"/>
  </si>
  <si>
    <t>5월(C)</t>
    <phoneticPr fontId="6" type="noConversion"/>
  </si>
  <si>
    <t>5월누계(D)</t>
    <phoneticPr fontId="6" type="noConversion"/>
  </si>
  <si>
    <t>(2022.5월분)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</si>
</sst>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2">
    <numFmt numFmtId="41" formatCode="_-* #,##0_-;\-* #,##0_-;_-* &quot;-&quot;_-;_-@_-"/>
    <numFmt numFmtId="176" formatCode="_ * #,##0_ ;_ * \-#,##0_ ;_ * &quot;-&quot;_ ;_ @_ "/>
    <numFmt numFmtId="177" formatCode="&quot;$&quot;#,##0;[Red]\-&quot;$&quot;#,##0"/>
    <numFmt numFmtId="178" formatCode="&quot;$&quot;#,##0.00;[Red]\-&quot;$&quot;#,##0.00"/>
    <numFmt numFmtId="179" formatCode="_ * #,##0_ ;_ * &quot;₩&quot;&quot;₩&quot;&quot;₩&quot;&quot;₩&quot;&quot;₩&quot;&quot;₩&quot;\-#,##0_ ;_ * &quot;-&quot;_ ;_ @_ "/>
    <numFmt numFmtId="180" formatCode="0_);[Red]\(0\)"/>
    <numFmt numFmtId="181" formatCode="#,##0_ "/>
    <numFmt numFmtId="182" formatCode="#,###,"/>
    <numFmt numFmtId="183" formatCode="#,##0_);[Red]\(#,##0\)"/>
    <numFmt numFmtId="186" formatCode="0.00_);\(0.00\)"/>
    <numFmt numFmtId="187" formatCode="0.00_);[Red]\(0.00\)"/>
    <numFmt numFmtId="188" formatCode="#,##0,"/>
  </numFmts>
  <fonts count="34">
    <font>
      <sz val="12"/>
      <name val="바탕체"/>
      <family val="1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2"/>
      <name val="바탕체"/>
      <family val="1"/>
      <charset val="129"/>
    </font>
    <font>
      <sz val="12"/>
      <name val="바탕체"/>
      <family val="1"/>
      <charset val="129"/>
    </font>
    <font>
      <sz val="10"/>
      <name val="바탕체"/>
      <family val="1"/>
      <charset val="129"/>
    </font>
    <font>
      <sz val="8"/>
      <name val="바탕"/>
      <family val="1"/>
      <charset val="129"/>
    </font>
    <font>
      <sz val="10"/>
      <name val="Geneva"/>
      <family val="2"/>
    </font>
    <font>
      <sz val="10"/>
      <name val="Arial"/>
      <family val="2"/>
    </font>
    <font>
      <sz val="10"/>
      <name val="MS Sans Serif"/>
      <family val="2"/>
    </font>
    <font>
      <sz val="8"/>
      <name val="Arial"/>
      <family val="2"/>
    </font>
    <font>
      <b/>
      <sz val="20"/>
      <name val="굴림체"/>
      <family val="3"/>
      <charset val="129"/>
    </font>
    <font>
      <sz val="10"/>
      <name val="굴림체"/>
      <family val="3"/>
      <charset val="129"/>
    </font>
    <font>
      <b/>
      <sz val="10"/>
      <name val="굴림체"/>
      <family val="3"/>
      <charset val="129"/>
    </font>
    <font>
      <sz val="7"/>
      <name val="굴림체"/>
      <family val="3"/>
      <charset val="129"/>
    </font>
    <font>
      <b/>
      <sz val="14"/>
      <name val="굴림체"/>
      <family val="3"/>
      <charset val="129"/>
    </font>
    <font>
      <b/>
      <sz val="10"/>
      <name val="바탕체"/>
      <family val="1"/>
      <charset val="129"/>
    </font>
    <font>
      <b/>
      <sz val="12"/>
      <name val="굴림체"/>
      <family val="3"/>
      <charset val="129"/>
    </font>
    <font>
      <b/>
      <sz val="14"/>
      <name val="바탕체"/>
      <family val="1"/>
      <charset val="129"/>
    </font>
    <font>
      <sz val="14"/>
      <name val="바탕체"/>
      <family val="1"/>
      <charset val="129"/>
    </font>
    <font>
      <b/>
      <sz val="14"/>
      <name val="돋움"/>
      <family val="3"/>
      <charset val="129"/>
    </font>
    <font>
      <sz val="8"/>
      <name val="바탕체"/>
      <family val="1"/>
      <charset val="129"/>
    </font>
    <font>
      <sz val="8"/>
      <name val="돋움"/>
      <family val="3"/>
      <charset val="129"/>
    </font>
    <font>
      <b/>
      <sz val="11"/>
      <name val="굴림체"/>
      <family val="3"/>
      <charset val="129"/>
    </font>
    <font>
      <sz val="11"/>
      <name val="굴림체"/>
      <family val="3"/>
      <charset val="129"/>
    </font>
    <font>
      <sz val="11"/>
      <name val="돋움"/>
      <family val="3"/>
      <charset val="129"/>
    </font>
    <font>
      <b/>
      <sz val="10.5"/>
      <name val="굴림체"/>
      <family val="3"/>
      <charset val="129"/>
    </font>
    <font>
      <sz val="10"/>
      <color indexed="12"/>
      <name val="굴림체"/>
      <family val="3"/>
      <charset val="129"/>
    </font>
    <font>
      <sz val="10"/>
      <color indexed="12"/>
      <name val="바탕체"/>
      <family val="1"/>
      <charset val="129"/>
    </font>
    <font>
      <sz val="7"/>
      <color indexed="12"/>
      <name val="굴림체"/>
      <family val="3"/>
      <charset val="129"/>
    </font>
    <font>
      <sz val="11"/>
      <color indexed="12"/>
      <name val="굴림체"/>
      <family val="3"/>
      <charset val="129"/>
    </font>
    <font>
      <b/>
      <sz val="16"/>
      <color indexed="10"/>
      <name val="굴림체"/>
      <family val="3"/>
      <charset val="129"/>
    </font>
    <font>
      <sz val="11"/>
      <color rgb="FF0000FF"/>
      <name val="굴림체"/>
      <family val="3"/>
      <charset val="129"/>
    </font>
    <font>
      <sz val="11"/>
      <color indexed="8"/>
      <name val="맑은 고딕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CCFFCC"/>
        <bgColor indexed="64"/>
      </patternFill>
    </fill>
  </fills>
  <borders count="3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22">
    <xf numFmtId="0" fontId="0" fillId="0" borderId="0"/>
    <xf numFmtId="38" fontId="7" fillId="0" borderId="0" applyFont="0" applyFill="0" applyBorder="0" applyAlignment="0" applyProtection="0"/>
    <xf numFmtId="4" fontId="7" fillId="0" borderId="0" applyFont="0" applyFill="0" applyBorder="0" applyAlignment="0" applyProtection="0"/>
    <xf numFmtId="177" fontId="7" fillId="0" borderId="0" applyFont="0" applyFill="0" applyBorder="0" applyAlignment="0" applyProtection="0"/>
    <xf numFmtId="178" fontId="7" fillId="0" borderId="0" applyFont="0" applyFill="0" applyBorder="0" applyAlignment="0" applyProtection="0"/>
    <xf numFmtId="38" fontId="10" fillId="2" borderId="0" applyNumberFormat="0" applyBorder="0" applyAlignment="0" applyProtection="0"/>
    <xf numFmtId="10" fontId="10" fillId="3" borderId="1" applyNumberFormat="0" applyBorder="0" applyAlignment="0" applyProtection="0"/>
    <xf numFmtId="38" fontId="9" fillId="0" borderId="0" applyFont="0" applyFill="0" applyBorder="0" applyAlignment="0" applyProtection="0"/>
    <xf numFmtId="40" fontId="9" fillId="0" borderId="0" applyFont="0" applyFill="0" applyBorder="0" applyAlignment="0" applyProtection="0"/>
    <xf numFmtId="177" fontId="9" fillId="0" borderId="0" applyFont="0" applyFill="0" applyBorder="0" applyAlignment="0" applyProtection="0"/>
    <xf numFmtId="178" fontId="9" fillId="0" borderId="0" applyFont="0" applyFill="0" applyBorder="0" applyAlignment="0" applyProtection="0"/>
    <xf numFmtId="179" fontId="8" fillId="0" borderId="0"/>
    <xf numFmtId="0" fontId="7" fillId="0" borderId="0"/>
    <xf numFmtId="10" fontId="8" fillId="0" borderId="0" applyFont="0" applyFill="0" applyBorder="0" applyAlignment="0" applyProtection="0"/>
    <xf numFmtId="9" fontId="9" fillId="0" borderId="2" applyNumberFormat="0" applyBorder="0"/>
    <xf numFmtId="176" fontId="4" fillId="0" borderId="0" applyFont="0" applyFill="0" applyBorder="0" applyAlignment="0" applyProtection="0"/>
    <xf numFmtId="0" fontId="4" fillId="0" borderId="0"/>
    <xf numFmtId="0" fontId="2" fillId="0" borderId="0">
      <alignment vertical="center"/>
    </xf>
    <xf numFmtId="0" fontId="4" fillId="0" borderId="0"/>
    <xf numFmtId="176" fontId="4" fillId="0" borderId="0" applyFont="0" applyFill="0" applyBorder="0" applyAlignment="0" applyProtection="0"/>
    <xf numFmtId="0" fontId="1" fillId="0" borderId="0">
      <alignment vertical="center"/>
    </xf>
    <xf numFmtId="0" fontId="33" fillId="0" borderId="0">
      <alignment vertical="center"/>
    </xf>
  </cellStyleXfs>
  <cellXfs count="166">
    <xf numFmtId="0" fontId="0" fillId="0" borderId="0" xfId="0"/>
    <xf numFmtId="176" fontId="12" fillId="0" borderId="0" xfId="0" applyNumberFormat="1" applyFont="1" applyBorder="1" applyAlignment="1">
      <alignment horizontal="center" vertical="center"/>
    </xf>
    <xf numFmtId="176" fontId="14" fillId="0" borderId="1" xfId="0" applyNumberFormat="1" applyFont="1" applyBorder="1" applyAlignment="1">
      <alignment horizontal="center" vertical="center"/>
    </xf>
    <xf numFmtId="176" fontId="13" fillId="4" borderId="3" xfId="0" applyNumberFormat="1" applyFont="1" applyFill="1" applyBorder="1" applyAlignment="1">
      <alignment horizontal="center" vertical="center"/>
    </xf>
    <xf numFmtId="176" fontId="12" fillId="5" borderId="3" xfId="0" applyNumberFormat="1" applyFont="1" applyFill="1" applyBorder="1" applyAlignment="1">
      <alignment horizontal="right" vertical="center"/>
    </xf>
    <xf numFmtId="176" fontId="14" fillId="5" borderId="4" xfId="0" applyNumberFormat="1" applyFont="1" applyFill="1" applyBorder="1" applyAlignment="1">
      <alignment horizontal="center" vertical="center"/>
    </xf>
    <xf numFmtId="176" fontId="14" fillId="5" borderId="1" xfId="0" applyNumberFormat="1" applyFont="1" applyFill="1" applyBorder="1" applyAlignment="1">
      <alignment horizontal="center" vertical="center"/>
    </xf>
    <xf numFmtId="176" fontId="12" fillId="5" borderId="0" xfId="0" applyNumberFormat="1" applyFont="1" applyFill="1" applyBorder="1" applyAlignment="1">
      <alignment horizontal="center" vertical="center"/>
    </xf>
    <xf numFmtId="0" fontId="15" fillId="0" borderId="0" xfId="0" applyFont="1"/>
    <xf numFmtId="180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5" fillId="0" borderId="0" xfId="0" applyFont="1" applyAlignment="1">
      <alignment horizontal="right" vertical="center"/>
    </xf>
    <xf numFmtId="180" fontId="5" fillId="0" borderId="0" xfId="0" applyNumberFormat="1" applyFont="1" applyAlignment="1">
      <alignment horizontal="right" vertical="center"/>
    </xf>
    <xf numFmtId="176" fontId="13" fillId="4" borderId="3" xfId="0" applyNumberFormat="1" applyFont="1" applyFill="1" applyBorder="1" applyAlignment="1">
      <alignment horizontal="right" vertical="center"/>
    </xf>
    <xf numFmtId="176" fontId="16" fillId="4" borderId="1" xfId="0" applyNumberFormat="1" applyFont="1" applyFill="1" applyBorder="1" applyAlignment="1">
      <alignment horizontal="right" vertical="center"/>
    </xf>
    <xf numFmtId="176" fontId="12" fillId="0" borderId="0" xfId="0" applyNumberFormat="1" applyFont="1" applyBorder="1" applyAlignment="1">
      <alignment horizontal="right" vertical="center"/>
    </xf>
    <xf numFmtId="9" fontId="13" fillId="4" borderId="5" xfId="0" quotePrefix="1" applyNumberFormat="1" applyFont="1" applyFill="1" applyBorder="1" applyAlignment="1">
      <alignment horizontal="right" vertical="center"/>
    </xf>
    <xf numFmtId="176" fontId="13" fillId="5" borderId="6" xfId="0" applyNumberFormat="1" applyFont="1" applyFill="1" applyBorder="1" applyAlignment="1">
      <alignment horizontal="right" vertical="center"/>
    </xf>
    <xf numFmtId="9" fontId="12" fillId="5" borderId="5" xfId="0" quotePrefix="1" applyNumberFormat="1" applyFont="1" applyFill="1" applyBorder="1" applyAlignment="1">
      <alignment horizontal="right" vertical="center"/>
    </xf>
    <xf numFmtId="176" fontId="5" fillId="5" borderId="1" xfId="0" applyNumberFormat="1" applyFont="1" applyFill="1" applyBorder="1" applyAlignment="1">
      <alignment horizontal="right" vertical="center"/>
    </xf>
    <xf numFmtId="176" fontId="12" fillId="0" borderId="3" xfId="0" applyNumberFormat="1" applyFont="1" applyBorder="1" applyAlignment="1">
      <alignment horizontal="right" vertical="center"/>
    </xf>
    <xf numFmtId="176" fontId="12" fillId="0" borderId="3" xfId="0" applyNumberFormat="1" applyFont="1" applyFill="1" applyBorder="1" applyAlignment="1">
      <alignment horizontal="right" vertical="center"/>
    </xf>
    <xf numFmtId="9" fontId="12" fillId="0" borderId="5" xfId="0" quotePrefix="1" applyNumberFormat="1" applyFont="1" applyFill="1" applyBorder="1" applyAlignment="1">
      <alignment horizontal="right" vertical="center"/>
    </xf>
    <xf numFmtId="176" fontId="5" fillId="0" borderId="1" xfId="0" applyNumberFormat="1" applyFont="1" applyFill="1" applyBorder="1" applyAlignment="1">
      <alignment horizontal="right" vertical="center"/>
    </xf>
    <xf numFmtId="9" fontId="16" fillId="4" borderId="7" xfId="0" applyNumberFormat="1" applyFont="1" applyFill="1" applyBorder="1" applyAlignment="1">
      <alignment horizontal="right" vertical="center"/>
    </xf>
    <xf numFmtId="9" fontId="5" fillId="5" borderId="7" xfId="0" applyNumberFormat="1" applyFont="1" applyFill="1" applyBorder="1" applyAlignment="1">
      <alignment horizontal="right" vertical="center"/>
    </xf>
    <xf numFmtId="9" fontId="5" fillId="0" borderId="7" xfId="0" applyNumberFormat="1" applyFont="1" applyFill="1" applyBorder="1" applyAlignment="1">
      <alignment horizontal="right" vertical="center"/>
    </xf>
    <xf numFmtId="0" fontId="13" fillId="5" borderId="10" xfId="0" applyFont="1" applyFill="1" applyBorder="1" applyAlignment="1">
      <alignment horizontal="left"/>
    </xf>
    <xf numFmtId="0" fontId="12" fillId="5" borderId="0" xfId="0" applyFont="1" applyFill="1" applyBorder="1" applyAlignment="1">
      <alignment horizontal="center"/>
    </xf>
    <xf numFmtId="176" fontId="12" fillId="0" borderId="0" xfId="0" applyNumberFormat="1" applyFont="1" applyFill="1" applyBorder="1" applyAlignment="1">
      <alignment horizontal="center" vertical="center"/>
    </xf>
    <xf numFmtId="176" fontId="13" fillId="0" borderId="0" xfId="0" applyNumberFormat="1" applyFont="1" applyFill="1" applyBorder="1" applyAlignment="1">
      <alignment horizontal="right" vertical="center"/>
    </xf>
    <xf numFmtId="181" fontId="13" fillId="0" borderId="0" xfId="0" applyNumberFormat="1" applyFont="1" applyFill="1" applyBorder="1" applyAlignment="1">
      <alignment horizontal="right" vertical="center"/>
    </xf>
    <xf numFmtId="9" fontId="13" fillId="0" borderId="0" xfId="0" quotePrefix="1" applyNumberFormat="1" applyFont="1" applyFill="1" applyBorder="1" applyAlignment="1">
      <alignment horizontal="right" vertical="center"/>
    </xf>
    <xf numFmtId="176" fontId="16" fillId="0" borderId="0" xfId="0" applyNumberFormat="1" applyFont="1" applyFill="1" applyBorder="1" applyAlignment="1">
      <alignment horizontal="right" vertical="center"/>
    </xf>
    <xf numFmtId="9" fontId="16" fillId="0" borderId="0" xfId="0" applyNumberFormat="1" applyFont="1" applyFill="1" applyBorder="1" applyAlignment="1">
      <alignment horizontal="right" vertical="center"/>
    </xf>
    <xf numFmtId="176" fontId="13" fillId="6" borderId="15" xfId="0" quotePrefix="1" applyNumberFormat="1" applyFont="1" applyFill="1" applyBorder="1" applyAlignment="1">
      <alignment horizontal="center" vertical="center"/>
    </xf>
    <xf numFmtId="176" fontId="13" fillId="6" borderId="16" xfId="0" applyNumberFormat="1" applyFont="1" applyFill="1" applyBorder="1" applyAlignment="1">
      <alignment horizontal="center" vertical="center"/>
    </xf>
    <xf numFmtId="176" fontId="13" fillId="6" borderId="1" xfId="0" applyNumberFormat="1" applyFont="1" applyFill="1" applyBorder="1" applyAlignment="1">
      <alignment horizontal="center" vertical="center"/>
    </xf>
    <xf numFmtId="9" fontId="13" fillId="6" borderId="5" xfId="0" applyNumberFormat="1" applyFont="1" applyFill="1" applyBorder="1" applyAlignment="1">
      <alignment horizontal="center" vertical="center"/>
    </xf>
    <xf numFmtId="0" fontId="16" fillId="6" borderId="1" xfId="0" applyFont="1" applyFill="1" applyBorder="1" applyAlignment="1">
      <alignment horizontal="center" vertical="center"/>
    </xf>
    <xf numFmtId="180" fontId="13" fillId="6" borderId="7" xfId="0" applyNumberFormat="1" applyFont="1" applyFill="1" applyBorder="1" applyAlignment="1">
      <alignment horizontal="center" vertical="center"/>
    </xf>
    <xf numFmtId="182" fontId="13" fillId="4" borderId="3" xfId="0" applyNumberFormat="1" applyFont="1" applyFill="1" applyBorder="1" applyAlignment="1">
      <alignment horizontal="right" vertical="center"/>
    </xf>
    <xf numFmtId="182" fontId="12" fillId="0" borderId="4" xfId="0" applyNumberFormat="1" applyFont="1" applyBorder="1" applyAlignment="1">
      <alignment horizontal="right" vertical="center"/>
    </xf>
    <xf numFmtId="182" fontId="12" fillId="0" borderId="1" xfId="0" applyNumberFormat="1" applyFont="1" applyBorder="1" applyAlignment="1">
      <alignment horizontal="right" vertical="center"/>
    </xf>
    <xf numFmtId="0" fontId="12" fillId="0" borderId="0" xfId="0" applyFont="1" applyAlignment="1">
      <alignment horizontal="center" vertical="center"/>
    </xf>
    <xf numFmtId="9" fontId="5" fillId="5" borderId="1" xfId="0" applyNumberFormat="1" applyFont="1" applyFill="1" applyBorder="1" applyAlignment="1">
      <alignment horizontal="right" vertical="center"/>
    </xf>
    <xf numFmtId="176" fontId="14" fillId="0" borderId="1" xfId="0" applyNumberFormat="1" applyFont="1" applyFill="1" applyBorder="1" applyAlignment="1">
      <alignment horizontal="center" vertical="center"/>
    </xf>
    <xf numFmtId="0" fontId="17" fillId="0" borderId="0" xfId="0" applyFont="1" applyAlignment="1">
      <alignment horizontal="left" vertical="center"/>
    </xf>
    <xf numFmtId="176" fontId="12" fillId="0" borderId="4" xfId="0" applyNumberFormat="1" applyFont="1" applyFill="1" applyBorder="1" applyAlignment="1">
      <alignment horizontal="center" vertical="center"/>
    </xf>
    <xf numFmtId="176" fontId="12" fillId="0" borderId="1" xfId="0" applyNumberFormat="1" applyFont="1" applyFill="1" applyBorder="1" applyAlignment="1">
      <alignment horizontal="center" vertical="center"/>
    </xf>
    <xf numFmtId="41" fontId="12" fillId="0" borderId="1" xfId="0" applyNumberFormat="1" applyFont="1" applyFill="1" applyBorder="1" applyAlignment="1">
      <alignment horizontal="center" vertical="center"/>
    </xf>
    <xf numFmtId="0" fontId="20" fillId="0" borderId="0" xfId="0" applyFont="1"/>
    <xf numFmtId="0" fontId="4" fillId="0" borderId="0" xfId="16"/>
    <xf numFmtId="0" fontId="23" fillId="6" borderId="19" xfId="0" applyFont="1" applyFill="1" applyBorder="1" applyAlignment="1">
      <alignment horizontal="center" vertical="center"/>
    </xf>
    <xf numFmtId="180" fontId="23" fillId="6" borderId="20" xfId="0" quotePrefix="1" applyNumberFormat="1" applyFont="1" applyFill="1" applyBorder="1" applyAlignment="1">
      <alignment horizontal="center" vertical="center"/>
    </xf>
    <xf numFmtId="0" fontId="23" fillId="4" borderId="19" xfId="0" applyFont="1" applyFill="1" applyBorder="1" applyAlignment="1">
      <alignment horizontal="center" vertical="center"/>
    </xf>
    <xf numFmtId="0" fontId="23" fillId="0" borderId="0" xfId="0" applyFont="1" applyBorder="1" applyAlignment="1">
      <alignment horizontal="center" vertical="center"/>
    </xf>
    <xf numFmtId="183" fontId="24" fillId="0" borderId="0" xfId="0" applyNumberFormat="1" applyFont="1" applyBorder="1" applyAlignment="1">
      <alignment vertical="center"/>
    </xf>
    <xf numFmtId="0" fontId="4" fillId="0" borderId="0" xfId="16" applyAlignment="1">
      <alignment horizontal="right"/>
    </xf>
    <xf numFmtId="180" fontId="4" fillId="0" borderId="0" xfId="16" applyNumberFormat="1" applyAlignment="1">
      <alignment horizontal="right"/>
    </xf>
    <xf numFmtId="0" fontId="5" fillId="0" borderId="0" xfId="16" applyFont="1" applyAlignment="1">
      <alignment horizontal="right" vertical="center"/>
    </xf>
    <xf numFmtId="180" fontId="5" fillId="0" borderId="0" xfId="16" applyNumberFormat="1" applyFont="1" applyAlignment="1">
      <alignment horizontal="right" vertical="center"/>
    </xf>
    <xf numFmtId="0" fontId="17" fillId="0" borderId="0" xfId="16" applyFont="1" applyAlignment="1">
      <alignment vertical="center"/>
    </xf>
    <xf numFmtId="0" fontId="15" fillId="0" borderId="0" xfId="16" applyFont="1" applyAlignment="1">
      <alignment vertical="center"/>
    </xf>
    <xf numFmtId="0" fontId="26" fillId="0" borderId="22" xfId="0" applyFont="1" applyBorder="1" applyAlignment="1">
      <alignment horizontal="center" vertical="center"/>
    </xf>
    <xf numFmtId="182" fontId="27" fillId="0" borderId="4" xfId="0" applyNumberFormat="1" applyFont="1" applyFill="1" applyBorder="1" applyAlignment="1">
      <alignment horizontal="right" vertical="center"/>
    </xf>
    <xf numFmtId="9" fontId="27" fillId="0" borderId="5" xfId="0" quotePrefix="1" applyNumberFormat="1" applyFont="1" applyFill="1" applyBorder="1" applyAlignment="1">
      <alignment horizontal="right" vertical="center"/>
    </xf>
    <xf numFmtId="9" fontId="28" fillId="0" borderId="7" xfId="0" applyNumberFormat="1" applyFont="1" applyFill="1" applyBorder="1" applyAlignment="1">
      <alignment horizontal="right" vertical="center"/>
    </xf>
    <xf numFmtId="182" fontId="27" fillId="5" borderId="4" xfId="0" applyNumberFormat="1" applyFont="1" applyFill="1" applyBorder="1" applyAlignment="1">
      <alignment horizontal="right" vertical="center"/>
    </xf>
    <xf numFmtId="9" fontId="27" fillId="5" borderId="5" xfId="0" quotePrefix="1" applyNumberFormat="1" applyFont="1" applyFill="1" applyBorder="1" applyAlignment="1">
      <alignment horizontal="right" vertical="center"/>
    </xf>
    <xf numFmtId="9" fontId="28" fillId="5" borderId="7" xfId="0" applyNumberFormat="1" applyFont="1" applyFill="1" applyBorder="1" applyAlignment="1">
      <alignment horizontal="right" vertical="center"/>
    </xf>
    <xf numFmtId="176" fontId="29" fillId="0" borderId="4" xfId="0" applyNumberFormat="1" applyFont="1" applyFill="1" applyBorder="1" applyAlignment="1">
      <alignment horizontal="center" vertical="center"/>
    </xf>
    <xf numFmtId="176" fontId="29" fillId="5" borderId="4" xfId="0" applyNumberFormat="1" applyFont="1" applyFill="1" applyBorder="1" applyAlignment="1">
      <alignment horizontal="center" vertical="center"/>
    </xf>
    <xf numFmtId="176" fontId="29" fillId="5" borderId="1" xfId="0" applyNumberFormat="1" applyFont="1" applyFill="1" applyBorder="1" applyAlignment="1">
      <alignment horizontal="center" vertical="center"/>
    </xf>
    <xf numFmtId="176" fontId="27" fillId="5" borderId="1" xfId="0" applyNumberFormat="1" applyFont="1" applyFill="1" applyBorder="1" applyAlignment="1">
      <alignment horizontal="center" vertical="center"/>
    </xf>
    <xf numFmtId="176" fontId="27" fillId="5" borderId="1" xfId="0" applyNumberFormat="1" applyFont="1" applyFill="1" applyBorder="1" applyAlignment="1">
      <alignment horizontal="right" vertical="center"/>
    </xf>
    <xf numFmtId="9" fontId="28" fillId="5" borderId="1" xfId="0" applyNumberFormat="1" applyFont="1" applyFill="1" applyBorder="1" applyAlignment="1">
      <alignment horizontal="right" vertical="center"/>
    </xf>
    <xf numFmtId="176" fontId="28" fillId="5" borderId="1" xfId="0" applyNumberFormat="1" applyFont="1" applyFill="1" applyBorder="1" applyAlignment="1">
      <alignment horizontal="right" vertical="center"/>
    </xf>
    <xf numFmtId="176" fontId="13" fillId="4" borderId="3" xfId="0" applyNumberFormat="1" applyFont="1" applyFill="1" applyBorder="1" applyAlignment="1">
      <alignment horizontal="center" vertical="center" shrinkToFit="1"/>
    </xf>
    <xf numFmtId="176" fontId="13" fillId="4" borderId="3" xfId="0" applyNumberFormat="1" applyFont="1" applyFill="1" applyBorder="1" applyAlignment="1">
      <alignment horizontal="right" vertical="center" shrinkToFit="1"/>
    </xf>
    <xf numFmtId="9" fontId="13" fillId="4" borderId="5" xfId="0" quotePrefix="1" applyNumberFormat="1" applyFont="1" applyFill="1" applyBorder="1" applyAlignment="1">
      <alignment horizontal="right" vertical="center" shrinkToFit="1"/>
    </xf>
    <xf numFmtId="176" fontId="16" fillId="4" borderId="1" xfId="0" applyNumberFormat="1" applyFont="1" applyFill="1" applyBorder="1" applyAlignment="1">
      <alignment horizontal="right" vertical="center" shrinkToFit="1"/>
    </xf>
    <xf numFmtId="0" fontId="17" fillId="0" borderId="0" xfId="16" applyFont="1" applyAlignment="1">
      <alignment horizontal="left" vertical="center"/>
    </xf>
    <xf numFmtId="0" fontId="17" fillId="0" borderId="0" xfId="0" applyFont="1" applyAlignment="1">
      <alignment horizontal="left" vertical="top"/>
    </xf>
    <xf numFmtId="0" fontId="0" fillId="0" borderId="0" xfId="16" applyFont="1"/>
    <xf numFmtId="0" fontId="0" fillId="0" borderId="0" xfId="0" applyFont="1"/>
    <xf numFmtId="181" fontId="13" fillId="4" borderId="12" xfId="0" applyNumberFormat="1" applyFont="1" applyFill="1" applyBorder="1" applyAlignment="1">
      <alignment horizontal="right" vertical="center"/>
    </xf>
    <xf numFmtId="176" fontId="13" fillId="4" borderId="24" xfId="0" applyNumberFormat="1" applyFont="1" applyFill="1" applyBorder="1" applyAlignment="1">
      <alignment horizontal="right" vertical="center" shrinkToFit="1"/>
    </xf>
    <xf numFmtId="9" fontId="13" fillId="4" borderId="13" xfId="0" quotePrefix="1" applyNumberFormat="1" applyFont="1" applyFill="1" applyBorder="1" applyAlignment="1">
      <alignment horizontal="right" vertical="center"/>
    </xf>
    <xf numFmtId="176" fontId="16" fillId="4" borderId="12" xfId="0" applyNumberFormat="1" applyFont="1" applyFill="1" applyBorder="1" applyAlignment="1">
      <alignment horizontal="right" vertical="center"/>
    </xf>
    <xf numFmtId="9" fontId="16" fillId="4" borderId="14" xfId="0" applyNumberFormat="1" applyFont="1" applyFill="1" applyBorder="1" applyAlignment="1">
      <alignment horizontal="right" vertical="center"/>
    </xf>
    <xf numFmtId="180" fontId="0" fillId="0" borderId="18" xfId="0" applyNumberFormat="1" applyBorder="1" applyAlignment="1">
      <alignment horizontal="center"/>
    </xf>
    <xf numFmtId="183" fontId="24" fillId="0" borderId="12" xfId="0" applyNumberFormat="1" applyFont="1" applyBorder="1" applyAlignment="1">
      <alignment horizontal="right" vertical="center"/>
    </xf>
    <xf numFmtId="183" fontId="30" fillId="0" borderId="23" xfId="0" applyNumberFormat="1" applyFont="1" applyBorder="1" applyAlignment="1">
      <alignment horizontal="right" vertical="center"/>
    </xf>
    <xf numFmtId="183" fontId="24" fillId="0" borderId="12" xfId="0" applyNumberFormat="1" applyFont="1" applyBorder="1" applyAlignment="1">
      <alignment horizontal="right" vertical="center" shrinkToFit="1"/>
    </xf>
    <xf numFmtId="183" fontId="30" fillId="0" borderId="23" xfId="0" applyNumberFormat="1" applyFont="1" applyBorder="1" applyAlignment="1">
      <alignment horizontal="right" vertical="center" shrinkToFit="1"/>
    </xf>
    <xf numFmtId="176" fontId="32" fillId="0" borderId="23" xfId="15" applyFont="1" applyBorder="1" applyAlignment="1">
      <alignment horizontal="right" vertical="center" shrinkToFit="1"/>
    </xf>
    <xf numFmtId="176" fontId="13" fillId="6" borderId="17" xfId="0" applyNumberFormat="1" applyFont="1" applyFill="1" applyBorder="1" applyAlignment="1">
      <alignment horizontal="center" vertical="center"/>
    </xf>
    <xf numFmtId="176" fontId="13" fillId="6" borderId="5" xfId="0" applyNumberFormat="1" applyFont="1" applyFill="1" applyBorder="1" applyAlignment="1">
      <alignment horizontal="center" vertical="center"/>
    </xf>
    <xf numFmtId="186" fontId="23" fillId="6" borderId="21" xfId="0" applyNumberFormat="1" applyFont="1" applyFill="1" applyBorder="1" applyAlignment="1">
      <alignment horizontal="center" vertical="center"/>
    </xf>
    <xf numFmtId="187" fontId="23" fillId="6" borderId="21" xfId="0" quotePrefix="1" applyNumberFormat="1" applyFont="1" applyFill="1" applyBorder="1" applyAlignment="1">
      <alignment horizontal="center" vertical="center"/>
    </xf>
    <xf numFmtId="176" fontId="12" fillId="0" borderId="4" xfId="0" applyNumberFormat="1" applyFont="1" applyFill="1" applyBorder="1" applyAlignment="1">
      <alignment horizontal="center" vertical="center"/>
    </xf>
    <xf numFmtId="176" fontId="12" fillId="5" borderId="1" xfId="0" applyNumberFormat="1" applyFont="1" applyFill="1" applyBorder="1" applyAlignment="1">
      <alignment horizontal="right" vertical="center"/>
    </xf>
    <xf numFmtId="3" fontId="0" fillId="0" borderId="0" xfId="0" applyNumberFormat="1"/>
    <xf numFmtId="188" fontId="12" fillId="0" borderId="4" xfId="0" applyNumberFormat="1" applyFont="1" applyBorder="1" applyAlignment="1">
      <alignment horizontal="right" vertical="center"/>
    </xf>
    <xf numFmtId="182" fontId="12" fillId="5" borderId="3" xfId="0" applyNumberFormat="1" applyFont="1" applyFill="1" applyBorder="1" applyAlignment="1">
      <alignment horizontal="right" vertical="center"/>
    </xf>
    <xf numFmtId="182" fontId="12" fillId="0" borderId="3" xfId="0" applyNumberFormat="1" applyFont="1" applyFill="1" applyBorder="1" applyAlignment="1">
      <alignment horizontal="right" vertical="center"/>
    </xf>
    <xf numFmtId="182" fontId="27" fillId="5" borderId="3" xfId="0" applyNumberFormat="1" applyFont="1" applyFill="1" applyBorder="1" applyAlignment="1">
      <alignment horizontal="right" vertical="center"/>
    </xf>
    <xf numFmtId="182" fontId="27" fillId="0" borderId="3" xfId="0" applyNumberFormat="1" applyFont="1" applyFill="1" applyBorder="1" applyAlignment="1">
      <alignment horizontal="right" vertical="center"/>
    </xf>
    <xf numFmtId="182" fontId="28" fillId="5" borderId="1" xfId="0" applyNumberFormat="1" applyFont="1" applyFill="1" applyBorder="1" applyAlignment="1">
      <alignment horizontal="right" vertical="center"/>
    </xf>
    <xf numFmtId="182" fontId="5" fillId="5" borderId="1" xfId="0" applyNumberFormat="1" applyFont="1" applyFill="1" applyBorder="1" applyAlignment="1">
      <alignment horizontal="right" vertical="center"/>
    </xf>
    <xf numFmtId="182" fontId="28" fillId="0" borderId="1" xfId="0" applyNumberFormat="1" applyFont="1" applyFill="1" applyBorder="1" applyAlignment="1">
      <alignment horizontal="right" vertical="center"/>
    </xf>
    <xf numFmtId="182" fontId="16" fillId="4" borderId="1" xfId="0" applyNumberFormat="1" applyFont="1" applyFill="1" applyBorder="1" applyAlignment="1">
      <alignment horizontal="right" vertical="center"/>
    </xf>
    <xf numFmtId="176" fontId="12" fillId="7" borderId="9" xfId="0" applyNumberFormat="1" applyFont="1" applyFill="1" applyBorder="1" applyAlignment="1">
      <alignment horizontal="center" vertical="center"/>
    </xf>
    <xf numFmtId="176" fontId="12" fillId="7" borderId="8" xfId="0" applyNumberFormat="1" applyFont="1" applyFill="1" applyBorder="1" applyAlignment="1">
      <alignment horizontal="center" vertical="center"/>
    </xf>
    <xf numFmtId="176" fontId="13" fillId="7" borderId="8" xfId="0" applyNumberFormat="1" applyFont="1" applyFill="1" applyBorder="1" applyAlignment="1">
      <alignment horizontal="left" vertical="center"/>
    </xf>
    <xf numFmtId="176" fontId="12" fillId="7" borderId="8" xfId="0" applyNumberFormat="1" applyFont="1" applyFill="1" applyBorder="1" applyAlignment="1">
      <alignment horizontal="left" vertical="center"/>
    </xf>
    <xf numFmtId="176" fontId="12" fillId="7" borderId="11" xfId="0" applyNumberFormat="1" applyFont="1" applyFill="1" applyBorder="1" applyAlignment="1">
      <alignment vertical="center"/>
    </xf>
    <xf numFmtId="182" fontId="32" fillId="0" borderId="12" xfId="0" applyNumberFormat="1" applyFont="1" applyBorder="1" applyAlignment="1">
      <alignment horizontal="right" vertical="center"/>
    </xf>
    <xf numFmtId="176" fontId="12" fillId="0" borderId="1" xfId="0" applyNumberFormat="1" applyFont="1" applyBorder="1" applyAlignment="1">
      <alignment horizontal="center" vertical="center"/>
    </xf>
    <xf numFmtId="176" fontId="12" fillId="5" borderId="5" xfId="0" applyNumberFormat="1" applyFont="1" applyFill="1" applyBorder="1" applyAlignment="1">
      <alignment horizontal="center" vertical="center"/>
    </xf>
    <xf numFmtId="176" fontId="12" fillId="5" borderId="3" xfId="0" applyNumberFormat="1" applyFont="1" applyFill="1" applyBorder="1" applyAlignment="1">
      <alignment horizontal="center" vertical="center"/>
    </xf>
    <xf numFmtId="176" fontId="12" fillId="0" borderId="5" xfId="0" applyNumberFormat="1" applyFont="1" applyFill="1" applyBorder="1" applyAlignment="1">
      <alignment horizontal="center" vertical="center"/>
    </xf>
    <xf numFmtId="176" fontId="12" fillId="0" borderId="3" xfId="0" applyNumberFormat="1" applyFont="1" applyFill="1" applyBorder="1" applyAlignment="1">
      <alignment horizontal="center" vertical="center"/>
    </xf>
    <xf numFmtId="176" fontId="13" fillId="0" borderId="0" xfId="0" applyNumberFormat="1" applyFont="1" applyBorder="1" applyAlignment="1">
      <alignment horizontal="right" vertical="center"/>
    </xf>
    <xf numFmtId="0" fontId="3" fillId="0" borderId="0" xfId="0" applyFont="1" applyBorder="1" applyAlignment="1">
      <alignment horizontal="right" vertical="center"/>
    </xf>
    <xf numFmtId="176" fontId="12" fillId="5" borderId="4" xfId="0" applyNumberFormat="1" applyFont="1" applyFill="1" applyBorder="1" applyAlignment="1">
      <alignment horizontal="center" vertical="center"/>
    </xf>
    <xf numFmtId="176" fontId="12" fillId="5" borderId="25" xfId="0" applyNumberFormat="1" applyFont="1" applyFill="1" applyBorder="1" applyAlignment="1">
      <alignment horizontal="center" vertical="center"/>
    </xf>
    <xf numFmtId="176" fontId="12" fillId="5" borderId="16" xfId="0" applyNumberFormat="1" applyFont="1" applyFill="1" applyBorder="1" applyAlignment="1">
      <alignment horizontal="center" vertical="center"/>
    </xf>
    <xf numFmtId="176" fontId="13" fillId="7" borderId="9" xfId="0" applyNumberFormat="1" applyFont="1" applyFill="1" applyBorder="1" applyAlignment="1">
      <alignment horizontal="center" vertical="center"/>
    </xf>
    <xf numFmtId="176" fontId="13" fillId="7" borderId="8" xfId="0" applyNumberFormat="1" applyFont="1" applyFill="1" applyBorder="1" applyAlignment="1">
      <alignment horizontal="center" vertical="center"/>
    </xf>
    <xf numFmtId="176" fontId="13" fillId="7" borderId="11" xfId="0" applyNumberFormat="1" applyFont="1" applyFill="1" applyBorder="1" applyAlignment="1">
      <alignment horizontal="center" vertical="center"/>
    </xf>
    <xf numFmtId="176" fontId="13" fillId="4" borderId="5" xfId="0" applyNumberFormat="1" applyFont="1" applyFill="1" applyBorder="1" applyAlignment="1">
      <alignment horizontal="center" vertical="center"/>
    </xf>
    <xf numFmtId="176" fontId="13" fillId="4" borderId="3" xfId="0" applyNumberFormat="1" applyFont="1" applyFill="1" applyBorder="1" applyAlignment="1">
      <alignment horizontal="center" vertical="center"/>
    </xf>
    <xf numFmtId="9" fontId="13" fillId="5" borderId="6" xfId="0" applyNumberFormat="1" applyFont="1" applyFill="1" applyBorder="1" applyAlignment="1">
      <alignment horizontal="right"/>
    </xf>
    <xf numFmtId="9" fontId="13" fillId="5" borderId="6" xfId="0" quotePrefix="1" applyNumberFormat="1" applyFont="1" applyFill="1" applyBorder="1" applyAlignment="1">
      <alignment horizontal="right"/>
    </xf>
    <xf numFmtId="9" fontId="13" fillId="5" borderId="26" xfId="0" quotePrefix="1" applyNumberFormat="1" applyFont="1" applyFill="1" applyBorder="1" applyAlignment="1">
      <alignment horizontal="right"/>
    </xf>
    <xf numFmtId="176" fontId="13" fillId="6" borderId="20" xfId="0" applyNumberFormat="1" applyFont="1" applyFill="1" applyBorder="1" applyAlignment="1">
      <alignment horizontal="center" vertical="center"/>
    </xf>
    <xf numFmtId="176" fontId="12" fillId="2" borderId="4" xfId="0" applyNumberFormat="1" applyFont="1" applyFill="1" applyBorder="1" applyAlignment="1">
      <alignment horizontal="center" vertical="center"/>
    </xf>
    <xf numFmtId="176" fontId="12" fillId="2" borderId="25" xfId="0" applyNumberFormat="1" applyFont="1" applyFill="1" applyBorder="1" applyAlignment="1">
      <alignment horizontal="center" vertical="center"/>
    </xf>
    <xf numFmtId="176" fontId="12" fillId="2" borderId="16" xfId="0" applyNumberFormat="1" applyFont="1" applyFill="1" applyBorder="1" applyAlignment="1">
      <alignment horizontal="center" vertical="center"/>
    </xf>
    <xf numFmtId="0" fontId="31" fillId="0" borderId="0" xfId="0" applyFont="1" applyAlignment="1">
      <alignment horizontal="center" vertical="center"/>
    </xf>
    <xf numFmtId="176" fontId="13" fillId="6" borderId="27" xfId="0" applyNumberFormat="1" applyFont="1" applyFill="1" applyBorder="1" applyAlignment="1">
      <alignment horizontal="center" vertical="center"/>
    </xf>
    <xf numFmtId="176" fontId="13" fillId="6" borderId="15" xfId="0" applyNumberFormat="1" applyFont="1" applyFill="1" applyBorder="1" applyAlignment="1">
      <alignment horizontal="center" vertical="center"/>
    </xf>
    <xf numFmtId="176" fontId="13" fillId="6" borderId="21" xfId="0" applyNumberFormat="1" applyFont="1" applyFill="1" applyBorder="1" applyAlignment="1">
      <alignment horizontal="center" vertical="center"/>
    </xf>
    <xf numFmtId="176" fontId="13" fillId="6" borderId="28" xfId="0" applyNumberFormat="1" applyFont="1" applyFill="1" applyBorder="1" applyAlignment="1">
      <alignment horizontal="center" vertical="center"/>
    </xf>
    <xf numFmtId="0" fontId="0" fillId="0" borderId="2" xfId="0" applyBorder="1"/>
    <xf numFmtId="0" fontId="0" fillId="0" borderId="29" xfId="0" applyBorder="1"/>
    <xf numFmtId="0" fontId="0" fillId="0" borderId="30" xfId="0" applyBorder="1"/>
    <xf numFmtId="0" fontId="0" fillId="0" borderId="31" xfId="0" applyBorder="1"/>
    <xf numFmtId="0" fontId="0" fillId="0" borderId="32" xfId="0" applyBorder="1"/>
    <xf numFmtId="176" fontId="11" fillId="0" borderId="0" xfId="0" applyNumberFormat="1" applyFont="1" applyAlignment="1">
      <alignment horizontal="center" wrapText="1"/>
    </xf>
    <xf numFmtId="176" fontId="11" fillId="0" borderId="0" xfId="0" applyNumberFormat="1" applyFont="1" applyAlignment="1">
      <alignment horizontal="center"/>
    </xf>
    <xf numFmtId="176" fontId="11" fillId="0" borderId="0" xfId="0" applyNumberFormat="1" applyFont="1" applyAlignment="1">
      <alignment horizontal="center" vertical="top" wrapText="1"/>
    </xf>
    <xf numFmtId="176" fontId="13" fillId="6" borderId="36" xfId="0" applyNumberFormat="1" applyFont="1" applyFill="1" applyBorder="1" applyAlignment="1">
      <alignment horizontal="center" vertical="center"/>
    </xf>
    <xf numFmtId="0" fontId="18" fillId="0" borderId="0" xfId="0" applyFont="1" applyBorder="1" applyAlignment="1">
      <alignment horizontal="left" vertical="center" wrapText="1"/>
    </xf>
    <xf numFmtId="0" fontId="19" fillId="0" borderId="0" xfId="0" applyFont="1" applyBorder="1" applyAlignment="1">
      <alignment horizontal="left" vertical="center"/>
    </xf>
    <xf numFmtId="176" fontId="12" fillId="2" borderId="1" xfId="0" applyNumberFormat="1" applyFont="1" applyFill="1" applyBorder="1" applyAlignment="1">
      <alignment horizontal="center" vertical="center"/>
    </xf>
    <xf numFmtId="176" fontId="13" fillId="6" borderId="33" xfId="0" applyNumberFormat="1" applyFont="1" applyFill="1" applyBorder="1" applyAlignment="1">
      <alignment horizontal="center" vertical="center"/>
    </xf>
    <xf numFmtId="176" fontId="13" fillId="6" borderId="34" xfId="0" applyNumberFormat="1" applyFont="1" applyFill="1" applyBorder="1" applyAlignment="1">
      <alignment horizontal="center" vertical="center"/>
    </xf>
    <xf numFmtId="176" fontId="13" fillId="6" borderId="24" xfId="0" applyNumberFormat="1" applyFont="1" applyFill="1" applyBorder="1" applyAlignment="1">
      <alignment horizontal="center" vertical="center"/>
    </xf>
    <xf numFmtId="0" fontId="17" fillId="0" borderId="0" xfId="0" applyFont="1" applyAlignment="1">
      <alignment horizontal="left" vertical="center"/>
    </xf>
    <xf numFmtId="0" fontId="17" fillId="0" borderId="0" xfId="0" applyFont="1" applyAlignment="1">
      <alignment horizontal="left" vertical="top"/>
    </xf>
    <xf numFmtId="0" fontId="15" fillId="0" borderId="0" xfId="0" applyFont="1" applyAlignment="1">
      <alignment horizontal="left" vertical="center"/>
    </xf>
    <xf numFmtId="180" fontId="0" fillId="0" borderId="18" xfId="0" applyNumberFormat="1" applyBorder="1" applyAlignment="1">
      <alignment horizontal="center"/>
    </xf>
    <xf numFmtId="180" fontId="0" fillId="0" borderId="35" xfId="0" applyNumberFormat="1" applyBorder="1" applyAlignment="1">
      <alignment horizontal="center"/>
    </xf>
  </cellXfs>
  <cellStyles count="22">
    <cellStyle name="Comma [0]_5year" xfId="1"/>
    <cellStyle name="Comma_495ALL" xfId="2"/>
    <cellStyle name="Currency [0]_5year" xfId="3"/>
    <cellStyle name="Currency_495ALL" xfId="4"/>
    <cellStyle name="Grey" xfId="5"/>
    <cellStyle name="Input [yellow]" xfId="6"/>
    <cellStyle name="Milliers [0]_AR1194" xfId="7"/>
    <cellStyle name="Milliers_AR1194" xfId="8"/>
    <cellStyle name="Mon?aire [0]_AR1194" xfId="9"/>
    <cellStyle name="Mon?aire_AR1194" xfId="10"/>
    <cellStyle name="Normal - Style1" xfId="11"/>
    <cellStyle name="Normal_495ALL" xfId="12"/>
    <cellStyle name="Percent [2]" xfId="13"/>
    <cellStyle name="PERCENTAGE" xfId="14"/>
    <cellStyle name="쉼표 [0]" xfId="15" builtinId="6"/>
    <cellStyle name="쉼표 [0] 2" xfId="19"/>
    <cellStyle name="표준" xfId="0" builtinId="0"/>
    <cellStyle name="표준 2" xfId="18"/>
    <cellStyle name="표준 3" xfId="17"/>
    <cellStyle name="표준 3 2" xfId="20"/>
    <cellStyle name="표준 4" xfId="21"/>
    <cellStyle name="표준_2008년 03월 평택.당진항 항만운영통계" xfId="16"/>
  </cellStyles>
  <dxfs count="0"/>
  <tableStyles count="0" defaultTableStyle="TableStyleMedium9" defaultPivotStyle="PivotStyleLight16"/>
  <colors>
    <mruColors>
      <color rgb="FF0000FF"/>
      <color rgb="FFCCFFCC"/>
      <color rgb="FF99FFCC"/>
      <color rgb="FF99FF99"/>
      <color rgb="FF00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view3D>
      <c:rotX val="15"/>
      <c:rotY val="20"/>
      <c:depthPercent val="100"/>
      <c:rAngAx val="0"/>
      <c:perspective val="3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17627357032098168"/>
          <c:y val="9.3996853054965246E-2"/>
          <c:w val="0.73861084244523134"/>
          <c:h val="0.72015056580601577"/>
        </c:manualLayout>
      </c:layout>
      <c:bar3DChart>
        <c:barDir val="col"/>
        <c:grouping val="clustered"/>
        <c:varyColors val="0"/>
        <c:ser>
          <c:idx val="0"/>
          <c:order val="0"/>
          <c:tx>
            <c:v>'20년 10월 누계</c:v>
          </c:tx>
          <c:spPr>
            <a:ln>
              <a:solidFill>
                <a:schemeClr val="accent1"/>
              </a:solidFill>
            </a:ln>
          </c:spPr>
          <c:invertIfNegative val="0"/>
          <c:dLbls>
            <c:dLbl>
              <c:idx val="0"/>
              <c:layout>
                <c:manualLayout>
                  <c:x val="-8.3135074153025748E-3"/>
                  <c:y val="1.5432036726526686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/>
                  </a:pPr>
                  <a:endParaRPr lang="ko-K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88D2-45A6-A0AE-5F1AC82B9EEC}"/>
                </c:ext>
              </c:extLst>
            </c:dLbl>
            <c:spPr>
              <a:noFill/>
              <a:ln w="25400">
                <a:noFill/>
              </a:ln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통계요약!$G$10</c:f>
              <c:numCache>
                <c:formatCode>#,###,</c:formatCode>
                <c:ptCount val="1"/>
                <c:pt idx="0">
                  <c:v>48691273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88D2-45A6-A0AE-5F1AC82B9EEC}"/>
            </c:ext>
          </c:extLst>
        </c:ser>
        <c:ser>
          <c:idx val="1"/>
          <c:order val="1"/>
          <c:tx>
            <c:v>'21년 10월 누계</c:v>
          </c:tx>
          <c:invertIfNegative val="0"/>
          <c:dLbls>
            <c:dLbl>
              <c:idx val="0"/>
              <c:layout>
                <c:manualLayout>
                  <c:x val="-2.5580040734075092E-3"/>
                  <c:y val="2.6085527933971956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/>
                  </a:pPr>
                  <a:endParaRPr lang="ko-K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88D2-45A6-A0AE-5F1AC82B9EEC}"/>
                </c:ext>
              </c:extLst>
            </c:dLbl>
            <c:spPr>
              <a:noFill/>
              <a:ln w="25400">
                <a:noFill/>
              </a:ln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통계요약!$I$10</c:f>
              <c:numCache>
                <c:formatCode>#,###,</c:formatCode>
                <c:ptCount val="1"/>
                <c:pt idx="0">
                  <c:v>49103587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88D2-45A6-A0AE-5F1AC82B9EE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300"/>
        <c:shape val="box"/>
        <c:axId val="184910976"/>
        <c:axId val="184912512"/>
        <c:axId val="0"/>
      </c:bar3DChart>
      <c:catAx>
        <c:axId val="184910976"/>
        <c:scaling>
          <c:orientation val="minMax"/>
        </c:scaling>
        <c:delete val="1"/>
        <c:axPos val="b"/>
        <c:majorTickMark val="out"/>
        <c:minorTickMark val="none"/>
        <c:tickLblPos val="none"/>
        <c:crossAx val="184912512"/>
        <c:crosses val="autoZero"/>
        <c:auto val="1"/>
        <c:lblAlgn val="ctr"/>
        <c:lblOffset val="100"/>
        <c:noMultiLvlLbl val="0"/>
      </c:catAx>
      <c:valAx>
        <c:axId val="184912512"/>
        <c:scaling>
          <c:orientation val="minMax"/>
          <c:max val="50000000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(</a:t>
                </a:r>
                <a:r>
                  <a:rPr lang="ko-KR"/>
                  <a:t>단위</a:t>
                </a:r>
                <a:r>
                  <a:rPr lang="en-US"/>
                  <a:t>:</a:t>
                </a:r>
                <a:r>
                  <a:rPr lang="ko-KR"/>
                  <a:t>천톤</a:t>
                </a:r>
                <a:r>
                  <a:rPr lang="en-US"/>
                  <a:t>)</a:t>
                </a:r>
              </a:p>
            </c:rich>
          </c:tx>
          <c:layout>
            <c:manualLayout>
              <c:xMode val="edge"/>
              <c:yMode val="edge"/>
              <c:x val="2.8214158194426176E-2"/>
              <c:y val="0.30597029801655806"/>
            </c:manualLayout>
          </c:layout>
          <c:overlay val="0"/>
          <c:spPr>
            <a:noFill/>
            <a:ln w="25400">
              <a:noFill/>
            </a:ln>
          </c:spPr>
        </c:title>
        <c:numFmt formatCode="#,###," sourceLinked="1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184910976"/>
        <c:crosses val="autoZero"/>
        <c:crossBetween val="between"/>
        <c:majorUnit val="10000000"/>
        <c:minorUnit val="100000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2182258721239797"/>
          <c:y val="0.88806106515163741"/>
          <c:w val="0.52997726119557265"/>
          <c:h val="7.4627064022060582E-2"/>
        </c:manualLayout>
      </c:layout>
      <c:overlay val="0"/>
    </c:legend>
    <c:plotVisOnly val="1"/>
    <c:dispBlanksAs val="gap"/>
    <c:showDLblsOverMax val="0"/>
  </c:chart>
  <c:printSettings>
    <c:headerFooter alignWithMargins="0"/>
    <c:pageMargins b="1" l="0.75000000000001465" r="0.75000000000001465" t="1" header="0.5" footer="0.5"/>
    <c:pageSetup paperSize="9" orientation="landscape" horizontalDpi="1200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view3D>
      <c:rotX val="15"/>
      <c:rotY val="20"/>
      <c:depthPercent val="100"/>
      <c:rAngAx val="0"/>
      <c:perspective val="3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19378589904927654"/>
          <c:y val="0.16591457735494342"/>
          <c:w val="0.72599614634732068"/>
          <c:h val="0.72556390977441165"/>
        </c:manualLayout>
      </c:layout>
      <c:bar3DChart>
        <c:barDir val="col"/>
        <c:grouping val="clustered"/>
        <c:varyColors val="0"/>
        <c:ser>
          <c:idx val="0"/>
          <c:order val="0"/>
          <c:tx>
            <c:v>'20년 10월 누계</c:v>
          </c:tx>
          <c:invertIfNegative val="0"/>
          <c:dLbls>
            <c:dLbl>
              <c:idx val="0"/>
              <c:layout>
                <c:manualLayout>
                  <c:x val="-1.4925806036843009E-2"/>
                  <c:y val="1.280997770015592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/>
                  </a:pPr>
                  <a:endParaRPr lang="ko-K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47B-4543-B457-CE7D00D42157}"/>
                </c:ext>
              </c:extLst>
            </c:dLbl>
            <c:spPr>
              <a:noFill/>
              <a:ln w="25400">
                <a:noFill/>
              </a:ln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통계요약!$G$20</c:f>
              <c:numCache>
                <c:formatCode>_ * #,##0_ ;_ * \-#,##0_ ;_ * "-"_ ;_ @_ </c:formatCode>
                <c:ptCount val="1"/>
                <c:pt idx="0">
                  <c:v>369467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C47B-4543-B457-CE7D00D42157}"/>
            </c:ext>
          </c:extLst>
        </c:ser>
        <c:ser>
          <c:idx val="1"/>
          <c:order val="1"/>
          <c:tx>
            <c:v>'21년 10월 누계</c:v>
          </c:tx>
          <c:invertIfNegative val="0"/>
          <c:dLbls>
            <c:dLbl>
              <c:idx val="0"/>
              <c:layout>
                <c:manualLayout>
                  <c:x val="-1.2583962817401264E-2"/>
                  <c:y val="1.7215479643991841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/>
                  </a:pPr>
                  <a:endParaRPr lang="ko-K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47B-4543-B457-CE7D00D42157}"/>
                </c:ext>
              </c:extLst>
            </c:dLbl>
            <c:spPr>
              <a:noFill/>
              <a:ln w="25400">
                <a:noFill/>
              </a:ln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통계요약!$I$20</c:f>
              <c:numCache>
                <c:formatCode>_ * #,##0_ ;_ * \-#,##0_ ;_ * "-"_ ;_ @_ </c:formatCode>
                <c:ptCount val="1"/>
                <c:pt idx="0">
                  <c:v>361966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C47B-4543-B457-CE7D00D4215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300"/>
        <c:shape val="box"/>
        <c:axId val="184966144"/>
        <c:axId val="184988416"/>
        <c:axId val="0"/>
      </c:bar3DChart>
      <c:catAx>
        <c:axId val="184966144"/>
        <c:scaling>
          <c:orientation val="minMax"/>
        </c:scaling>
        <c:delete val="1"/>
        <c:axPos val="b"/>
        <c:majorTickMark val="out"/>
        <c:minorTickMark val="none"/>
        <c:tickLblPos val="none"/>
        <c:crossAx val="184988416"/>
        <c:crosses val="autoZero"/>
        <c:auto val="1"/>
        <c:lblAlgn val="ctr"/>
        <c:lblOffset val="100"/>
        <c:noMultiLvlLbl val="0"/>
      </c:catAx>
      <c:valAx>
        <c:axId val="184988416"/>
        <c:scaling>
          <c:orientation val="minMax"/>
          <c:max val="400000"/>
          <c:min val="10000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(</a:t>
                </a:r>
                <a:r>
                  <a:rPr lang="ko-KR"/>
                  <a:t>단위</a:t>
                </a:r>
                <a:r>
                  <a:rPr lang="en-US"/>
                  <a:t>:TEU)</a:t>
                </a:r>
              </a:p>
            </c:rich>
          </c:tx>
          <c:layout>
            <c:manualLayout>
              <c:xMode val="edge"/>
              <c:yMode val="edge"/>
              <c:x val="4.4496430699789202E-2"/>
              <c:y val="0.31578959570116832"/>
            </c:manualLayout>
          </c:layout>
          <c:overlay val="0"/>
          <c:spPr>
            <a:noFill/>
            <a:ln w="25400">
              <a:noFill/>
            </a:ln>
          </c:spPr>
        </c:title>
        <c:numFmt formatCode="_ * #,##0_ ;_ * \-#,##0_ ;_ * &quot;-&quot;_ ;_ @_ " sourceLinked="1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184966144"/>
        <c:crosses val="autoZero"/>
        <c:crossBetween val="between"/>
        <c:majorUnit val="60000"/>
        <c:minorUnit val="60000"/>
      </c:valAx>
      <c:spPr>
        <a:noFill/>
        <a:ln w="25400">
          <a:noFill/>
        </a:ln>
      </c:spPr>
    </c:plotArea>
    <c:legend>
      <c:legendPos val="b"/>
      <c:layout>
        <c:manualLayout>
          <c:xMode val="edge"/>
          <c:yMode val="edge"/>
          <c:x val="0.26410818212941956"/>
          <c:y val="0.90188893580730956"/>
          <c:w val="0.54176093930287705"/>
          <c:h val="6.4150955893920183E-2"/>
        </c:manualLayout>
      </c:layout>
      <c:overlay val="0"/>
    </c:legend>
    <c:plotVisOnly val="1"/>
    <c:dispBlanksAs val="gap"/>
    <c:showDLblsOverMax val="0"/>
  </c:chart>
  <c:printSettings>
    <c:headerFooter alignWithMargins="0"/>
    <c:pageMargins b="1" l="0.75000000000001465" r="0.75000000000001465" t="1" header="0.5" footer="0.5"/>
    <c:pageSetup paperSize="9" orientation="landscape" horizontalDpi="1200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235071642942488"/>
          <c:y val="0.10236220472440972"/>
          <c:w val="0.74951971474536849"/>
          <c:h val="0.62204724409452195"/>
        </c:manualLayout>
      </c:layout>
      <c:lineChart>
        <c:grouping val="standard"/>
        <c:varyColors val="0"/>
        <c:ser>
          <c:idx val="0"/>
          <c:order val="0"/>
          <c:cat>
            <c:numRef>
              <c:f>'연도별 수송실적'!$I$3:$N$3</c:f>
              <c:numCache>
                <c:formatCode>0_);[Red]\(0\)</c:formatCode>
                <c:ptCount val="6"/>
                <c:pt idx="0">
                  <c:v>17</c:v>
                </c:pt>
                <c:pt idx="1">
                  <c:v>18</c:v>
                </c:pt>
                <c:pt idx="2">
                  <c:v>19</c:v>
                </c:pt>
                <c:pt idx="3">
                  <c:v>20</c:v>
                </c:pt>
                <c:pt idx="4">
                  <c:v>21</c:v>
                </c:pt>
                <c:pt idx="5" formatCode="0.00_);[Red]\(0.00\)">
                  <c:v>22.04</c:v>
                </c:pt>
              </c:numCache>
            </c:numRef>
          </c:cat>
          <c:val>
            <c:numRef>
              <c:f>'연도별 수송실적'!$I$4:$N$4</c:f>
              <c:numCache>
                <c:formatCode>#,##0_);[Red]\(#,##0\)</c:formatCode>
                <c:ptCount val="6"/>
                <c:pt idx="0">
                  <c:v>112491</c:v>
                </c:pt>
                <c:pt idx="1">
                  <c:v>115147</c:v>
                </c:pt>
                <c:pt idx="2">
                  <c:v>113201</c:v>
                </c:pt>
                <c:pt idx="3">
                  <c:v>106845</c:v>
                </c:pt>
                <c:pt idx="4">
                  <c:v>116876</c:v>
                </c:pt>
                <c:pt idx="5" formatCode="#,###,">
                  <c:v>49103587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7034-453A-8CBA-AAEDE759D6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8548608"/>
        <c:axId val="188550528"/>
      </c:lineChart>
      <c:catAx>
        <c:axId val="1885486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ko-KR"/>
                  <a:t>화물입출항 실적</a:t>
                </a:r>
              </a:p>
            </c:rich>
          </c:tx>
          <c:layout>
            <c:manualLayout>
              <c:xMode val="edge"/>
              <c:yMode val="edge"/>
              <c:x val="0.48362302134913548"/>
              <c:y val="0.87795296176213256"/>
            </c:manualLayout>
          </c:layout>
          <c:overlay val="0"/>
          <c:spPr>
            <a:noFill/>
            <a:ln w="25400">
              <a:noFill/>
            </a:ln>
          </c:spPr>
        </c:title>
        <c:numFmt formatCode="0_);[Red]\(0\)" sourceLinked="1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188550528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88550528"/>
        <c:scaling>
          <c:orientation val="minMax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(</a:t>
                </a:r>
                <a:r>
                  <a:rPr lang="ko-KR"/>
                  <a:t>단위</a:t>
                </a:r>
                <a:r>
                  <a:rPr lang="en-US"/>
                  <a:t>:</a:t>
                </a:r>
                <a:r>
                  <a:rPr lang="ko-KR"/>
                  <a:t>천톤</a:t>
                </a:r>
                <a:r>
                  <a:rPr lang="en-US"/>
                  <a:t>)</a:t>
                </a:r>
              </a:p>
              <a:p>
                <a:pPr>
                  <a:defRPr/>
                </a:pPr>
                <a:r>
                  <a:rPr lang="ko-KR" altLang="en-US"/>
                  <a:t>년</a:t>
                </a:r>
                <a:r>
                  <a:rPr lang="ko-KR"/>
                  <a:t>평균증가율 </a:t>
                </a:r>
                <a:r>
                  <a:rPr lang="en-US" altLang="ko-KR"/>
                  <a:t>2.06</a:t>
                </a:r>
                <a:r>
                  <a:rPr lang="en-US"/>
                  <a:t>%</a:t>
                </a:r>
              </a:p>
            </c:rich>
          </c:tx>
          <c:layout>
            <c:manualLayout>
              <c:xMode val="edge"/>
              <c:yMode val="edge"/>
              <c:x val="4.6242714506047576E-2"/>
              <c:y val="0.73866131439456006"/>
            </c:manualLayout>
          </c:layout>
          <c:overlay val="0"/>
          <c:spPr>
            <a:noFill/>
            <a:ln w="25400">
              <a:noFill/>
            </a:ln>
          </c:spPr>
        </c:title>
        <c:numFmt formatCode="#,##0_);[Red]\(#,##0\)" sourceLinked="0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188548608"/>
        <c:crosses val="autoZero"/>
        <c:crossBetween val="between"/>
      </c:valAx>
    </c:plotArea>
    <c:plotVisOnly val="1"/>
    <c:dispBlanksAs val="gap"/>
    <c:showDLblsOverMax val="0"/>
  </c:chart>
  <c:printSettings>
    <c:headerFooter alignWithMargins="0"/>
    <c:pageMargins b="1" l="0.75000000000001465" r="0.75000000000001465" t="1" header="0.5" footer="0.5"/>
    <c:pageSetup paperSize="9" orientation="landscape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717834531553121"/>
          <c:y val="0.12566179227596547"/>
          <c:w val="0.68998173328004464"/>
          <c:h val="0.63492309540512892"/>
        </c:manualLayout>
      </c:layout>
      <c:lineChart>
        <c:grouping val="standard"/>
        <c:varyColors val="0"/>
        <c:ser>
          <c:idx val="0"/>
          <c:order val="0"/>
          <c:cat>
            <c:numRef>
              <c:f>'연도별 수송실적'!$B$6:$G$6</c:f>
              <c:numCache>
                <c:formatCode>0_);[Red]\(0\)</c:formatCode>
                <c:ptCount val="6"/>
                <c:pt idx="0">
                  <c:v>17</c:v>
                </c:pt>
                <c:pt idx="1">
                  <c:v>18</c:v>
                </c:pt>
                <c:pt idx="2">
                  <c:v>19</c:v>
                </c:pt>
                <c:pt idx="3">
                  <c:v>20</c:v>
                </c:pt>
                <c:pt idx="4">
                  <c:v>21</c:v>
                </c:pt>
                <c:pt idx="5" formatCode="0.00_);[Red]\(0.00\)">
                  <c:v>22.04</c:v>
                </c:pt>
              </c:numCache>
            </c:numRef>
          </c:cat>
          <c:val>
            <c:numRef>
              <c:f>'연도별 수송실적'!$B$7:$G$7</c:f>
              <c:numCache>
                <c:formatCode>#,##0_);[Red]\(#,##0\)</c:formatCode>
                <c:ptCount val="6"/>
                <c:pt idx="0">
                  <c:v>643233</c:v>
                </c:pt>
                <c:pt idx="1">
                  <c:v>689852</c:v>
                </c:pt>
                <c:pt idx="2">
                  <c:v>725047</c:v>
                </c:pt>
                <c:pt idx="3">
                  <c:v>792643</c:v>
                </c:pt>
                <c:pt idx="4">
                  <c:v>936246</c:v>
                </c:pt>
                <c:pt idx="5">
                  <c:v>361966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65EA-4263-8FD2-A370638DD2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8562816"/>
        <c:axId val="188577280"/>
      </c:lineChart>
      <c:catAx>
        <c:axId val="1885628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ko-KR"/>
                  <a:t>컨테이너</a:t>
                </a:r>
              </a:p>
            </c:rich>
          </c:tx>
          <c:layout>
            <c:manualLayout>
              <c:xMode val="edge"/>
              <c:yMode val="edge"/>
              <c:x val="0.55765649739126733"/>
              <c:y val="0.89264550264554843"/>
            </c:manualLayout>
          </c:layout>
          <c:overlay val="0"/>
          <c:spPr>
            <a:noFill/>
            <a:ln w="25400">
              <a:noFill/>
            </a:ln>
          </c:spPr>
        </c:title>
        <c:numFmt formatCode="0_);[Red]\(0\)" sourceLinked="1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18857728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88577280"/>
        <c:scaling>
          <c:orientation val="minMax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(</a:t>
                </a:r>
                <a:r>
                  <a:rPr lang="ko-KR"/>
                  <a:t>단위 </a:t>
                </a:r>
                <a:r>
                  <a:rPr lang="en-US"/>
                  <a:t>: TEU)</a:t>
                </a:r>
              </a:p>
              <a:p>
                <a:pPr>
                  <a:defRPr/>
                </a:pPr>
                <a:r>
                  <a:rPr lang="ko-KR" altLang="en-US"/>
                  <a:t>년</a:t>
                </a:r>
                <a:r>
                  <a:rPr lang="ko-KR"/>
                  <a:t>평균증가율 </a:t>
                </a:r>
                <a:r>
                  <a:rPr lang="en-US" altLang="ko-KR"/>
                  <a:t>1.7</a:t>
                </a:r>
                <a:r>
                  <a:rPr lang="en-US"/>
                  <a:t>%</a:t>
                </a:r>
              </a:p>
            </c:rich>
          </c:tx>
          <c:layout>
            <c:manualLayout>
              <c:xMode val="edge"/>
              <c:yMode val="edge"/>
              <c:x val="5.2929962702030674E-2"/>
              <c:y val="0.7365870932800066"/>
            </c:manualLayout>
          </c:layout>
          <c:overlay val="0"/>
          <c:spPr>
            <a:noFill/>
            <a:ln w="25400">
              <a:noFill/>
            </a:ln>
          </c:spPr>
        </c:title>
        <c:numFmt formatCode="#,##0_);[Red]\(#,##0\)" sourceLinked="0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188562816"/>
        <c:crosses val="autoZero"/>
        <c:crossBetween val="between"/>
      </c:valAx>
    </c:plotArea>
    <c:plotVisOnly val="1"/>
    <c:dispBlanksAs val="gap"/>
    <c:showDLblsOverMax val="0"/>
  </c:chart>
  <c:printSettings>
    <c:headerFooter alignWithMargins="0"/>
    <c:pageMargins b="1" l="0.75000000000001465" r="0.75000000000001465" t="1" header="0.5" footer="0.5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5291852820111876"/>
          <c:y val="0.11646632022747329"/>
          <c:w val="0.71011740610315865"/>
          <c:h val="0.62650848122364933"/>
        </c:manualLayout>
      </c:layout>
      <c:lineChart>
        <c:grouping val="standard"/>
        <c:varyColors val="0"/>
        <c:ser>
          <c:idx val="0"/>
          <c:order val="0"/>
          <c:cat>
            <c:numRef>
              <c:f>'연도별 수송실적'!$I$6:$N$6</c:f>
              <c:numCache>
                <c:formatCode>0_);[Red]\(0\)</c:formatCode>
                <c:ptCount val="6"/>
                <c:pt idx="0">
                  <c:v>17</c:v>
                </c:pt>
                <c:pt idx="1">
                  <c:v>18</c:v>
                </c:pt>
                <c:pt idx="2">
                  <c:v>19</c:v>
                </c:pt>
                <c:pt idx="3">
                  <c:v>20</c:v>
                </c:pt>
                <c:pt idx="4">
                  <c:v>21</c:v>
                </c:pt>
                <c:pt idx="5" formatCode="0.00_);[Red]\(0.00\)">
                  <c:v>22.04</c:v>
                </c:pt>
              </c:numCache>
            </c:numRef>
          </c:cat>
          <c:val>
            <c:numRef>
              <c:f>'연도별 수송실적'!$I$7:$N$7</c:f>
              <c:numCache>
                <c:formatCode>#,##0_);[Red]\(#,##0\)</c:formatCode>
                <c:ptCount val="6"/>
                <c:pt idx="0">
                  <c:v>482428</c:v>
                </c:pt>
                <c:pt idx="1">
                  <c:v>452480</c:v>
                </c:pt>
                <c:pt idx="2">
                  <c:v>623733</c:v>
                </c:pt>
                <c:pt idx="3">
                  <c:v>40267</c:v>
                </c:pt>
                <c:pt idx="4">
                  <c:v>0</c:v>
                </c:pt>
                <c:pt idx="5" formatCode="_ * #,##0_ ;_ * \-#,##0_ ;_ * &quot;-&quot;_ ;_ @_ 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886E-493C-8F5F-56CB97617A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8611584"/>
        <c:axId val="188744832"/>
      </c:lineChart>
      <c:catAx>
        <c:axId val="18861158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ko-KR"/>
                  <a:t>여 객</a:t>
                </a:r>
              </a:p>
            </c:rich>
          </c:tx>
          <c:layout>
            <c:manualLayout>
              <c:xMode val="edge"/>
              <c:yMode val="edge"/>
              <c:x val="0.56809424809424813"/>
              <c:y val="0.88755359580049831"/>
            </c:manualLayout>
          </c:layout>
          <c:overlay val="0"/>
          <c:spPr>
            <a:noFill/>
            <a:ln w="25400">
              <a:noFill/>
            </a:ln>
          </c:spPr>
        </c:title>
        <c:numFmt formatCode="0_);[Red]\(0\)" sourceLinked="1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188744832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88744832"/>
        <c:scaling>
          <c:orientation val="minMax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(</a:t>
                </a:r>
                <a:r>
                  <a:rPr lang="ko-KR"/>
                  <a:t>단위 </a:t>
                </a:r>
                <a:r>
                  <a:rPr lang="en-US"/>
                  <a:t>: </a:t>
                </a:r>
                <a:r>
                  <a:rPr lang="ko-KR"/>
                  <a:t>명</a:t>
                </a:r>
                <a:r>
                  <a:rPr lang="en-US"/>
                  <a:t>)</a:t>
                </a:r>
              </a:p>
              <a:p>
                <a:pPr>
                  <a:defRPr/>
                </a:pPr>
                <a:r>
                  <a:rPr lang="ko-KR" altLang="en-US"/>
                  <a:t>년</a:t>
                </a:r>
                <a:r>
                  <a:rPr lang="ko-KR"/>
                  <a:t>평균증가율 </a:t>
                </a:r>
                <a:endParaRPr lang="en-US" altLang="ko-KR"/>
              </a:p>
              <a:p>
                <a:pPr>
                  <a:defRPr/>
                </a:pPr>
                <a:r>
                  <a:rPr lang="en-US" altLang="ko-KR"/>
                  <a:t>-0.07</a:t>
                </a:r>
                <a:r>
                  <a:rPr lang="en-US"/>
                  <a:t>%</a:t>
                </a:r>
              </a:p>
            </c:rich>
          </c:tx>
          <c:layout>
            <c:manualLayout>
              <c:xMode val="edge"/>
              <c:yMode val="edge"/>
              <c:x val="4.280168721113934E-2"/>
              <c:y val="0.73341354330708652"/>
            </c:manualLayout>
          </c:layout>
          <c:overlay val="0"/>
          <c:spPr>
            <a:noFill/>
            <a:ln w="25400">
              <a:noFill/>
            </a:ln>
          </c:spPr>
        </c:title>
        <c:numFmt formatCode="#,##0_);[Red]\(#,##0\)" sourceLinked="0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188611584"/>
        <c:crosses val="autoZero"/>
        <c:crossBetween val="between"/>
      </c:valAx>
    </c:plotArea>
    <c:plotVisOnly val="1"/>
    <c:dispBlanksAs val="gap"/>
    <c:showDLblsOverMax val="0"/>
  </c:chart>
  <c:printSettings>
    <c:headerFooter alignWithMargins="0"/>
    <c:pageMargins b="1" l="0.75000000000001465" r="0.75000000000001465" t="1" header="0.5" footer="0.5"/>
    <c:pageSetup paperSize="9" orientation="landscape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1354784780343869"/>
          <c:y val="0.12706733923884511"/>
          <c:w val="0.75236364341221218"/>
          <c:h val="0.63492309540512948"/>
        </c:manualLayout>
      </c:layout>
      <c:lineChart>
        <c:grouping val="standard"/>
        <c:varyColors val="0"/>
        <c:ser>
          <c:idx val="0"/>
          <c:order val="0"/>
          <c:cat>
            <c:numRef>
              <c:f>'연도별 수송실적'!$B$3:$G$3</c:f>
              <c:numCache>
                <c:formatCode>0_);[Red]\(0\)</c:formatCode>
                <c:ptCount val="6"/>
                <c:pt idx="0">
                  <c:v>17</c:v>
                </c:pt>
                <c:pt idx="1">
                  <c:v>18</c:v>
                </c:pt>
                <c:pt idx="2">
                  <c:v>19</c:v>
                </c:pt>
                <c:pt idx="3">
                  <c:v>20</c:v>
                </c:pt>
                <c:pt idx="4">
                  <c:v>21</c:v>
                </c:pt>
                <c:pt idx="5" formatCode="0.00_);\(0.00\)">
                  <c:v>22.04</c:v>
                </c:pt>
              </c:numCache>
            </c:numRef>
          </c:cat>
          <c:val>
            <c:numRef>
              <c:f>'연도별 수송실적'!$B$4:$G$4</c:f>
              <c:numCache>
                <c:formatCode>#,##0_);[Red]\(#,##0\)</c:formatCode>
                <c:ptCount val="6"/>
                <c:pt idx="0">
                  <c:v>19440</c:v>
                </c:pt>
                <c:pt idx="1">
                  <c:v>18829</c:v>
                </c:pt>
                <c:pt idx="2">
                  <c:v>18416</c:v>
                </c:pt>
                <c:pt idx="3">
                  <c:v>17326</c:v>
                </c:pt>
                <c:pt idx="4">
                  <c:v>16412</c:v>
                </c:pt>
                <c:pt idx="5">
                  <c:v>7175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B039-4935-B959-D16333445D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8751232"/>
        <c:axId val="188782080"/>
      </c:lineChart>
      <c:catAx>
        <c:axId val="1887512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ko-KR"/>
                  <a:t>선박입출항</a:t>
                </a:r>
              </a:p>
            </c:rich>
          </c:tx>
          <c:layout>
            <c:manualLayout>
              <c:xMode val="edge"/>
              <c:yMode val="edge"/>
              <c:x val="0.52362975754791263"/>
              <c:y val="0.87301981369981729"/>
            </c:manualLayout>
          </c:layout>
          <c:overlay val="0"/>
          <c:spPr>
            <a:noFill/>
            <a:ln w="25400">
              <a:noFill/>
            </a:ln>
          </c:spPr>
        </c:title>
        <c:numFmt formatCode="0_);[Red]\(0\)" sourceLinked="1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18878208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88782080"/>
        <c:scaling>
          <c:orientation val="minMax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(</a:t>
                </a:r>
                <a:r>
                  <a:rPr lang="ko-KR"/>
                  <a:t>단위 </a:t>
                </a:r>
                <a:r>
                  <a:rPr lang="en-US"/>
                  <a:t>: </a:t>
                </a:r>
                <a:r>
                  <a:rPr lang="ko-KR"/>
                  <a:t>척</a:t>
                </a:r>
                <a:r>
                  <a:rPr lang="en-US"/>
                  <a:t>)</a:t>
                </a:r>
              </a:p>
              <a:p>
                <a:pPr>
                  <a:defRPr/>
                </a:pPr>
                <a:r>
                  <a:rPr lang="ko-KR"/>
                  <a:t>평균증가율 </a:t>
                </a:r>
                <a:r>
                  <a:rPr lang="en-US" altLang="ko-KR"/>
                  <a:t>8.6</a:t>
                </a:r>
                <a:r>
                  <a:rPr lang="en-US"/>
                  <a:t>%</a:t>
                </a:r>
              </a:p>
            </c:rich>
          </c:tx>
          <c:layout>
            <c:manualLayout>
              <c:xMode val="edge"/>
              <c:yMode val="edge"/>
              <c:x val="3.2136123829591752E-2"/>
              <c:y val="0.73866131439456006"/>
            </c:manualLayout>
          </c:layout>
          <c:overlay val="0"/>
          <c:spPr>
            <a:noFill/>
            <a:ln w="25400">
              <a:noFill/>
            </a:ln>
          </c:spPr>
        </c:title>
        <c:numFmt formatCode="#,##0_);[Red]\(#,##0\)" sourceLinked="0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188751232"/>
        <c:crosses val="autoZero"/>
        <c:crossBetween val="between"/>
      </c:valAx>
    </c:plotArea>
    <c:plotVisOnly val="1"/>
    <c:dispBlanksAs val="gap"/>
    <c:showDLblsOverMax val="0"/>
  </c:chart>
  <c:printSettings>
    <c:headerFooter alignWithMargins="0"/>
    <c:pageMargins b="1" l="0.75000000000001465" r="0.75000000000001465" t="1" header="0.5" footer="0.5"/>
    <c:pageSetup paperSize="9" orientation="landscape"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8475578167407974"/>
          <c:y val="0.11144233923884495"/>
          <c:w val="0.75236364341221218"/>
          <c:h val="0.63492309540512981"/>
        </c:manualLayout>
      </c:layout>
      <c:lineChart>
        <c:grouping val="standard"/>
        <c:varyColors val="0"/>
        <c:ser>
          <c:idx val="0"/>
          <c:order val="0"/>
          <c:cat>
            <c:numRef>
              <c:f>'연도별 수송실적'!$B$3:$G$3</c:f>
              <c:numCache>
                <c:formatCode>0_);[Red]\(0\)</c:formatCode>
                <c:ptCount val="6"/>
                <c:pt idx="0">
                  <c:v>17</c:v>
                </c:pt>
                <c:pt idx="1">
                  <c:v>18</c:v>
                </c:pt>
                <c:pt idx="2">
                  <c:v>19</c:v>
                </c:pt>
                <c:pt idx="3">
                  <c:v>20</c:v>
                </c:pt>
                <c:pt idx="4">
                  <c:v>21</c:v>
                </c:pt>
                <c:pt idx="5" formatCode="0.00_);\(0.00\)">
                  <c:v>22.04</c:v>
                </c:pt>
              </c:numCache>
            </c:numRef>
          </c:cat>
          <c:val>
            <c:numRef>
              <c:f>'연도별 수송실적'!$B$4:$G$4</c:f>
              <c:numCache>
                <c:formatCode>#,##0_);[Red]\(#,##0\)</c:formatCode>
                <c:ptCount val="6"/>
                <c:pt idx="0">
                  <c:v>19440</c:v>
                </c:pt>
                <c:pt idx="1">
                  <c:v>18829</c:v>
                </c:pt>
                <c:pt idx="2">
                  <c:v>18416</c:v>
                </c:pt>
                <c:pt idx="3">
                  <c:v>17326</c:v>
                </c:pt>
                <c:pt idx="4">
                  <c:v>16412</c:v>
                </c:pt>
                <c:pt idx="5">
                  <c:v>7175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4D6B-4831-9BCB-D47645B564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8802560"/>
        <c:axId val="188804480"/>
      </c:lineChart>
      <c:catAx>
        <c:axId val="18880256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ko-KR"/>
                  <a:t>선박입출항</a:t>
                </a:r>
              </a:p>
            </c:rich>
          </c:tx>
          <c:layout>
            <c:manualLayout>
              <c:xMode val="edge"/>
              <c:yMode val="edge"/>
              <c:x val="0.52362969392605463"/>
              <c:y val="0.87301960301841408"/>
            </c:manualLayout>
          </c:layout>
          <c:overlay val="0"/>
          <c:spPr>
            <a:noFill/>
            <a:ln w="25400">
              <a:noFill/>
            </a:ln>
          </c:spPr>
        </c:title>
        <c:numFmt formatCode="0_);[Red]\(0\)" sourceLinked="1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18880448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88804480"/>
        <c:scaling>
          <c:orientation val="minMax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(</a:t>
                </a:r>
                <a:r>
                  <a:rPr lang="ko-KR"/>
                  <a:t>단위 </a:t>
                </a:r>
                <a:r>
                  <a:rPr lang="en-US"/>
                  <a:t>: </a:t>
                </a:r>
                <a:r>
                  <a:rPr lang="ko-KR"/>
                  <a:t>척</a:t>
                </a:r>
                <a:r>
                  <a:rPr lang="en-US"/>
                  <a:t>)</a:t>
                </a:r>
              </a:p>
              <a:p>
                <a:pPr>
                  <a:defRPr/>
                </a:pPr>
                <a:r>
                  <a:rPr lang="ko-KR"/>
                  <a:t>평균증가율 </a:t>
                </a:r>
                <a:r>
                  <a:rPr lang="en-US" altLang="ko-KR"/>
                  <a:t>0.45</a:t>
                </a:r>
                <a:r>
                  <a:rPr lang="en-US"/>
                  <a:t>%</a:t>
                </a:r>
              </a:p>
            </c:rich>
          </c:tx>
          <c:layout>
            <c:manualLayout>
              <c:xMode val="edge"/>
              <c:yMode val="edge"/>
              <c:x val="3.2136110938888546E-2"/>
              <c:y val="0.7407029199475067"/>
            </c:manualLayout>
          </c:layout>
          <c:overlay val="0"/>
          <c:spPr>
            <a:noFill/>
            <a:ln w="25400">
              <a:noFill/>
            </a:ln>
          </c:spPr>
        </c:title>
        <c:numFmt formatCode="#,##0_);[Red]\(#,##0\)" sourceLinked="0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188802560"/>
        <c:crosses val="autoZero"/>
        <c:crossBetween val="between"/>
      </c:valAx>
    </c:plotArea>
    <c:plotVisOnly val="1"/>
    <c:dispBlanksAs val="gap"/>
    <c:showDLblsOverMax val="0"/>
  </c:chart>
  <c:printSettings>
    <c:headerFooter alignWithMargins="0"/>
    <c:pageMargins b="1" l="0.75000000000001465" r="0.75000000000001465" t="1" header="0.5" footer="0.5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5" Type="http://schemas.openxmlformats.org/officeDocument/2006/relationships/chart" Target="../charts/chart7.xml"/><Relationship Id="rId4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30</xdr:row>
      <xdr:rowOff>261731</xdr:rowOff>
    </xdr:from>
    <xdr:to>
      <xdr:col>7</xdr:col>
      <xdr:colOff>95250</xdr:colOff>
      <xdr:row>39</xdr:row>
      <xdr:rowOff>166481</xdr:rowOff>
    </xdr:to>
    <xdr:graphicFrame macro="">
      <xdr:nvGraphicFramePr>
        <xdr:cNvPr id="6376023" name="Chart 7">
          <a:extLst>
            <a:ext uri="{FF2B5EF4-FFF2-40B4-BE49-F238E27FC236}">
              <a16:creationId xmlns="" xmlns:a16="http://schemas.microsoft.com/office/drawing/2014/main" id="{00000000-0008-0000-0100-0000574A61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222885</xdr:colOff>
      <xdr:row>30</xdr:row>
      <xdr:rowOff>230505</xdr:rowOff>
    </xdr:from>
    <xdr:to>
      <xdr:col>12</xdr:col>
      <xdr:colOff>489585</xdr:colOff>
      <xdr:row>39</xdr:row>
      <xdr:rowOff>144780</xdr:rowOff>
    </xdr:to>
    <xdr:graphicFrame macro="">
      <xdr:nvGraphicFramePr>
        <xdr:cNvPr id="6376024" name="Chart 10">
          <a:extLst>
            <a:ext uri="{FF2B5EF4-FFF2-40B4-BE49-F238E27FC236}">
              <a16:creationId xmlns="" xmlns:a16="http://schemas.microsoft.com/office/drawing/2014/main" id="{00000000-0008-0000-0100-0000584A61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276225</xdr:colOff>
      <xdr:row>13</xdr:row>
      <xdr:rowOff>0</xdr:rowOff>
    </xdr:from>
    <xdr:to>
      <xdr:col>13</xdr:col>
      <xdr:colOff>590550</xdr:colOff>
      <xdr:row>20</xdr:row>
      <xdr:rowOff>295275</xdr:rowOff>
    </xdr:to>
    <xdr:graphicFrame macro="">
      <xdr:nvGraphicFramePr>
        <xdr:cNvPr id="2" name="Chart 1">
          <a:extLst>
            <a:ext uri="{FF2B5EF4-FFF2-40B4-BE49-F238E27FC236}">
              <a16:creationId xmlns="" xmlns:a16="http://schemas.microsoft.com/office/drawing/2014/main" id="{00000000-0008-0000-0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180975</xdr:colOff>
      <xdr:row>23</xdr:row>
      <xdr:rowOff>0</xdr:rowOff>
    </xdr:from>
    <xdr:to>
      <xdr:col>7</xdr:col>
      <xdr:colOff>66675</xdr:colOff>
      <xdr:row>30</xdr:row>
      <xdr:rowOff>266700</xdr:rowOff>
    </xdr:to>
    <xdr:graphicFrame macro="">
      <xdr:nvGraphicFramePr>
        <xdr:cNvPr id="3" name="Chart 3">
          <a:extLst>
            <a:ext uri="{FF2B5EF4-FFF2-40B4-BE49-F238E27FC236}">
              <a16:creationId xmlns="" xmlns:a16="http://schemas.microsoft.com/office/drawing/2014/main" id="{00000000-0008-0000-02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342900</xdr:colOff>
      <xdr:row>23</xdr:row>
      <xdr:rowOff>9525</xdr:rowOff>
    </xdr:from>
    <xdr:to>
      <xdr:col>13</xdr:col>
      <xdr:colOff>619125</xdr:colOff>
      <xdr:row>30</xdr:row>
      <xdr:rowOff>257175</xdr:rowOff>
    </xdr:to>
    <xdr:graphicFrame macro="">
      <xdr:nvGraphicFramePr>
        <xdr:cNvPr id="4" name="Chart 4">
          <a:extLst>
            <a:ext uri="{FF2B5EF4-FFF2-40B4-BE49-F238E27FC236}">
              <a16:creationId xmlns="" xmlns:a16="http://schemas.microsoft.com/office/drawing/2014/main" id="{00000000-0008-0000-02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161925</xdr:colOff>
      <xdr:row>13</xdr:row>
      <xdr:rowOff>0</xdr:rowOff>
    </xdr:from>
    <xdr:to>
      <xdr:col>7</xdr:col>
      <xdr:colOff>76200</xdr:colOff>
      <xdr:row>20</xdr:row>
      <xdr:rowOff>295275</xdr:rowOff>
    </xdr:to>
    <xdr:graphicFrame macro="">
      <xdr:nvGraphicFramePr>
        <xdr:cNvPr id="5" name="Chart 2">
          <a:extLst>
            <a:ext uri="{FF2B5EF4-FFF2-40B4-BE49-F238E27FC236}">
              <a16:creationId xmlns="" xmlns:a16="http://schemas.microsoft.com/office/drawing/2014/main" id="{00000000-0008-0000-02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104775</xdr:colOff>
      <xdr:row>13</xdr:row>
      <xdr:rowOff>0</xdr:rowOff>
    </xdr:from>
    <xdr:to>
      <xdr:col>7</xdr:col>
      <xdr:colOff>123825</xdr:colOff>
      <xdr:row>21</xdr:row>
      <xdr:rowOff>0</xdr:rowOff>
    </xdr:to>
    <xdr:graphicFrame macro="">
      <xdr:nvGraphicFramePr>
        <xdr:cNvPr id="6" name="Chart 2">
          <a:extLst>
            <a:ext uri="{FF2B5EF4-FFF2-40B4-BE49-F238E27FC236}">
              <a16:creationId xmlns="" xmlns:a16="http://schemas.microsoft.com/office/drawing/2014/main" id="{00000000-0008-0000-02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Normal="199" zoomScaleSheetLayoutView="68" workbookViewId="0"/>
  </sheetViews>
  <sheetFormatPr defaultRowHeight="14.25"/>
  <sheetData/>
  <phoneticPr fontId="6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2"/>
  <sheetViews>
    <sheetView tabSelected="1" topLeftCell="A3" zoomScaleNormal="100" zoomScaleSheetLayoutView="110" workbookViewId="0">
      <pane xSplit="4" ySplit="5" topLeftCell="E8" activePane="bottomRight" state="frozen"/>
      <selection activeCell="A3" sqref="A3"/>
      <selection pane="topRight" activeCell="E3" sqref="E3"/>
      <selection pane="bottomLeft" activeCell="A8" sqref="A8"/>
      <selection pane="bottomRight" activeCell="B3" sqref="B3:M3"/>
    </sheetView>
  </sheetViews>
  <sheetFormatPr defaultRowHeight="24" customHeight="1"/>
  <cols>
    <col min="1" max="1" width="2" customWidth="1"/>
    <col min="2" max="2" width="6.25" customWidth="1"/>
    <col min="3" max="3" width="7.25" customWidth="1"/>
    <col min="4" max="4" width="4.875" customWidth="1"/>
    <col min="5" max="5" width="11.875" customWidth="1"/>
    <col min="6" max="6" width="12.625" bestFit="1" customWidth="1"/>
    <col min="7" max="7" width="11.75" customWidth="1"/>
    <col min="8" max="8" width="12.625" bestFit="1" customWidth="1"/>
    <col min="9" max="9" width="11.375" customWidth="1"/>
    <col min="10" max="10" width="12.625" style="10" bestFit="1" customWidth="1"/>
    <col min="11" max="11" width="7.75" style="9" customWidth="1"/>
    <col min="12" max="12" width="13.75" style="11" bestFit="1" customWidth="1"/>
    <col min="13" max="13" width="7.75" style="12" customWidth="1"/>
    <col min="14" max="14" width="2" customWidth="1"/>
    <col min="15" max="15" width="10.125" customWidth="1"/>
    <col min="16" max="16" width="15.125" bestFit="1" customWidth="1"/>
    <col min="17" max="17" width="9.25" bestFit="1" customWidth="1"/>
    <col min="18" max="18" width="7.125" customWidth="1"/>
    <col min="20" max="20" width="9.375" customWidth="1"/>
    <col min="21" max="21" width="8.125" customWidth="1"/>
  </cols>
  <sheetData>
    <row r="1" spans="2:15" ht="36" customHeight="1">
      <c r="B1" s="8" t="s">
        <v>26</v>
      </c>
      <c r="L1" s="141"/>
      <c r="M1" s="141"/>
    </row>
    <row r="2" spans="2:15" ht="33" customHeight="1">
      <c r="B2" s="151" t="s">
        <v>38</v>
      </c>
      <c r="C2" s="152"/>
      <c r="D2" s="152"/>
      <c r="E2" s="152"/>
      <c r="F2" s="152"/>
      <c r="G2" s="152"/>
      <c r="H2" s="152"/>
      <c r="I2" s="152"/>
      <c r="J2" s="152"/>
      <c r="K2" s="152"/>
      <c r="L2" s="152"/>
      <c r="M2" s="152"/>
    </row>
    <row r="3" spans="2:15" ht="27.75" customHeight="1">
      <c r="B3" s="153" t="s">
        <v>54</v>
      </c>
      <c r="C3" s="153"/>
      <c r="D3" s="153"/>
      <c r="E3" s="153"/>
      <c r="F3" s="153"/>
      <c r="G3" s="153"/>
      <c r="H3" s="153"/>
      <c r="I3" s="153"/>
      <c r="J3" s="153"/>
      <c r="K3" s="153"/>
      <c r="L3" s="153"/>
      <c r="M3" s="153"/>
    </row>
    <row r="4" spans="2:15" ht="21.2" customHeight="1" thickBot="1">
      <c r="B4" s="124" t="s">
        <v>46</v>
      </c>
      <c r="C4" s="125"/>
      <c r="D4" s="125"/>
      <c r="E4" s="125"/>
      <c r="F4" s="125"/>
      <c r="G4" s="125"/>
      <c r="H4" s="125"/>
      <c r="I4" s="125"/>
      <c r="J4" s="125"/>
      <c r="K4" s="125"/>
      <c r="L4" s="125"/>
      <c r="M4" s="125"/>
    </row>
    <row r="5" spans="2:15" ht="21.2" customHeight="1">
      <c r="B5" s="145" t="s">
        <v>7</v>
      </c>
      <c r="C5" s="146"/>
      <c r="D5" s="147"/>
      <c r="E5" s="35"/>
      <c r="F5" s="143" t="s">
        <v>47</v>
      </c>
      <c r="G5" s="154"/>
      <c r="H5" s="137" t="s">
        <v>48</v>
      </c>
      <c r="I5" s="137"/>
      <c r="J5" s="142" t="s">
        <v>15</v>
      </c>
      <c r="K5" s="143"/>
      <c r="L5" s="143"/>
      <c r="M5" s="144"/>
    </row>
    <row r="6" spans="2:15" ht="20.25" customHeight="1">
      <c r="B6" s="148"/>
      <c r="C6" s="149"/>
      <c r="D6" s="150"/>
      <c r="E6" s="36" t="s">
        <v>11</v>
      </c>
      <c r="F6" s="97" t="s">
        <v>50</v>
      </c>
      <c r="G6" s="37" t="s">
        <v>51</v>
      </c>
      <c r="H6" s="97" t="s">
        <v>52</v>
      </c>
      <c r="I6" s="98" t="s">
        <v>53</v>
      </c>
      <c r="J6" s="37" t="s">
        <v>42</v>
      </c>
      <c r="K6" s="38" t="s">
        <v>16</v>
      </c>
      <c r="L6" s="39" t="s">
        <v>18</v>
      </c>
      <c r="M6" s="40" t="s">
        <v>16</v>
      </c>
    </row>
    <row r="7" spans="2:15" ht="21.2" customHeight="1">
      <c r="B7" s="129" t="s">
        <v>21</v>
      </c>
      <c r="C7" s="132" t="s">
        <v>12</v>
      </c>
      <c r="D7" s="133"/>
      <c r="E7" s="13">
        <f>SUM(E8:E9)</f>
        <v>16470</v>
      </c>
      <c r="F7" s="13">
        <f>SUM(F8:F9)</f>
        <v>1411</v>
      </c>
      <c r="G7" s="13">
        <f>SUM(G8:G9)</f>
        <v>6967</v>
      </c>
      <c r="H7" s="13">
        <f>SUM(H8:H9)</f>
        <v>1512</v>
      </c>
      <c r="I7" s="13">
        <f>SUM(I8:I9)</f>
        <v>7175</v>
      </c>
      <c r="J7" s="13">
        <f>H7-F7</f>
        <v>101</v>
      </c>
      <c r="K7" s="16">
        <f>H7/F7</f>
        <v>1.0715804394046775</v>
      </c>
      <c r="L7" s="14">
        <f>I7-G7</f>
        <v>208</v>
      </c>
      <c r="M7" s="24">
        <f>I7/G7</f>
        <v>1.0298550308597674</v>
      </c>
    </row>
    <row r="8" spans="2:15" ht="19.5" customHeight="1">
      <c r="B8" s="130"/>
      <c r="C8" s="120" t="s">
        <v>9</v>
      </c>
      <c r="D8" s="121"/>
      <c r="E8" s="20">
        <v>10091</v>
      </c>
      <c r="F8" s="20">
        <v>847</v>
      </c>
      <c r="G8" s="21">
        <v>4205</v>
      </c>
      <c r="H8" s="20">
        <v>923</v>
      </c>
      <c r="I8" s="20">
        <v>4259</v>
      </c>
      <c r="J8" s="4">
        <f t="shared" ref="J8:J28" si="0">H8-F8</f>
        <v>76</v>
      </c>
      <c r="K8" s="18">
        <f t="shared" ref="K8:K28" si="1">H8/F8</f>
        <v>1.0897284533648171</v>
      </c>
      <c r="L8" s="19">
        <f t="shared" ref="L8:L28" si="2">I8-G8</f>
        <v>54</v>
      </c>
      <c r="M8" s="25">
        <f t="shared" ref="M8:M28" si="3">I8/G8</f>
        <v>1.0128418549346017</v>
      </c>
    </row>
    <row r="9" spans="2:15" ht="19.5" customHeight="1">
      <c r="B9" s="131"/>
      <c r="C9" s="122" t="s">
        <v>10</v>
      </c>
      <c r="D9" s="123"/>
      <c r="E9" s="21">
        <v>6379</v>
      </c>
      <c r="F9" s="21">
        <v>564</v>
      </c>
      <c r="G9" s="21">
        <v>2762</v>
      </c>
      <c r="H9" s="21">
        <v>589</v>
      </c>
      <c r="I9" s="21">
        <v>2916</v>
      </c>
      <c r="J9" s="21">
        <f t="shared" si="0"/>
        <v>25</v>
      </c>
      <c r="K9" s="22">
        <f t="shared" si="1"/>
        <v>1.0443262411347518</v>
      </c>
      <c r="L9" s="23">
        <f t="shared" si="2"/>
        <v>154</v>
      </c>
      <c r="M9" s="26">
        <f t="shared" si="3"/>
        <v>1.0557566980448949</v>
      </c>
    </row>
    <row r="10" spans="2:15" ht="21.2" customHeight="1">
      <c r="B10" s="129" t="s">
        <v>22</v>
      </c>
      <c r="C10" s="132" t="s">
        <v>8</v>
      </c>
      <c r="D10" s="133"/>
      <c r="E10" s="41">
        <f>E11+E15</f>
        <v>116876152</v>
      </c>
      <c r="F10" s="41">
        <f>F11+F15</f>
        <v>9175559</v>
      </c>
      <c r="G10" s="41">
        <f>G11+G15</f>
        <v>48691273</v>
      </c>
      <c r="H10" s="41">
        <f>H11+H15</f>
        <v>9908998</v>
      </c>
      <c r="I10" s="41">
        <f>I11+I15</f>
        <v>49103587</v>
      </c>
      <c r="J10" s="41">
        <f t="shared" si="0"/>
        <v>733439</v>
      </c>
      <c r="K10" s="16">
        <f t="shared" si="1"/>
        <v>1.0799339854934178</v>
      </c>
      <c r="L10" s="112">
        <f>I10-G10</f>
        <v>412314</v>
      </c>
      <c r="M10" s="24">
        <f t="shared" si="3"/>
        <v>1.0084679240158703</v>
      </c>
    </row>
    <row r="11" spans="2:15" ht="19.5" customHeight="1">
      <c r="B11" s="130"/>
      <c r="C11" s="126" t="s">
        <v>1</v>
      </c>
      <c r="D11" s="72" t="s">
        <v>0</v>
      </c>
      <c r="E11" s="68">
        <f>SUM(E12:E14)</f>
        <v>104967519</v>
      </c>
      <c r="F11" s="68">
        <f>SUM(F12:F14)</f>
        <v>8167633</v>
      </c>
      <c r="G11" s="68">
        <f>SUM(G12:G14)</f>
        <v>43785417</v>
      </c>
      <c r="H11" s="68">
        <f>SUM(H12:H14)</f>
        <v>8862330</v>
      </c>
      <c r="I11" s="68">
        <f>SUM(I12:I14)</f>
        <v>43865067</v>
      </c>
      <c r="J11" s="107">
        <f>H11-F11</f>
        <v>694697</v>
      </c>
      <c r="K11" s="69">
        <f t="shared" si="1"/>
        <v>1.0850548745272957</v>
      </c>
      <c r="L11" s="109">
        <f>I11-G11</f>
        <v>79650</v>
      </c>
      <c r="M11" s="70">
        <f t="shared" si="3"/>
        <v>1.0018190988109124</v>
      </c>
    </row>
    <row r="12" spans="2:15" ht="19.5" customHeight="1">
      <c r="B12" s="130"/>
      <c r="C12" s="127"/>
      <c r="D12" s="5" t="s">
        <v>5</v>
      </c>
      <c r="E12" s="42">
        <v>84583157</v>
      </c>
      <c r="F12" s="42">
        <v>6456669</v>
      </c>
      <c r="G12" s="42">
        <v>34871491</v>
      </c>
      <c r="H12" s="42">
        <v>7049281</v>
      </c>
      <c r="I12" s="42">
        <v>35454208</v>
      </c>
      <c r="J12" s="105">
        <f t="shared" si="0"/>
        <v>592612</v>
      </c>
      <c r="K12" s="18">
        <f t="shared" si="1"/>
        <v>1.0917829301765354</v>
      </c>
      <c r="L12" s="110">
        <f t="shared" si="2"/>
        <v>582717</v>
      </c>
      <c r="M12" s="25">
        <f t="shared" si="3"/>
        <v>1.016710412525808</v>
      </c>
      <c r="O12" s="103"/>
    </row>
    <row r="13" spans="2:15" ht="19.5" customHeight="1">
      <c r="B13" s="130"/>
      <c r="C13" s="127"/>
      <c r="D13" s="5" t="s">
        <v>6</v>
      </c>
      <c r="E13" s="42">
        <v>15412892</v>
      </c>
      <c r="F13" s="42">
        <v>1277617</v>
      </c>
      <c r="G13" s="42">
        <v>6710514</v>
      </c>
      <c r="H13" s="42">
        <v>1328398</v>
      </c>
      <c r="I13" s="42">
        <v>6712576</v>
      </c>
      <c r="J13" s="105">
        <f t="shared" si="0"/>
        <v>50781</v>
      </c>
      <c r="K13" s="18">
        <f t="shared" si="1"/>
        <v>1.0397466533397723</v>
      </c>
      <c r="L13" s="110">
        <f t="shared" si="2"/>
        <v>2062</v>
      </c>
      <c r="M13" s="25">
        <f t="shared" si="3"/>
        <v>1.0003072789953198</v>
      </c>
    </row>
    <row r="14" spans="2:15" ht="19.5" customHeight="1">
      <c r="B14" s="130"/>
      <c r="C14" s="128"/>
      <c r="D14" s="5" t="s">
        <v>13</v>
      </c>
      <c r="E14" s="42">
        <v>4971470</v>
      </c>
      <c r="F14" s="42">
        <v>433347</v>
      </c>
      <c r="G14" s="42">
        <v>2203412</v>
      </c>
      <c r="H14" s="104">
        <v>484651</v>
      </c>
      <c r="I14" s="42">
        <v>1698283</v>
      </c>
      <c r="J14" s="105">
        <f t="shared" si="0"/>
        <v>51304</v>
      </c>
      <c r="K14" s="18">
        <f>H14/F14</f>
        <v>1.1183901123118425</v>
      </c>
      <c r="L14" s="110">
        <f t="shared" si="2"/>
        <v>-505129</v>
      </c>
      <c r="M14" s="25">
        <f t="shared" si="3"/>
        <v>0.77075145274692158</v>
      </c>
    </row>
    <row r="15" spans="2:15" ht="19.5" customHeight="1">
      <c r="B15" s="130"/>
      <c r="C15" s="138" t="s">
        <v>2</v>
      </c>
      <c r="D15" s="71" t="s">
        <v>0</v>
      </c>
      <c r="E15" s="65">
        <f>SUM(E16:E18)</f>
        <v>11908633</v>
      </c>
      <c r="F15" s="65">
        <f>SUM(F16:F18)</f>
        <v>1007926</v>
      </c>
      <c r="G15" s="65">
        <f>SUM(G16:G18)</f>
        <v>4905856</v>
      </c>
      <c r="H15" s="65">
        <f>SUM(H16:H18)</f>
        <v>1046668</v>
      </c>
      <c r="I15" s="65">
        <f>SUM(I16:I18)</f>
        <v>5238520</v>
      </c>
      <c r="J15" s="108">
        <f t="shared" si="0"/>
        <v>38742</v>
      </c>
      <c r="K15" s="66">
        <f t="shared" si="1"/>
        <v>1.0384373455987841</v>
      </c>
      <c r="L15" s="111">
        <f t="shared" si="2"/>
        <v>332664</v>
      </c>
      <c r="M15" s="67">
        <f t="shared" si="3"/>
        <v>1.0678095728859551</v>
      </c>
    </row>
    <row r="16" spans="2:15" ht="19.5" customHeight="1">
      <c r="B16" s="130"/>
      <c r="C16" s="139"/>
      <c r="D16" s="5" t="s">
        <v>3</v>
      </c>
      <c r="E16" s="42">
        <v>8645260</v>
      </c>
      <c r="F16" s="42">
        <v>751049</v>
      </c>
      <c r="G16" s="42">
        <v>3530211</v>
      </c>
      <c r="H16" s="42">
        <v>633983</v>
      </c>
      <c r="I16" s="42">
        <v>3436335</v>
      </c>
      <c r="J16" s="106">
        <f t="shared" si="0"/>
        <v>-117066</v>
      </c>
      <c r="K16" s="18">
        <f t="shared" si="1"/>
        <v>0.84413001015912414</v>
      </c>
      <c r="L16" s="110">
        <f t="shared" si="2"/>
        <v>-93876</v>
      </c>
      <c r="M16" s="25">
        <f t="shared" si="3"/>
        <v>0.97340782179875363</v>
      </c>
    </row>
    <row r="17" spans="1:13" ht="19.5" customHeight="1">
      <c r="B17" s="130"/>
      <c r="C17" s="139"/>
      <c r="D17" s="6" t="s">
        <v>4</v>
      </c>
      <c r="E17" s="43">
        <v>3263373</v>
      </c>
      <c r="F17" s="43">
        <v>256877</v>
      </c>
      <c r="G17" s="43">
        <v>1375645</v>
      </c>
      <c r="H17" s="43">
        <v>412685</v>
      </c>
      <c r="I17" s="43">
        <v>1742188</v>
      </c>
      <c r="J17" s="106">
        <f t="shared" si="0"/>
        <v>155808</v>
      </c>
      <c r="K17" s="18">
        <f t="shared" si="1"/>
        <v>1.6065471023096658</v>
      </c>
      <c r="L17" s="110">
        <f t="shared" si="2"/>
        <v>366543</v>
      </c>
      <c r="M17" s="25">
        <f t="shared" si="3"/>
        <v>1.2664517371851023</v>
      </c>
    </row>
    <row r="18" spans="1:13" ht="19.5" customHeight="1">
      <c r="B18" s="131"/>
      <c r="C18" s="140"/>
      <c r="D18" s="6" t="s">
        <v>17</v>
      </c>
      <c r="E18" s="74">
        <v>0</v>
      </c>
      <c r="F18" s="74">
        <v>0</v>
      </c>
      <c r="G18" s="74">
        <v>0</v>
      </c>
      <c r="H18" s="74">
        <v>0</v>
      </c>
      <c r="I18" s="43">
        <v>59997</v>
      </c>
      <c r="J18" s="74">
        <v>0</v>
      </c>
      <c r="K18" s="74">
        <v>0</v>
      </c>
      <c r="L18" s="110">
        <f t="shared" si="2"/>
        <v>59997</v>
      </c>
      <c r="M18" s="25" t="s">
        <v>49</v>
      </c>
    </row>
    <row r="19" spans="1:13" ht="20.100000000000001" customHeight="1">
      <c r="B19" s="27"/>
      <c r="C19" s="28"/>
      <c r="D19" s="7"/>
      <c r="E19" s="15"/>
      <c r="F19" s="1"/>
      <c r="G19" s="1"/>
      <c r="H19" s="1"/>
      <c r="I19" s="15"/>
      <c r="J19" s="17"/>
      <c r="K19" s="134" t="s">
        <v>23</v>
      </c>
      <c r="L19" s="135"/>
      <c r="M19" s="136"/>
    </row>
    <row r="20" spans="1:13" ht="21.2" customHeight="1">
      <c r="B20" s="113"/>
      <c r="C20" s="132" t="s">
        <v>8</v>
      </c>
      <c r="D20" s="133"/>
      <c r="E20" s="78">
        <f>SUM(E21,E25)</f>
        <v>936246</v>
      </c>
      <c r="F20" s="3">
        <f>SUM(F21,F25)</f>
        <v>80508</v>
      </c>
      <c r="G20" s="3">
        <f>SUM(G21,G25)</f>
        <v>369467</v>
      </c>
      <c r="H20" s="78">
        <f>SUM(H21,H25)</f>
        <v>88782</v>
      </c>
      <c r="I20" s="78">
        <f>SUM(I21,I25)</f>
        <v>361966</v>
      </c>
      <c r="J20" s="79">
        <f t="shared" si="0"/>
        <v>8274</v>
      </c>
      <c r="K20" s="80">
        <f t="shared" si="1"/>
        <v>1.1027723952899091</v>
      </c>
      <c r="L20" s="81">
        <f t="shared" si="2"/>
        <v>-7501</v>
      </c>
      <c r="M20" s="24">
        <f>I20/G20</f>
        <v>0.97969778085728898</v>
      </c>
    </row>
    <row r="21" spans="1:13" ht="19.5" customHeight="1">
      <c r="B21" s="114"/>
      <c r="C21" s="119" t="s">
        <v>1</v>
      </c>
      <c r="D21" s="73" t="s">
        <v>0</v>
      </c>
      <c r="E21" s="74">
        <f>SUM(E22:E24)</f>
        <v>936246</v>
      </c>
      <c r="F21" s="74">
        <f>SUM(F22:F24)</f>
        <v>80508</v>
      </c>
      <c r="G21" s="74">
        <f>SUM(G22:G24)</f>
        <v>369467</v>
      </c>
      <c r="H21" s="74">
        <f>SUM(H22:H24)</f>
        <v>88782</v>
      </c>
      <c r="I21" s="74">
        <f>SUM(I22:I24)</f>
        <v>361966</v>
      </c>
      <c r="J21" s="75">
        <f t="shared" si="0"/>
        <v>8274</v>
      </c>
      <c r="K21" s="76">
        <f t="shared" si="1"/>
        <v>1.1027723952899091</v>
      </c>
      <c r="L21" s="77">
        <f t="shared" si="2"/>
        <v>-7501</v>
      </c>
      <c r="M21" s="70">
        <f t="shared" si="3"/>
        <v>0.97969778085728898</v>
      </c>
    </row>
    <row r="22" spans="1:13" ht="19.5" customHeight="1">
      <c r="B22" s="115" t="s">
        <v>19</v>
      </c>
      <c r="C22" s="119"/>
      <c r="D22" s="46" t="s">
        <v>5</v>
      </c>
      <c r="E22" s="101">
        <v>467367</v>
      </c>
      <c r="F22" s="48">
        <v>40775</v>
      </c>
      <c r="G22" s="48">
        <v>184223</v>
      </c>
      <c r="H22" s="48">
        <v>44317</v>
      </c>
      <c r="I22" s="48">
        <v>177016</v>
      </c>
      <c r="J22" s="102">
        <f t="shared" si="0"/>
        <v>3542</v>
      </c>
      <c r="K22" s="45">
        <f t="shared" si="1"/>
        <v>1.0868669527896995</v>
      </c>
      <c r="L22" s="23">
        <f t="shared" si="2"/>
        <v>-7207</v>
      </c>
      <c r="M22" s="25">
        <f t="shared" si="3"/>
        <v>0.96087893476927422</v>
      </c>
    </row>
    <row r="23" spans="1:13" ht="19.5" customHeight="1">
      <c r="B23" s="115" t="s">
        <v>20</v>
      </c>
      <c r="C23" s="119"/>
      <c r="D23" s="2" t="s">
        <v>14</v>
      </c>
      <c r="E23" s="101">
        <v>457531</v>
      </c>
      <c r="F23" s="48">
        <v>38715</v>
      </c>
      <c r="G23" s="48">
        <v>179790</v>
      </c>
      <c r="H23" s="48">
        <v>42404</v>
      </c>
      <c r="I23" s="48">
        <v>175798</v>
      </c>
      <c r="J23" s="102">
        <f t="shared" si="0"/>
        <v>3689</v>
      </c>
      <c r="K23" s="45">
        <f t="shared" si="1"/>
        <v>1.0952860648327523</v>
      </c>
      <c r="L23" s="19">
        <f t="shared" si="2"/>
        <v>-3992</v>
      </c>
      <c r="M23" s="25">
        <f t="shared" si="3"/>
        <v>0.97779631792646982</v>
      </c>
    </row>
    <row r="24" spans="1:13" ht="19.5" customHeight="1">
      <c r="B24" s="116"/>
      <c r="C24" s="119"/>
      <c r="D24" s="2" t="s">
        <v>13</v>
      </c>
      <c r="E24" s="101">
        <v>11348</v>
      </c>
      <c r="F24" s="48">
        <v>1018</v>
      </c>
      <c r="G24" s="48">
        <v>5454</v>
      </c>
      <c r="H24" s="48">
        <v>2061</v>
      </c>
      <c r="I24" s="48">
        <v>9152</v>
      </c>
      <c r="J24" s="102">
        <f t="shared" si="0"/>
        <v>1043</v>
      </c>
      <c r="K24" s="45">
        <f t="shared" si="1"/>
        <v>2.0245579567779961</v>
      </c>
      <c r="L24" s="19">
        <f t="shared" si="2"/>
        <v>3698</v>
      </c>
      <c r="M24" s="25">
        <f t="shared" si="3"/>
        <v>1.678034470113678</v>
      </c>
    </row>
    <row r="25" spans="1:13" ht="19.5" customHeight="1">
      <c r="B25" s="114"/>
      <c r="C25" s="157" t="s">
        <v>2</v>
      </c>
      <c r="D25" s="73" t="s">
        <v>44</v>
      </c>
      <c r="E25" s="74">
        <f>SUM(E26:E27)</f>
        <v>0</v>
      </c>
      <c r="F25" s="74">
        <f>SUM(F26:F27)</f>
        <v>0</v>
      </c>
      <c r="G25" s="74">
        <f>SUM(G26:G27)</f>
        <v>0</v>
      </c>
      <c r="H25" s="74">
        <v>0</v>
      </c>
      <c r="I25" s="74">
        <f>SUM(I26:I27)</f>
        <v>0</v>
      </c>
      <c r="J25" s="75">
        <f t="shared" si="0"/>
        <v>0</v>
      </c>
      <c r="K25" s="74">
        <v>0</v>
      </c>
      <c r="L25" s="19">
        <f t="shared" si="2"/>
        <v>0</v>
      </c>
      <c r="M25" s="74">
        <v>0</v>
      </c>
    </row>
    <row r="26" spans="1:13" ht="19.5" customHeight="1">
      <c r="B26" s="114"/>
      <c r="C26" s="157"/>
      <c r="D26" s="73" t="s">
        <v>44</v>
      </c>
      <c r="E26" s="49">
        <v>0</v>
      </c>
      <c r="F26" s="49">
        <v>0</v>
      </c>
      <c r="G26" s="49">
        <v>0</v>
      </c>
      <c r="H26" s="49">
        <v>0</v>
      </c>
      <c r="I26" s="49">
        <v>0</v>
      </c>
      <c r="J26" s="75">
        <f t="shared" si="0"/>
        <v>0</v>
      </c>
      <c r="K26" s="74">
        <v>0</v>
      </c>
      <c r="L26" s="19">
        <f t="shared" si="2"/>
        <v>0</v>
      </c>
      <c r="M26" s="74">
        <v>0</v>
      </c>
    </row>
    <row r="27" spans="1:13" ht="19.5" customHeight="1">
      <c r="B27" s="117"/>
      <c r="C27" s="157"/>
      <c r="D27" s="73" t="s">
        <v>44</v>
      </c>
      <c r="E27" s="50">
        <v>0</v>
      </c>
      <c r="F27" s="50">
        <v>0</v>
      </c>
      <c r="G27" s="50">
        <v>0</v>
      </c>
      <c r="H27" s="50">
        <v>0</v>
      </c>
      <c r="I27" s="50">
        <v>0</v>
      </c>
      <c r="J27" s="75">
        <f t="shared" si="0"/>
        <v>0</v>
      </c>
      <c r="K27" s="74">
        <v>0</v>
      </c>
      <c r="L27" s="19">
        <f t="shared" si="2"/>
        <v>0</v>
      </c>
      <c r="M27" s="74">
        <v>0</v>
      </c>
    </row>
    <row r="28" spans="1:13" s="85" customFormat="1" ht="21.2" customHeight="1" thickBot="1">
      <c r="B28" s="158" t="s">
        <v>43</v>
      </c>
      <c r="C28" s="159"/>
      <c r="D28" s="160"/>
      <c r="E28" s="86">
        <v>1429401</v>
      </c>
      <c r="F28" s="86">
        <v>121236</v>
      </c>
      <c r="G28" s="86">
        <v>617277</v>
      </c>
      <c r="H28" s="86">
        <v>137476</v>
      </c>
      <c r="I28" s="86">
        <v>662988</v>
      </c>
      <c r="J28" s="87">
        <f t="shared" si="0"/>
        <v>16240</v>
      </c>
      <c r="K28" s="88">
        <f t="shared" si="1"/>
        <v>1.1339536111386057</v>
      </c>
      <c r="L28" s="89">
        <f t="shared" si="2"/>
        <v>45711</v>
      </c>
      <c r="M28" s="90">
        <f t="shared" si="3"/>
        <v>1.0740526538328821</v>
      </c>
    </row>
    <row r="29" spans="1:13" ht="12.75" customHeight="1">
      <c r="B29" s="29"/>
      <c r="C29" s="29"/>
      <c r="D29" s="29"/>
      <c r="E29" s="30"/>
      <c r="F29" s="31"/>
      <c r="G29" s="31"/>
      <c r="H29" s="31"/>
      <c r="I29" s="31"/>
      <c r="J29" s="30"/>
      <c r="K29" s="32"/>
      <c r="L29" s="33"/>
      <c r="M29" s="34"/>
    </row>
    <row r="30" spans="1:13" s="163" customFormat="1" ht="18.75" customHeight="1">
      <c r="A30" s="163" t="s">
        <v>27</v>
      </c>
    </row>
    <row r="31" spans="1:13" s="47" customFormat="1" ht="21.2" customHeight="1">
      <c r="B31" s="162" t="s">
        <v>24</v>
      </c>
      <c r="C31" s="162"/>
      <c r="D31" s="83"/>
      <c r="E31" s="83"/>
      <c r="F31" s="83"/>
      <c r="G31" s="83"/>
      <c r="H31" s="162" t="s">
        <v>25</v>
      </c>
      <c r="I31" s="162"/>
    </row>
    <row r="32" spans="1:13" s="44" customFormat="1" ht="24" customHeight="1">
      <c r="B32"/>
      <c r="C32"/>
      <c r="D32"/>
      <c r="E32"/>
      <c r="F32"/>
      <c r="G32"/>
      <c r="H32"/>
      <c r="I32"/>
      <c r="J32" s="10"/>
      <c r="K32" s="9"/>
      <c r="L32" s="11"/>
      <c r="M32" s="12"/>
    </row>
    <row r="33" spans="2:13" s="44" customFormat="1" ht="30.2" customHeight="1">
      <c r="B33"/>
      <c r="C33"/>
      <c r="D33"/>
      <c r="E33"/>
      <c r="F33"/>
      <c r="G33"/>
      <c r="H33"/>
      <c r="I33"/>
      <c r="J33" s="10"/>
      <c r="K33" s="9"/>
      <c r="L33" s="11"/>
      <c r="M33" s="12"/>
    </row>
    <row r="34" spans="2:13" s="44" customFormat="1" ht="37.15" customHeight="1">
      <c r="B34"/>
      <c r="C34"/>
      <c r="D34"/>
      <c r="E34"/>
      <c r="F34"/>
      <c r="G34"/>
      <c r="H34"/>
      <c r="I34"/>
      <c r="J34" s="10"/>
      <c r="K34" s="9"/>
      <c r="L34" s="11"/>
      <c r="M34" s="12"/>
    </row>
    <row r="35" spans="2:13" s="44" customFormat="1" ht="37.15" customHeight="1">
      <c r="B35"/>
      <c r="C35"/>
      <c r="D35"/>
      <c r="E35"/>
      <c r="F35"/>
      <c r="G35"/>
      <c r="H35"/>
      <c r="I35"/>
      <c r="J35" s="10"/>
      <c r="K35" s="9"/>
      <c r="L35" s="11"/>
      <c r="M35" s="12"/>
    </row>
    <row r="40" spans="2:13" s="161" customFormat="1" ht="24" customHeight="1"/>
    <row r="41" spans="2:13" ht="19.5" customHeight="1">
      <c r="B41" s="155"/>
      <c r="C41" s="156"/>
      <c r="D41" s="156"/>
      <c r="E41" s="156"/>
      <c r="F41" s="156"/>
      <c r="G41" s="156"/>
      <c r="H41" s="156"/>
      <c r="I41" s="156"/>
      <c r="J41" s="156"/>
      <c r="K41" s="156"/>
      <c r="L41" s="156"/>
      <c r="M41" s="156"/>
    </row>
    <row r="42" spans="2:13" ht="19.5" customHeight="1">
      <c r="B42" s="155"/>
      <c r="C42" s="156"/>
      <c r="D42" s="156"/>
      <c r="E42" s="156"/>
      <c r="F42" s="156"/>
      <c r="G42" s="156"/>
      <c r="H42" s="156"/>
      <c r="I42" s="156"/>
      <c r="J42" s="156"/>
      <c r="K42" s="156"/>
      <c r="L42" s="156"/>
      <c r="M42" s="156"/>
    </row>
  </sheetData>
  <mergeCells count="27">
    <mergeCell ref="B41:M41"/>
    <mergeCell ref="B42:M42"/>
    <mergeCell ref="C25:C27"/>
    <mergeCell ref="B28:D28"/>
    <mergeCell ref="A40:XFD40"/>
    <mergeCell ref="B31:C31"/>
    <mergeCell ref="H31:I31"/>
    <mergeCell ref="A30:XFD30"/>
    <mergeCell ref="L1:M1"/>
    <mergeCell ref="C10:D10"/>
    <mergeCell ref="C7:D7"/>
    <mergeCell ref="J5:M5"/>
    <mergeCell ref="B5:D6"/>
    <mergeCell ref="B2:M2"/>
    <mergeCell ref="B3:M3"/>
    <mergeCell ref="F5:G5"/>
    <mergeCell ref="C21:C24"/>
    <mergeCell ref="C8:D8"/>
    <mergeCell ref="C9:D9"/>
    <mergeCell ref="B4:M4"/>
    <mergeCell ref="C11:C14"/>
    <mergeCell ref="B10:B18"/>
    <mergeCell ref="C20:D20"/>
    <mergeCell ref="K19:M19"/>
    <mergeCell ref="H5:I5"/>
    <mergeCell ref="C15:C18"/>
    <mergeCell ref="B7:B9"/>
  </mergeCells>
  <phoneticPr fontId="6" type="noConversion"/>
  <printOptions horizontalCentered="1" gridLinesSet="0"/>
  <pageMargins left="0.19685039370078741" right="0.19685039370078741" top="0.15748031496062992" bottom="0.23622047244094491" header="0.19685039370078741" footer="0.23622047244094491"/>
  <pageSetup paperSize="9" scale="80" orientation="landscape" verticalDpi="597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1"/>
  <sheetViews>
    <sheetView zoomScale="85" zoomScaleNormal="85" workbookViewId="0">
      <selection activeCell="G7" sqref="G7"/>
    </sheetView>
  </sheetViews>
  <sheetFormatPr defaultRowHeight="14.25"/>
  <cols>
    <col min="1" max="1" width="11.25" customWidth="1"/>
    <col min="2" max="6" width="8.75" customWidth="1"/>
    <col min="7" max="7" width="9.5" customWidth="1"/>
    <col min="8" max="8" width="12.125" customWidth="1"/>
    <col min="9" max="13" width="8.875" customWidth="1"/>
    <col min="14" max="14" width="12.25" customWidth="1"/>
    <col min="17" max="17" width="10.75" bestFit="1" customWidth="1"/>
  </cols>
  <sheetData>
    <row r="1" spans="1:27" s="52" customFormat="1" ht="18.75">
      <c r="A1" s="51" t="s">
        <v>28</v>
      </c>
    </row>
    <row r="2" spans="1:27" s="52" customFormat="1" ht="15" thickBot="1">
      <c r="A2"/>
      <c r="B2"/>
      <c r="C2"/>
      <c r="D2" s="91"/>
      <c r="E2" s="91"/>
      <c r="F2" s="164" t="s">
        <v>45</v>
      </c>
      <c r="G2" s="164"/>
      <c r="H2"/>
      <c r="I2"/>
      <c r="J2"/>
      <c r="K2" s="91"/>
      <c r="L2" s="91"/>
      <c r="M2" s="164" t="s">
        <v>29</v>
      </c>
      <c r="N2" s="164"/>
    </row>
    <row r="3" spans="1:27" s="52" customFormat="1" ht="32.25" customHeight="1">
      <c r="A3" s="53" t="s">
        <v>30</v>
      </c>
      <c r="B3" s="54">
        <v>17</v>
      </c>
      <c r="C3" s="54">
        <v>18</v>
      </c>
      <c r="D3" s="54">
        <v>19</v>
      </c>
      <c r="E3" s="54">
        <v>20</v>
      </c>
      <c r="F3" s="54">
        <v>21</v>
      </c>
      <c r="G3" s="99">
        <v>22.04</v>
      </c>
      <c r="H3" s="55" t="s">
        <v>30</v>
      </c>
      <c r="I3" s="54">
        <v>17</v>
      </c>
      <c r="J3" s="54">
        <v>18</v>
      </c>
      <c r="K3" s="54">
        <v>19</v>
      </c>
      <c r="L3" s="54">
        <v>20</v>
      </c>
      <c r="M3" s="54">
        <v>21</v>
      </c>
      <c r="N3" s="100">
        <f>$G$3</f>
        <v>22.04</v>
      </c>
    </row>
    <row r="4" spans="1:27" s="52" customFormat="1" ht="39.200000000000003" customHeight="1" thickBot="1">
      <c r="A4" s="64" t="s">
        <v>31</v>
      </c>
      <c r="B4" s="92">
        <v>19440</v>
      </c>
      <c r="C4" s="92">
        <v>18829</v>
      </c>
      <c r="D4" s="92">
        <v>18416</v>
      </c>
      <c r="E4" s="92">
        <v>17326</v>
      </c>
      <c r="F4" s="92">
        <v>16412</v>
      </c>
      <c r="G4" s="93">
        <f>통계요약!I7</f>
        <v>7175</v>
      </c>
      <c r="H4" s="64" t="s">
        <v>32</v>
      </c>
      <c r="I4" s="92">
        <v>112491</v>
      </c>
      <c r="J4" s="92">
        <v>115147</v>
      </c>
      <c r="K4" s="92">
        <v>113201</v>
      </c>
      <c r="L4" s="92">
        <v>106845</v>
      </c>
      <c r="M4" s="92">
        <v>116876</v>
      </c>
      <c r="N4" s="118">
        <f>통계요약!I10</f>
        <v>49103587</v>
      </c>
    </row>
    <row r="5" spans="1:27" s="52" customFormat="1" ht="30.2" customHeight="1" thickBot="1">
      <c r="A5"/>
      <c r="B5"/>
      <c r="C5"/>
      <c r="D5" s="91"/>
      <c r="E5" s="91"/>
      <c r="F5" s="165" t="s">
        <v>33</v>
      </c>
      <c r="G5" s="165"/>
      <c r="H5" s="56"/>
      <c r="I5" s="57"/>
      <c r="J5" s="57"/>
      <c r="K5" s="91"/>
      <c r="L5" s="91"/>
      <c r="M5" s="165" t="s">
        <v>34</v>
      </c>
      <c r="N5" s="165"/>
    </row>
    <row r="6" spans="1:27" s="52" customFormat="1" ht="32.25" customHeight="1">
      <c r="A6" s="53" t="s">
        <v>30</v>
      </c>
      <c r="B6" s="54">
        <v>17</v>
      </c>
      <c r="C6" s="54">
        <v>18</v>
      </c>
      <c r="D6" s="54">
        <v>19</v>
      </c>
      <c r="E6" s="54">
        <v>20</v>
      </c>
      <c r="F6" s="54">
        <v>21</v>
      </c>
      <c r="G6" s="100">
        <f>$G$3</f>
        <v>22.04</v>
      </c>
      <c r="H6" s="55" t="s">
        <v>30</v>
      </c>
      <c r="I6" s="54">
        <v>17</v>
      </c>
      <c r="J6" s="54">
        <v>18</v>
      </c>
      <c r="K6" s="54">
        <v>19</v>
      </c>
      <c r="L6" s="54">
        <v>20</v>
      </c>
      <c r="M6" s="54">
        <v>21</v>
      </c>
      <c r="N6" s="100">
        <f>$G$3</f>
        <v>22.04</v>
      </c>
    </row>
    <row r="7" spans="1:27" s="52" customFormat="1" ht="37.5" customHeight="1" thickBot="1">
      <c r="A7" s="64" t="s">
        <v>35</v>
      </c>
      <c r="B7" s="94">
        <v>643233</v>
      </c>
      <c r="C7" s="94">
        <v>689852</v>
      </c>
      <c r="D7" s="94">
        <v>725047</v>
      </c>
      <c r="E7" s="94">
        <v>792643</v>
      </c>
      <c r="F7" s="94">
        <v>936246</v>
      </c>
      <c r="G7" s="95">
        <f>통계요약!I20</f>
        <v>361966</v>
      </c>
      <c r="H7" s="64" t="s">
        <v>36</v>
      </c>
      <c r="I7" s="92">
        <v>482428</v>
      </c>
      <c r="J7" s="92">
        <v>452480</v>
      </c>
      <c r="K7" s="92">
        <v>623733</v>
      </c>
      <c r="L7" s="92">
        <v>40267</v>
      </c>
      <c r="M7" s="92">
        <v>0</v>
      </c>
      <c r="N7" s="96">
        <v>0</v>
      </c>
      <c r="AA7" s="84">
        <f>(19166/188141)^(1/4)-1</f>
        <v>-0.43504740355323723</v>
      </c>
    </row>
    <row r="12" spans="1:27" s="63" customFormat="1" ht="25.5" customHeight="1">
      <c r="A12" s="63" t="s">
        <v>37</v>
      </c>
    </row>
    <row r="13" spans="1:27" s="52" customFormat="1" ht="21.2" customHeight="1">
      <c r="A13" s="82" t="s">
        <v>41</v>
      </c>
      <c r="H13" s="82" t="s">
        <v>40</v>
      </c>
      <c r="I13" s="58"/>
      <c r="J13" s="59"/>
      <c r="K13" s="60"/>
      <c r="L13" s="61"/>
      <c r="M13" s="61"/>
      <c r="N13" s="61"/>
    </row>
    <row r="14" spans="1:27" s="52" customFormat="1" ht="24" customHeight="1">
      <c r="I14" s="58"/>
      <c r="J14" s="59"/>
      <c r="K14" s="60"/>
      <c r="L14" s="61"/>
      <c r="M14" s="61"/>
      <c r="N14" s="61"/>
    </row>
    <row r="15" spans="1:27" s="52" customFormat="1" ht="24" customHeight="1">
      <c r="I15" s="58"/>
      <c r="J15" s="59"/>
      <c r="K15" s="60"/>
      <c r="L15" s="61"/>
      <c r="M15" s="61"/>
      <c r="N15" s="61"/>
    </row>
    <row r="16" spans="1:27" s="52" customFormat="1" ht="24" customHeight="1">
      <c r="I16" s="58"/>
      <c r="J16" s="59"/>
      <c r="K16" s="60"/>
      <c r="L16" s="61"/>
      <c r="M16" s="61"/>
      <c r="N16" s="61"/>
    </row>
    <row r="17" spans="1:14" s="52" customFormat="1" ht="24" customHeight="1">
      <c r="I17" s="58"/>
      <c r="J17" s="59"/>
      <c r="K17" s="60"/>
      <c r="L17" s="61"/>
      <c r="M17" s="61"/>
      <c r="N17" s="61"/>
    </row>
    <row r="18" spans="1:14" s="52" customFormat="1" ht="24" customHeight="1">
      <c r="I18" s="58"/>
      <c r="J18" s="59"/>
      <c r="K18" s="60"/>
      <c r="L18" s="61"/>
      <c r="M18" s="61"/>
      <c r="N18" s="61"/>
    </row>
    <row r="19" spans="1:14" s="52" customFormat="1" ht="24" customHeight="1">
      <c r="I19" s="58"/>
      <c r="J19" s="59"/>
      <c r="K19" s="60"/>
      <c r="L19" s="61"/>
      <c r="M19" s="61"/>
      <c r="N19" s="61"/>
    </row>
    <row r="20" spans="1:14" s="52" customFormat="1" ht="24" customHeight="1">
      <c r="I20" s="58"/>
      <c r="J20" s="59"/>
      <c r="K20" s="60"/>
      <c r="L20" s="61"/>
      <c r="M20" s="61"/>
      <c r="N20" s="61"/>
    </row>
    <row r="21" spans="1:14" s="52" customFormat="1" ht="24" customHeight="1">
      <c r="I21" s="58"/>
      <c r="J21" s="59"/>
      <c r="K21" s="60"/>
      <c r="L21" s="61"/>
      <c r="M21" s="61"/>
      <c r="N21" s="61"/>
    </row>
    <row r="22" spans="1:14" s="52" customFormat="1" ht="36" customHeight="1">
      <c r="I22" s="58"/>
      <c r="J22" s="59"/>
      <c r="K22" s="60"/>
      <c r="L22" s="61"/>
      <c r="M22" s="61"/>
      <c r="N22" s="61"/>
    </row>
    <row r="23" spans="1:14" s="52" customFormat="1" ht="27.75" customHeight="1">
      <c r="A23" s="62" t="s">
        <v>25</v>
      </c>
      <c r="H23" s="82" t="s">
        <v>39</v>
      </c>
      <c r="I23" s="58"/>
      <c r="J23" s="59"/>
      <c r="K23" s="60"/>
      <c r="L23" s="61"/>
      <c r="M23" s="61"/>
      <c r="N23" s="61"/>
    </row>
    <row r="24" spans="1:14" s="52" customFormat="1" ht="24" customHeight="1">
      <c r="I24" s="58"/>
      <c r="J24" s="59"/>
      <c r="K24" s="60"/>
      <c r="L24" s="61"/>
      <c r="M24" s="61"/>
      <c r="N24" s="61"/>
    </row>
    <row r="25" spans="1:14" s="52" customFormat="1" ht="24" customHeight="1">
      <c r="I25" s="58"/>
      <c r="J25" s="59"/>
      <c r="K25" s="60"/>
      <c r="L25" s="61"/>
      <c r="M25" s="61"/>
      <c r="N25" s="61"/>
    </row>
    <row r="26" spans="1:14" s="52" customFormat="1" ht="24" customHeight="1">
      <c r="I26" s="58"/>
      <c r="J26" s="59"/>
      <c r="K26" s="60"/>
      <c r="L26" s="61"/>
      <c r="M26" s="61"/>
      <c r="N26" s="61"/>
    </row>
    <row r="27" spans="1:14" s="52" customFormat="1" ht="24" customHeight="1">
      <c r="I27" s="58"/>
      <c r="J27" s="59"/>
      <c r="K27" s="60"/>
      <c r="L27" s="61"/>
      <c r="M27" s="61"/>
      <c r="N27" s="61"/>
    </row>
    <row r="28" spans="1:14" s="52" customFormat="1" ht="24" customHeight="1">
      <c r="I28" s="58"/>
      <c r="J28" s="59"/>
      <c r="K28" s="60"/>
      <c r="L28" s="61"/>
      <c r="M28" s="61"/>
      <c r="N28" s="61"/>
    </row>
    <row r="29" spans="1:14" s="52" customFormat="1" ht="24" customHeight="1">
      <c r="I29" s="58"/>
      <c r="J29" s="59"/>
      <c r="K29" s="60"/>
      <c r="L29" s="61"/>
      <c r="M29" s="61"/>
      <c r="N29" s="61"/>
    </row>
    <row r="30" spans="1:14" s="52" customFormat="1" ht="24" customHeight="1">
      <c r="I30" s="58"/>
      <c r="J30" s="59"/>
      <c r="K30" s="60"/>
      <c r="L30" s="61"/>
      <c r="M30" s="61"/>
      <c r="N30" s="61"/>
    </row>
    <row r="31" spans="1:14" s="52" customFormat="1" ht="24" customHeight="1">
      <c r="I31" s="58"/>
      <c r="J31" s="59"/>
      <c r="K31" s="60"/>
      <c r="L31" s="61"/>
      <c r="M31" s="61"/>
      <c r="N31" s="61"/>
    </row>
  </sheetData>
  <mergeCells count="4">
    <mergeCell ref="F2:G2"/>
    <mergeCell ref="M2:N2"/>
    <mergeCell ref="F5:G5"/>
    <mergeCell ref="M5:N5"/>
  </mergeCells>
  <phoneticPr fontId="21" type="noConversion"/>
  <pageMargins left="0.8" right="0.51181102362204722" top="1.36" bottom="0.98425196850393704" header="0.51181102362204722" footer="0.51181102362204722"/>
  <pageSetup paperSize="9" scale="61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이름이 지정된 범위</vt:lpstr>
      </vt:variant>
      <vt:variant>
        <vt:i4>2</vt:i4>
      </vt:variant>
    </vt:vector>
  </HeadingPairs>
  <TitlesOfParts>
    <vt:vector size="4" baseType="lpstr">
      <vt:lpstr>통계요약</vt:lpstr>
      <vt:lpstr>연도별 수송실적</vt:lpstr>
      <vt:lpstr>'연도별 수송실적'!Print_Area</vt:lpstr>
      <vt:lpstr>통계요약!Print_Area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항만청</dc:creator>
  <cp:lastModifiedBy>MOF</cp:lastModifiedBy>
  <cp:lastPrinted>2021-12-23T07:17:43Z</cp:lastPrinted>
  <dcterms:created xsi:type="dcterms:W3CDTF">1998-03-31T03:01:22Z</dcterms:created>
  <dcterms:modified xsi:type="dcterms:W3CDTF">2022-06-28T06:31:41Z</dcterms:modified>
</cp:coreProperties>
</file>