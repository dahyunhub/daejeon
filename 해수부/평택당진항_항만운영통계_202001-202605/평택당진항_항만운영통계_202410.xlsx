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F:\통계\2024\10월\"/>
    </mc:Choice>
  </mc:AlternateContent>
  <xr:revisionPtr revIDLastSave="0" documentId="8_{A32578D8-D538-4701-A2ED-D887AAF8E6B7}" xr6:coauthVersionLast="36" xr6:coauthVersionMax="36" xr10:uidLastSave="{00000000-0000-0000-0000-000000000000}"/>
  <bookViews>
    <workbookView xWindow="-105" yWindow="-105" windowWidth="23250" windowHeight="12570" tabRatio="601" firstSheet="1" activeTab="3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I22" i="21" l="1"/>
  <c r="I8" i="21" l="1"/>
  <c r="E12" i="21" l="1"/>
  <c r="L22" i="32"/>
  <c r="L28" i="32"/>
  <c r="E16" i="21"/>
  <c r="H9" i="32" l="1"/>
  <c r="H7" i="33"/>
  <c r="J13" i="21"/>
  <c r="J14" i="21"/>
  <c r="J15" i="21"/>
  <c r="J18" i="21"/>
  <c r="J17" i="21"/>
  <c r="J24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E7" i="32"/>
  <c r="J25" i="32" l="1"/>
  <c r="J24" i="32"/>
  <c r="D9" i="32"/>
  <c r="D8" i="32"/>
  <c r="E8" i="21"/>
  <c r="F9" i="32" l="1"/>
  <c r="J23" i="21"/>
  <c r="J25" i="2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O7" i="33" s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<sst xmlns="http://schemas.openxmlformats.org/spreadsheetml/2006/main" count="159" uniqueCount="112">
  <si>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</si>
  <si>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</si>
  <si>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</si>
  <si>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</si>
  <si>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</si>
  <si>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</si>
  <si>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</si>
  <si>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</si>
  <si>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</si>
  <si>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</si>
  <si>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</si>
  <si>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</si>
  <si>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</si>
  <si>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</si>
  <si>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</si>
  <si>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</si>
  <si>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</si>
  <si>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</si>
  <si>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</si>
  <si>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</si>
  <si>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</si>
  <si>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</si>
  <si>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</si>
  <si>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</si>
  <si>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</si>
  <si>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</si>
  <si>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</si>
  <si>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</si>
  <si>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</si>
  <si>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</si>
  <si>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</si>
  <si>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</si>
  <si>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</si>
  <si>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</si>
  <si>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</si>
  <si>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</si>
  <si>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</si>
  <si>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</si>
  <si>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</si>
  <si>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</si>
  <si>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</si>
  <si>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</si>
  <si>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</si>
  <si>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</si>
  <si>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</si>
  <si>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</si>
  <si>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</si>
  <si>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</si>
  <si>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</si>
  <si>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</si>
  <si>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</si>
  <si>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</si>
  <si>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</si>
  <si>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</si>
  <si>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</si>
  <si>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</si>
  <si>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</si>
  <si>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</si>
  <si>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</si>
  <si>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</si>
  <si>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</si>
  <si>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</si>
  <si>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</si>
  <si>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</si>
  <si>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</si>
  <si>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</si>
  <si>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</si>
  <si>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</si>
  <si>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</si>
  <si>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</si>
  <si>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</si>
  <si>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</si>
  <si>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</si>
  <si>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</si>
  <si>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</si>
  <si>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</si>
  <si>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</si>
  <si>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</si>
  <si>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</si>
  <si>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</si>
  <si>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</si>
  <si>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</si>
  <si>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</si>
  <si>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</si>
  <si>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</si>
  <si>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</si>
  <si>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</si>
  <si>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</si>
  <si>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</si>
  <si>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</si>
  <si>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</si>
  <si>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</si>
  <si>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</si>
  <si>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</si>
  <si>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</si>
  <si>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</si>
  <si>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</si>
  <si>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</si>
  <si>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</si>
  <si>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</si>
  <si>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</si>
  <si>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>2023년도</t>
    <phoneticPr fontId="9" type="noConversion"/>
  </si>
  <si>
    <t>2024년도</t>
    <phoneticPr fontId="9" type="noConversion"/>
  </si>
  <si>
    <t>2024년도</t>
    <phoneticPr fontId="9" type="noConversion"/>
  </si>
  <si>
    <t xml:space="preserve"> </t>
    <phoneticPr fontId="20" type="noConversion"/>
  </si>
  <si>
    <t>2024.10.</t>
    <phoneticPr fontId="20" type="noConversion"/>
  </si>
  <si>
    <t>10월(A)</t>
    <phoneticPr fontId="9" type="noConversion"/>
  </si>
  <si>
    <t xml:space="preserve"> 10월누계(B) </t>
    <phoneticPr fontId="9" type="noConversion"/>
  </si>
  <si>
    <t>10월(C)</t>
    <phoneticPr fontId="9" type="noConversion"/>
  </si>
  <si>
    <t xml:space="preserve"> 10월누계(D) </t>
    <phoneticPr fontId="9" type="noConversion"/>
  </si>
  <si>
    <t>항만운영통계(10월)</t>
    <phoneticPr fontId="9" type="noConversion"/>
  </si>
  <si>
    <t>부두별 컨테이너 물동량(10월)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</si>
</sst>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4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0" borderId="6" xfId="0" applyNumberFormat="1" applyFont="1" applyFill="1" applyBorder="1" applyAlignment="1">
      <alignment horizontal="center" vertical="center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0" borderId="6" xfId="0" applyNumberFormat="1" applyFont="1" applyBorder="1" applyAlignment="1">
      <alignment horizontal="right" vertical="center"/>
    </xf>
    <xf numFmtId="41" fontId="23" fillId="9" borderId="28" xfId="40" applyFont="1" applyFill="1" applyBorder="1" applyAlignment="1">
      <alignment horizontal="center" vertical="center"/>
    </xf>
    <xf numFmtId="41" fontId="23" fillId="5" borderId="6" xfId="40" applyFont="1" applyFill="1" applyBorder="1" applyAlignment="1">
      <alignment horizontal="center" vertical="center"/>
    </xf>
    <xf numFmtId="41" fontId="23" fillId="9" borderId="6" xfId="40" applyFont="1" applyFill="1" applyBorder="1" applyAlignment="1">
      <alignment horizontal="center" vertical="center"/>
    </xf>
    <xf numFmtId="41" fontId="23" fillId="5" borderId="13" xfId="40" applyFont="1" applyFill="1" applyBorder="1" applyAlignment="1">
      <alignment horizontal="center" vertical="center"/>
    </xf>
    <xf numFmtId="181" fontId="30" fillId="8" borderId="23" xfId="0" applyNumberFormat="1" applyFont="1" applyFill="1" applyBorder="1" applyAlignment="1">
      <alignment horizontal="right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0" fontId="14" fillId="0" borderId="0" xfId="0" applyNumberFormat="1" applyFont="1" applyAlignment="1">
      <alignment horizontal="right" vertical="center"/>
    </xf>
    <xf numFmtId="0" fontId="23" fillId="0" borderId="0" xfId="65" applyFont="1">
      <alignment vertical="center"/>
    </xf>
    <xf numFmtId="180" fontId="14" fillId="0" borderId="0" xfId="17" applyNumberFormat="1" applyFont="1" applyAlignment="1">
      <alignment horizontal="right" vertical="center"/>
    </xf>
    <xf numFmtId="0" fontId="23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8" fillId="0" borderId="0" xfId="0" applyNumberFormat="1" applyFont="1" applyAlignment="1">
      <alignment horizontal="right" vertical="center"/>
    </xf>
    <xf numFmtId="183" fontId="24" fillId="0" borderId="0" xfId="65" applyNumberFormat="1">
      <alignment vertical="center"/>
    </xf>
    <xf numFmtId="183" fontId="24" fillId="0" borderId="0" xfId="17" applyNumberFormat="1" applyAlignment="1">
      <alignment horizontal="right"/>
    </xf>
    <xf numFmtId="183" fontId="8" fillId="0" borderId="0" xfId="17" applyNumberFormat="1" applyFont="1" applyAlignment="1">
      <alignment horizontal="right" vertical="center"/>
    </xf>
    <xf numFmtId="183" fontId="30" fillId="6" borderId="18" xfId="17" applyNumberFormat="1" applyFont="1" applyFill="1" applyBorder="1" applyAlignment="1">
      <alignment horizontal="center" vertical="center"/>
    </xf>
    <xf numFmtId="183" fontId="15" fillId="6" borderId="18" xfId="17" applyNumberFormat="1" applyFont="1" applyFill="1" applyBorder="1" applyAlignment="1">
      <alignment horizontal="center" vertical="center"/>
    </xf>
    <xf numFmtId="183" fontId="23" fillId="9" borderId="28" xfId="0" applyNumberFormat="1" applyFont="1" applyFill="1" applyBorder="1" applyAlignment="1">
      <alignment horizontal="right" vertical="center"/>
    </xf>
    <xf numFmtId="183" fontId="23" fillId="5" borderId="6" xfId="0" applyNumberFormat="1" applyFont="1" applyFill="1" applyBorder="1" applyAlignment="1">
      <alignment horizontal="right" vertical="center"/>
    </xf>
    <xf numFmtId="183" fontId="33" fillId="9" borderId="6" xfId="0" applyNumberFormat="1" applyFont="1" applyFill="1" applyBorder="1" applyAlignment="1">
      <alignment horizontal="right" vertical="center"/>
    </xf>
    <xf numFmtId="183" fontId="23" fillId="9" borderId="6" xfId="23" applyNumberFormat="1" applyFont="1" applyFill="1" applyBorder="1" applyAlignment="1">
      <alignment horizontal="right" vertical="center"/>
    </xf>
    <xf numFmtId="183" fontId="23" fillId="0" borderId="6" xfId="23" applyNumberFormat="1" applyFont="1" applyFill="1" applyBorder="1" applyAlignment="1">
      <alignment horizontal="right" vertical="center"/>
    </xf>
    <xf numFmtId="183" fontId="23" fillId="9" borderId="6" xfId="0" applyNumberFormat="1" applyFont="1" applyFill="1" applyBorder="1" applyAlignment="1">
      <alignment horizontal="right" vertical="center"/>
    </xf>
    <xf numFmtId="183" fontId="23" fillId="0" borderId="13" xfId="23" applyNumberFormat="1" applyFont="1" applyFill="1" applyBorder="1" applyAlignment="1">
      <alignment horizontal="right" vertical="center"/>
    </xf>
    <xf numFmtId="183" fontId="23" fillId="5" borderId="13" xfId="0" applyNumberFormat="1" applyFont="1" applyFill="1" applyBorder="1" applyAlignment="1">
      <alignment horizontal="right" vertical="center"/>
    </xf>
    <xf numFmtId="183" fontId="24" fillId="0" borderId="0" xfId="17" applyNumberFormat="1">
      <alignment vertical="center"/>
    </xf>
    <xf numFmtId="183" fontId="24" fillId="0" borderId="0" xfId="17" applyNumberFormat="1" applyAlignment="1">
      <alignment horizontal="center" vertical="center"/>
    </xf>
    <xf numFmtId="176" fontId="22" fillId="8" borderId="28" xfId="15" applyFont="1" applyFill="1" applyBorder="1" applyAlignment="1">
      <alignment horizontal="center" vertical="center" shrinkToFit="1"/>
    </xf>
    <xf numFmtId="176" fontId="22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4" fillId="0" borderId="0" xfId="15" applyFont="1" applyAlignment="1">
      <alignment vertical="center"/>
    </xf>
    <xf numFmtId="176" fontId="24" fillId="0" borderId="0" xfId="15" applyFont="1" applyAlignment="1">
      <alignment horizontal="right"/>
    </xf>
    <xf numFmtId="176" fontId="15" fillId="6" borderId="18" xfId="15" applyFont="1" applyFill="1" applyBorder="1" applyAlignment="1">
      <alignment horizontal="center" vertical="center"/>
    </xf>
    <xf numFmtId="176" fontId="22" fillId="8" borderId="28" xfId="15" applyFont="1" applyFill="1" applyBorder="1" applyAlignment="1">
      <alignment vertical="center" shrinkToFit="1"/>
    </xf>
    <xf numFmtId="176" fontId="22" fillId="8" borderId="15" xfId="15" applyFont="1" applyFill="1" applyBorder="1" applyAlignment="1">
      <alignment vertical="center" shrinkToFit="1"/>
    </xf>
    <xf numFmtId="176" fontId="23" fillId="9" borderId="28" xfId="15" applyFont="1" applyFill="1" applyBorder="1" applyAlignment="1">
      <alignment horizontal="right" vertical="center"/>
    </xf>
    <xf numFmtId="176" fontId="23" fillId="5" borderId="6" xfId="15" applyFont="1" applyFill="1" applyBorder="1" applyAlignment="1">
      <alignment horizontal="right" vertical="center"/>
    </xf>
    <xf numFmtId="176" fontId="33" fillId="9" borderId="6" xfId="15" applyFont="1" applyFill="1" applyBorder="1" applyAlignment="1">
      <alignment horizontal="right" vertical="center"/>
    </xf>
    <xf numFmtId="176" fontId="23" fillId="9" borderId="6" xfId="15" applyFont="1" applyFill="1" applyBorder="1" applyAlignment="1">
      <alignment horizontal="right" vertical="center"/>
    </xf>
    <xf numFmtId="176" fontId="23" fillId="5" borderId="13" xfId="15" applyFont="1" applyFill="1" applyBorder="1" applyAlignment="1">
      <alignment horizontal="right" vertical="center"/>
    </xf>
    <xf numFmtId="185" fontId="40" fillId="10" borderId="37" xfId="103" applyNumberFormat="1" applyFont="1" applyBorder="1" applyAlignment="1">
      <alignment horizontal="right" vertical="center" shrinkToFit="1"/>
    </xf>
    <xf numFmtId="176" fontId="14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6" fillId="0" borderId="0" xfId="15" applyFont="1" applyBorder="1" applyAlignment="1">
      <alignment vertical="center"/>
    </xf>
    <xf numFmtId="176" fontId="6" fillId="0" borderId="0" xfId="15" applyFont="1" applyBorder="1" applyAlignment="1">
      <alignment horizontal="right" vertical="center"/>
    </xf>
    <xf numFmtId="176" fontId="15" fillId="6" borderId="8" xfId="15" quotePrefix="1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76" fontId="14" fillId="0" borderId="18" xfId="15" applyFont="1" applyBorder="1" applyAlignment="1">
      <alignment horizontal="right" vertical="center"/>
    </xf>
    <xf numFmtId="176" fontId="15" fillId="8" borderId="23" xfId="15" applyFont="1" applyFill="1" applyBorder="1" applyAlignment="1">
      <alignment horizontal="center" vertical="center" shrinkToFit="1"/>
    </xf>
    <xf numFmtId="176" fontId="15" fillId="8" borderId="20" xfId="15" applyFont="1" applyFill="1" applyBorder="1" applyAlignment="1">
      <alignment horizontal="center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28" fillId="4" borderId="6" xfId="15" applyFont="1" applyFill="1" applyBorder="1" applyAlignment="1">
      <alignment horizontal="center" vertical="center"/>
    </xf>
    <xf numFmtId="176" fontId="14" fillId="0" borderId="18" xfId="15" applyFont="1" applyFill="1" applyBorder="1" applyAlignment="1">
      <alignment horizontal="center" vertical="center"/>
    </xf>
    <xf numFmtId="176" fontId="30" fillId="8" borderId="22" xfId="15" applyFont="1" applyFill="1" applyBorder="1" applyAlignment="1">
      <alignment horizontal="right" vertical="center"/>
    </xf>
    <xf numFmtId="176" fontId="15" fillId="0" borderId="0" xfId="15" applyFont="1" applyFill="1" applyBorder="1" applyAlignment="1">
      <alignment horizontal="right" vertical="center"/>
    </xf>
    <xf numFmtId="182" fontId="15" fillId="8" borderId="23" xfId="15" applyNumberFormat="1" applyFont="1" applyFill="1" applyBorder="1" applyAlignment="1">
      <alignment horizontal="right" vertical="center"/>
    </xf>
    <xf numFmtId="182" fontId="15" fillId="8" borderId="20" xfId="15" applyNumberFormat="1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82" fontId="15" fillId="8" borderId="6" xfId="15" applyNumberFormat="1" applyFont="1" applyFill="1" applyBorder="1" applyAlignment="1">
      <alignment horizontal="right" vertical="center"/>
    </xf>
    <xf numFmtId="176" fontId="39" fillId="0" borderId="6" xfId="15" applyFont="1" applyBorder="1" applyAlignment="1">
      <alignment horizontal="right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8" fillId="0" borderId="0" xfId="15" applyFont="1" applyAlignment="1">
      <alignment horizontal="right" vertical="center"/>
    </xf>
    <xf numFmtId="176" fontId="17" fillId="6" borderId="18" xfId="15" applyFont="1" applyFill="1" applyBorder="1" applyAlignment="1">
      <alignment horizontal="center" vertical="center"/>
    </xf>
    <xf numFmtId="176" fontId="14" fillId="4" borderId="20" xfId="15" applyFont="1" applyFill="1" applyBorder="1" applyAlignment="1">
      <alignment horizontal="right" vertical="center"/>
    </xf>
    <xf numFmtId="176" fontId="14" fillId="0" borderId="18" xfId="15" applyFont="1" applyFill="1" applyBorder="1" applyAlignment="1">
      <alignment horizontal="right" vertical="center"/>
    </xf>
    <xf numFmtId="176" fontId="15" fillId="8" borderId="20" xfId="15" applyFont="1" applyFill="1" applyBorder="1" applyAlignment="1">
      <alignment horizontal="right" vertical="center"/>
    </xf>
    <xf numFmtId="176" fontId="17" fillId="8" borderId="6" xfId="15" applyFont="1" applyFill="1" applyBorder="1" applyAlignment="1">
      <alignment horizontal="right" vertical="center"/>
    </xf>
    <xf numFmtId="176" fontId="39" fillId="4" borderId="6" xfId="15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 shrinkToFit="1"/>
    </xf>
    <xf numFmtId="176" fontId="8" fillId="4" borderId="6" xfId="15" applyFont="1" applyFill="1" applyBorder="1" applyAlignment="1">
      <alignment horizontal="right" vertical="center"/>
    </xf>
    <xf numFmtId="176" fontId="8" fillId="4" borderId="18" xfId="15" applyFont="1" applyFill="1" applyBorder="1" applyAlignment="1">
      <alignment horizontal="right" vertical="center"/>
    </xf>
    <xf numFmtId="176" fontId="30" fillId="8" borderId="23" xfId="15" applyFont="1" applyFill="1" applyBorder="1" applyAlignment="1">
      <alignment horizontal="right" vertical="center" shrinkToFit="1"/>
    </xf>
    <xf numFmtId="176" fontId="17" fillId="0" borderId="0" xfId="15" applyFont="1" applyFill="1" applyBorder="1" applyAlignment="1">
      <alignment horizontal="right" vertical="center"/>
    </xf>
    <xf numFmtId="182" fontId="17" fillId="8" borderId="23" xfId="15" applyNumberFormat="1" applyFont="1" applyFill="1" applyBorder="1" applyAlignment="1">
      <alignment horizontal="right"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18" xfId="0" applyNumberFormat="1" applyFont="1" applyFill="1" applyBorder="1" applyAlignment="1">
      <alignment horizontal="center" vertical="center"/>
    </xf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0" fontId="23" fillId="6" borderId="10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183" fontId="15" fillId="6" borderId="8" xfId="17" applyNumberFormat="1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2024.10.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96389567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2024.10.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749250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2024.10.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2024.10.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14432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zoomScaleNormal="100" zoomScaleSheetLayoutView="110" workbookViewId="0">
      <selection activeCell="K18" sqref="K18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219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41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207"/>
      <c r="F2" s="34"/>
      <c r="G2" s="34"/>
      <c r="H2" s="34"/>
      <c r="I2" s="34"/>
      <c r="J2" s="34"/>
      <c r="K2" s="34"/>
      <c r="L2" s="207"/>
      <c r="M2" s="34"/>
      <c r="N2" s="34"/>
      <c r="O2" s="34"/>
      <c r="P2" s="34"/>
    </row>
    <row r="3" spans="2:16" ht="42.95" customHeight="1">
      <c r="B3" s="256" t="s">
        <v>110</v>
      </c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8"/>
      <c r="N3" s="34"/>
      <c r="O3" s="34"/>
      <c r="P3" s="34"/>
    </row>
    <row r="4" spans="2:16" ht="21" customHeight="1">
      <c r="B4" s="96"/>
      <c r="C4" s="97"/>
      <c r="D4" s="97"/>
      <c r="E4" s="220"/>
      <c r="F4" s="97"/>
      <c r="G4" s="97"/>
      <c r="H4" s="97"/>
      <c r="I4" s="97"/>
      <c r="J4" s="97"/>
      <c r="K4" s="97"/>
      <c r="L4" s="220"/>
      <c r="M4" s="97"/>
    </row>
    <row r="5" spans="2:16" ht="21" customHeight="1">
      <c r="B5" s="32"/>
      <c r="C5" s="33"/>
      <c r="D5" s="33"/>
      <c r="E5" s="221"/>
      <c r="F5" s="33"/>
      <c r="G5" s="33"/>
      <c r="H5" s="33"/>
      <c r="I5" s="33"/>
      <c r="J5" s="33"/>
      <c r="K5" s="260" t="s">
        <v>85</v>
      </c>
      <c r="L5" s="260"/>
      <c r="M5" s="260"/>
    </row>
    <row r="6" spans="2:16" ht="21" customHeight="1">
      <c r="B6" s="272" t="s">
        <v>7</v>
      </c>
      <c r="C6" s="273"/>
      <c r="D6" s="273"/>
      <c r="E6" s="222"/>
      <c r="F6" s="259" t="s">
        <v>101</v>
      </c>
      <c r="G6" s="259"/>
      <c r="H6" s="259" t="s">
        <v>102</v>
      </c>
      <c r="I6" s="259"/>
      <c r="J6" s="259" t="s">
        <v>15</v>
      </c>
      <c r="K6" s="259"/>
      <c r="L6" s="259"/>
      <c r="M6" s="271"/>
    </row>
    <row r="7" spans="2:16" ht="21" customHeight="1" thickBot="1">
      <c r="B7" s="274"/>
      <c r="C7" s="275"/>
      <c r="D7" s="275"/>
      <c r="E7" s="209" t="s">
        <v>11</v>
      </c>
      <c r="F7" s="65" t="s">
        <v>106</v>
      </c>
      <c r="G7" s="64" t="s">
        <v>107</v>
      </c>
      <c r="H7" s="64" t="s">
        <v>108</v>
      </c>
      <c r="I7" s="64" t="s">
        <v>109</v>
      </c>
      <c r="J7" s="64" t="s">
        <v>37</v>
      </c>
      <c r="K7" s="66" t="s">
        <v>16</v>
      </c>
      <c r="L7" s="242" t="s">
        <v>18</v>
      </c>
      <c r="M7" s="67" t="s">
        <v>16</v>
      </c>
    </row>
    <row r="8" spans="2:16" ht="20.100000000000001" customHeight="1" thickBot="1">
      <c r="B8" s="268" t="s">
        <v>19</v>
      </c>
      <c r="C8" s="254" t="s">
        <v>12</v>
      </c>
      <c r="D8" s="255"/>
      <c r="E8" s="223">
        <f>SUM(E9:E10)</f>
        <v>17324</v>
      </c>
      <c r="F8" s="72">
        <f>SUM(F9:F10)</f>
        <v>1508</v>
      </c>
      <c r="G8" s="72">
        <f>SUM(G9:G10)</f>
        <v>14516</v>
      </c>
      <c r="H8" s="72">
        <f>SUM(H9:H10)</f>
        <v>1507</v>
      </c>
      <c r="I8" s="72">
        <f>SUM(I9:I10)</f>
        <v>14432</v>
      </c>
      <c r="J8" s="72">
        <f>H8-F8</f>
        <v>-1</v>
      </c>
      <c r="K8" s="73">
        <f>H8/F8</f>
        <v>0.99933687002652516</v>
      </c>
      <c r="L8" s="223">
        <f>I8-G8</f>
        <v>-84</v>
      </c>
      <c r="M8" s="74">
        <f>I8/G8</f>
        <v>0.99421328189583913</v>
      </c>
    </row>
    <row r="9" spans="2:16" ht="20.100000000000001" customHeight="1">
      <c r="B9" s="269"/>
      <c r="C9" s="276" t="s">
        <v>9</v>
      </c>
      <c r="D9" s="276"/>
      <c r="E9" s="224">
        <v>10498</v>
      </c>
      <c r="F9" s="162">
        <v>904</v>
      </c>
      <c r="G9" s="68">
        <v>8789</v>
      </c>
      <c r="H9" s="68">
        <v>871</v>
      </c>
      <c r="I9" s="68">
        <v>8644</v>
      </c>
      <c r="J9" s="69">
        <f t="shared" ref="J9:J28" si="0">H9-F9</f>
        <v>-33</v>
      </c>
      <c r="K9" s="70">
        <f t="shared" ref="K9:K29" si="1">H9/F9</f>
        <v>0.96349557522123896</v>
      </c>
      <c r="L9" s="243">
        <f t="shared" ref="L9:L29" si="2">I9-G9</f>
        <v>-145</v>
      </c>
      <c r="M9" s="71">
        <f t="shared" ref="M9:M25" si="3">I9/G9</f>
        <v>0.98350210490385714</v>
      </c>
    </row>
    <row r="10" spans="2:16" ht="20.100000000000001" customHeight="1" thickBot="1">
      <c r="B10" s="269"/>
      <c r="C10" s="277" t="s">
        <v>10</v>
      </c>
      <c r="D10" s="277"/>
      <c r="E10" s="225">
        <v>6826</v>
      </c>
      <c r="F10" s="163">
        <v>604</v>
      </c>
      <c r="G10" s="75">
        <v>5727</v>
      </c>
      <c r="H10" s="75">
        <v>636</v>
      </c>
      <c r="I10" s="75">
        <v>5788</v>
      </c>
      <c r="J10" s="75">
        <f t="shared" si="0"/>
        <v>32</v>
      </c>
      <c r="K10" s="76">
        <f t="shared" si="1"/>
        <v>1.0529801324503312</v>
      </c>
      <c r="L10" s="244">
        <f t="shared" si="2"/>
        <v>61</v>
      </c>
      <c r="M10" s="77">
        <f t="shared" si="3"/>
        <v>1.0106513008555964</v>
      </c>
      <c r="O10" t="s">
        <v>100</v>
      </c>
    </row>
    <row r="11" spans="2:16" ht="20.100000000000001" customHeight="1" thickBot="1">
      <c r="B11" s="268" t="s">
        <v>20</v>
      </c>
      <c r="C11" s="254" t="s">
        <v>8</v>
      </c>
      <c r="D11" s="255"/>
      <c r="E11" s="235">
        <f>E12+E16</f>
        <v>116607017</v>
      </c>
      <c r="F11" s="235">
        <f>F12+F16</f>
        <v>9781761</v>
      </c>
      <c r="G11" s="235">
        <f>G12+G16</f>
        <v>96111959</v>
      </c>
      <c r="H11" s="235">
        <f>H12+H16</f>
        <v>10137228</v>
      </c>
      <c r="I11" s="235">
        <f>I12+I16</f>
        <v>96389567</v>
      </c>
      <c r="J11" s="235">
        <f t="shared" si="0"/>
        <v>355467</v>
      </c>
      <c r="K11" s="73">
        <f t="shared" si="1"/>
        <v>1.0363397756293575</v>
      </c>
      <c r="L11" s="253">
        <f>I11-G11</f>
        <v>277608</v>
      </c>
      <c r="M11" s="74">
        <f t="shared" si="3"/>
        <v>1.0028883814552152</v>
      </c>
    </row>
    <row r="12" spans="2:16" ht="20.100000000000001" customHeight="1">
      <c r="B12" s="269"/>
      <c r="C12" s="276" t="s">
        <v>1</v>
      </c>
      <c r="D12" s="78" t="s">
        <v>0</v>
      </c>
      <c r="E12" s="236">
        <f>SUM(E13:E15)</f>
        <v>105503891</v>
      </c>
      <c r="F12" s="79">
        <f>SUM(F13:F15)</f>
        <v>8805544</v>
      </c>
      <c r="G12" s="79">
        <f>SUM(G13:G15)</f>
        <v>86896417</v>
      </c>
      <c r="H12" s="79">
        <f>SUM(H13:H15)</f>
        <v>9333621</v>
      </c>
      <c r="I12" s="79">
        <f>SUM(I13:I15)</f>
        <v>87461584</v>
      </c>
      <c r="J12" s="80">
        <f t="shared" ref="J12:J18" si="4">H12-F12</f>
        <v>528077</v>
      </c>
      <c r="K12" s="81">
        <f t="shared" si="1"/>
        <v>1.0599709682899774</v>
      </c>
      <c r="L12" s="245">
        <f>I12-G12</f>
        <v>565167</v>
      </c>
      <c r="M12" s="82">
        <f t="shared" si="3"/>
        <v>1.0065039160360316</v>
      </c>
    </row>
    <row r="13" spans="2:16" ht="20.100000000000001" customHeight="1">
      <c r="B13" s="269"/>
      <c r="C13" s="261"/>
      <c r="D13" s="54" t="s">
        <v>5</v>
      </c>
      <c r="E13" s="237">
        <v>85548211</v>
      </c>
      <c r="F13" s="157">
        <v>7480240</v>
      </c>
      <c r="G13" s="148">
        <v>70485978</v>
      </c>
      <c r="H13" s="148">
        <v>7654576</v>
      </c>
      <c r="I13" s="148">
        <v>70967264</v>
      </c>
      <c r="J13" s="51">
        <f t="shared" si="4"/>
        <v>174336</v>
      </c>
      <c r="K13" s="49">
        <f t="shared" si="1"/>
        <v>1.0233062040790135</v>
      </c>
      <c r="L13" s="229">
        <f>I13-G13</f>
        <v>481286</v>
      </c>
      <c r="M13" s="56">
        <f t="shared" si="3"/>
        <v>1.0068281098405132</v>
      </c>
      <c r="O13" s="24"/>
    </row>
    <row r="14" spans="2:16" ht="20.100000000000001" customHeight="1">
      <c r="B14" s="269"/>
      <c r="C14" s="261"/>
      <c r="D14" s="54" t="s">
        <v>6</v>
      </c>
      <c r="E14" s="237">
        <v>17063258</v>
      </c>
      <c r="F14" s="157">
        <v>1125419</v>
      </c>
      <c r="G14" s="148">
        <v>13981715</v>
      </c>
      <c r="H14" s="148">
        <v>1577727</v>
      </c>
      <c r="I14" s="148">
        <v>14395070</v>
      </c>
      <c r="J14" s="51">
        <f t="shared" si="4"/>
        <v>452308</v>
      </c>
      <c r="K14" s="49">
        <f t="shared" si="1"/>
        <v>1.401901869437072</v>
      </c>
      <c r="L14" s="229">
        <f t="shared" si="2"/>
        <v>413355</v>
      </c>
      <c r="M14" s="56">
        <f t="shared" si="3"/>
        <v>1.029563969799127</v>
      </c>
    </row>
    <row r="15" spans="2:16" ht="20.100000000000001" customHeight="1">
      <c r="B15" s="269"/>
      <c r="C15" s="261"/>
      <c r="D15" s="54" t="s">
        <v>13</v>
      </c>
      <c r="E15" s="237">
        <v>2892422</v>
      </c>
      <c r="F15" s="157">
        <v>199885</v>
      </c>
      <c r="G15" s="148">
        <v>2428724</v>
      </c>
      <c r="H15" s="148">
        <v>101318</v>
      </c>
      <c r="I15" s="148">
        <v>2099250</v>
      </c>
      <c r="J15" s="51">
        <f t="shared" si="4"/>
        <v>-98567</v>
      </c>
      <c r="K15" s="49">
        <f>H15/F15</f>
        <v>0.50688145683768171</v>
      </c>
      <c r="L15" s="229">
        <f t="shared" si="2"/>
        <v>-329474</v>
      </c>
      <c r="M15" s="56">
        <f t="shared" si="3"/>
        <v>0.86434275776086533</v>
      </c>
      <c r="O15" s="24"/>
    </row>
    <row r="16" spans="2:16" ht="20.100000000000001" customHeight="1">
      <c r="B16" s="269"/>
      <c r="C16" s="261" t="s">
        <v>2</v>
      </c>
      <c r="D16" s="53" t="s">
        <v>0</v>
      </c>
      <c r="E16" s="238">
        <f>SUM(E17:E19)</f>
        <v>11103126</v>
      </c>
      <c r="F16" s="52">
        <f>SUM(F17:F19)</f>
        <v>976217</v>
      </c>
      <c r="G16" s="52">
        <f>SUM(G17:G19)</f>
        <v>9215542</v>
      </c>
      <c r="H16" s="52">
        <f>SUM(H17:H19)</f>
        <v>803607</v>
      </c>
      <c r="I16" s="52">
        <f>SUM(I17:I19)</f>
        <v>8927983</v>
      </c>
      <c r="J16" s="47">
        <f t="shared" si="4"/>
        <v>-172610</v>
      </c>
      <c r="K16" s="48">
        <f t="shared" si="1"/>
        <v>0.82318480419824691</v>
      </c>
      <c r="L16" s="246">
        <f t="shared" si="2"/>
        <v>-287559</v>
      </c>
      <c r="M16" s="57">
        <f t="shared" si="3"/>
        <v>0.96879630085783341</v>
      </c>
      <c r="O16" s="24"/>
    </row>
    <row r="17" spans="2:15" ht="20.100000000000001" customHeight="1">
      <c r="B17" s="269"/>
      <c r="C17" s="261"/>
      <c r="D17" s="54" t="s">
        <v>3</v>
      </c>
      <c r="E17" s="237">
        <v>7713381</v>
      </c>
      <c r="F17" s="158">
        <v>685061</v>
      </c>
      <c r="G17" s="148">
        <v>6298790</v>
      </c>
      <c r="H17" s="148">
        <v>592182</v>
      </c>
      <c r="I17" s="148">
        <v>6262951</v>
      </c>
      <c r="J17" s="51">
        <f t="shared" si="4"/>
        <v>-92879</v>
      </c>
      <c r="K17" s="49">
        <f t="shared" si="1"/>
        <v>0.86442229232141377</v>
      </c>
      <c r="L17" s="229">
        <f t="shared" si="2"/>
        <v>-35839</v>
      </c>
      <c r="M17" s="56">
        <f t="shared" si="3"/>
        <v>0.99431017703400182</v>
      </c>
      <c r="O17" s="24"/>
    </row>
    <row r="18" spans="2:15" ht="20.100000000000001" customHeight="1">
      <c r="B18" s="269"/>
      <c r="C18" s="261"/>
      <c r="D18" s="54" t="s">
        <v>4</v>
      </c>
      <c r="E18" s="237">
        <v>3389745</v>
      </c>
      <c r="F18" s="158">
        <v>291156</v>
      </c>
      <c r="G18" s="148">
        <v>2916752</v>
      </c>
      <c r="H18" s="148">
        <v>211425</v>
      </c>
      <c r="I18" s="148">
        <v>2665032</v>
      </c>
      <c r="J18" s="51">
        <f t="shared" si="4"/>
        <v>-79731</v>
      </c>
      <c r="K18" s="49">
        <f t="shared" si="1"/>
        <v>0.72615711165148578</v>
      </c>
      <c r="L18" s="229">
        <f t="shared" si="2"/>
        <v>-251720</v>
      </c>
      <c r="M18" s="56">
        <f t="shared" si="3"/>
        <v>0.91369852493458481</v>
      </c>
    </row>
    <row r="19" spans="2:15" ht="20.100000000000001" customHeight="1">
      <c r="B19" s="269"/>
      <c r="C19" s="261"/>
      <c r="D19" s="54" t="s">
        <v>17</v>
      </c>
      <c r="E19" s="239">
        <v>0</v>
      </c>
      <c r="F19" s="239">
        <v>0</v>
      </c>
      <c r="G19" s="239">
        <v>0</v>
      </c>
      <c r="H19" s="239">
        <v>0</v>
      </c>
      <c r="I19" s="239">
        <v>0</v>
      </c>
      <c r="J19" s="239">
        <v>0</v>
      </c>
      <c r="K19" s="240">
        <v>0</v>
      </c>
      <c r="L19" s="247">
        <v>0</v>
      </c>
      <c r="M19" s="56" t="s">
        <v>75</v>
      </c>
    </row>
    <row r="20" spans="2:15" ht="20.100000000000001" customHeight="1" thickBot="1">
      <c r="B20" s="62"/>
      <c r="C20" s="83"/>
      <c r="D20" s="155"/>
      <c r="E20" s="226"/>
      <c r="F20" s="85"/>
      <c r="G20" s="85"/>
      <c r="H20" s="85"/>
      <c r="I20" s="84"/>
      <c r="J20" s="86"/>
      <c r="K20" s="265" t="s">
        <v>21</v>
      </c>
      <c r="L20" s="266"/>
      <c r="M20" s="267"/>
    </row>
    <row r="21" spans="2:15" ht="20.100000000000001" customHeight="1" thickBot="1">
      <c r="B21" s="270" t="s">
        <v>86</v>
      </c>
      <c r="C21" s="254" t="s">
        <v>8</v>
      </c>
      <c r="D21" s="255"/>
      <c r="E21" s="227">
        <f>SUM(E22,E26)</f>
        <v>820289</v>
      </c>
      <c r="F21" s="89">
        <f>SUM(F22,F26)</f>
        <v>65758</v>
      </c>
      <c r="G21" s="89">
        <f>SUM(G22,G26)</f>
        <v>676353</v>
      </c>
      <c r="H21" s="88">
        <f>SUM(H22,H26)</f>
        <v>83786</v>
      </c>
      <c r="I21" s="88">
        <f>SUM(I22,I26)</f>
        <v>749250</v>
      </c>
      <c r="J21" s="90">
        <f t="shared" si="0"/>
        <v>18028</v>
      </c>
      <c r="K21" s="91">
        <f t="shared" si="1"/>
        <v>1.2741567565923537</v>
      </c>
      <c r="L21" s="248">
        <f t="shared" si="2"/>
        <v>72897</v>
      </c>
      <c r="M21" s="74">
        <f>I21/G21</f>
        <v>1.1077795175004768</v>
      </c>
    </row>
    <row r="22" spans="2:15" ht="20.100000000000001" customHeight="1">
      <c r="B22" s="269"/>
      <c r="C22" s="276" t="s">
        <v>1</v>
      </c>
      <c r="D22" s="78" t="s">
        <v>0</v>
      </c>
      <c r="E22" s="228">
        <f>SUM(E23:E25)</f>
        <v>820289</v>
      </c>
      <c r="F22" s="78">
        <f>SUM(F23:F25)</f>
        <v>65758</v>
      </c>
      <c r="G22" s="78">
        <f>SUM(G23:G25)</f>
        <v>676353</v>
      </c>
      <c r="H22" s="78">
        <f>SUM(H23:H25)</f>
        <v>83786</v>
      </c>
      <c r="I22" s="78">
        <f>SUM(I23:I25)</f>
        <v>749250</v>
      </c>
      <c r="J22" s="80">
        <f t="shared" si="0"/>
        <v>18028</v>
      </c>
      <c r="K22" s="87">
        <f t="shared" si="1"/>
        <v>1.2741567565923537</v>
      </c>
      <c r="L22" s="245">
        <f t="shared" si="2"/>
        <v>72897</v>
      </c>
      <c r="M22" s="82">
        <f t="shared" si="3"/>
        <v>1.1077795175004768</v>
      </c>
    </row>
    <row r="23" spans="2:15" ht="20.100000000000001" customHeight="1">
      <c r="B23" s="269"/>
      <c r="C23" s="261"/>
      <c r="D23" s="59" t="s">
        <v>5</v>
      </c>
      <c r="E23" s="229">
        <v>406783</v>
      </c>
      <c r="F23" s="159">
        <v>34295</v>
      </c>
      <c r="G23" s="60">
        <v>337157</v>
      </c>
      <c r="H23" s="159">
        <v>41058</v>
      </c>
      <c r="I23" s="154">
        <v>371738</v>
      </c>
      <c r="J23" s="51">
        <f>H23-F23</f>
        <v>6763</v>
      </c>
      <c r="K23" s="50">
        <f>H23/F23</f>
        <v>1.1972007581280071</v>
      </c>
      <c r="L23" s="229">
        <f>I23-G23</f>
        <v>34581</v>
      </c>
      <c r="M23" s="56">
        <f>I23/G23</f>
        <v>1.1025664601357825</v>
      </c>
    </row>
    <row r="24" spans="2:15" ht="20.100000000000001" customHeight="1">
      <c r="B24" s="269"/>
      <c r="C24" s="261"/>
      <c r="D24" s="58" t="s">
        <v>14</v>
      </c>
      <c r="E24" s="230">
        <v>405018</v>
      </c>
      <c r="F24" s="160">
        <v>30972</v>
      </c>
      <c r="G24" s="60">
        <v>332205</v>
      </c>
      <c r="H24" s="160">
        <v>40841</v>
      </c>
      <c r="I24" s="154">
        <v>367818</v>
      </c>
      <c r="J24" s="51">
        <f>H24-F24</f>
        <v>9869</v>
      </c>
      <c r="K24" s="50">
        <f>H24/F24</f>
        <v>1.31864264496965</v>
      </c>
      <c r="L24" s="229">
        <f>I24-G24</f>
        <v>35613</v>
      </c>
      <c r="M24" s="56">
        <f>I24/G24</f>
        <v>1.1072018783582427</v>
      </c>
    </row>
    <row r="25" spans="2:15" ht="20.100000000000001" customHeight="1">
      <c r="B25" s="269"/>
      <c r="C25" s="261"/>
      <c r="D25" s="58" t="s">
        <v>13</v>
      </c>
      <c r="E25" s="218">
        <v>8488</v>
      </c>
      <c r="F25" s="161">
        <v>491</v>
      </c>
      <c r="G25" s="154">
        <v>6991</v>
      </c>
      <c r="H25" s="161">
        <v>1887</v>
      </c>
      <c r="I25" s="154">
        <v>9694</v>
      </c>
      <c r="J25" s="51">
        <f t="shared" si="0"/>
        <v>1396</v>
      </c>
      <c r="K25" s="50">
        <f t="shared" si="1"/>
        <v>3.8431771894093685</v>
      </c>
      <c r="L25" s="229">
        <f t="shared" si="2"/>
        <v>2703</v>
      </c>
      <c r="M25" s="56">
        <f t="shared" si="3"/>
        <v>1.3866399656701474</v>
      </c>
    </row>
    <row r="26" spans="2:15" ht="20.100000000000001" customHeight="1">
      <c r="B26" s="269"/>
      <c r="C26" s="261" t="s">
        <v>2</v>
      </c>
      <c r="D26" s="54" t="s">
        <v>49</v>
      </c>
      <c r="E26" s="231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1">
        <f t="shared" si="0"/>
        <v>0</v>
      </c>
      <c r="K26" s="55">
        <v>0</v>
      </c>
      <c r="L26" s="249">
        <f t="shared" si="2"/>
        <v>0</v>
      </c>
      <c r="M26" s="63">
        <v>0</v>
      </c>
    </row>
    <row r="27" spans="2:15" ht="20.100000000000001" customHeight="1">
      <c r="B27" s="269"/>
      <c r="C27" s="261"/>
      <c r="D27" s="54" t="s">
        <v>49</v>
      </c>
      <c r="E27" s="218">
        <v>0</v>
      </c>
      <c r="F27" s="59">
        <v>0</v>
      </c>
      <c r="G27" s="59">
        <v>0</v>
      </c>
      <c r="H27" s="59">
        <v>0</v>
      </c>
      <c r="I27" s="59">
        <v>0</v>
      </c>
      <c r="J27" s="61">
        <f t="shared" si="0"/>
        <v>0</v>
      </c>
      <c r="K27" s="55">
        <v>0</v>
      </c>
      <c r="L27" s="249">
        <f t="shared" si="2"/>
        <v>0</v>
      </c>
      <c r="M27" s="63">
        <v>0</v>
      </c>
    </row>
    <row r="28" spans="2:15" ht="20.100000000000001" customHeight="1" thickBot="1">
      <c r="B28" s="269"/>
      <c r="C28" s="261"/>
      <c r="D28" s="54" t="s">
        <v>49</v>
      </c>
      <c r="E28" s="232">
        <v>0</v>
      </c>
      <c r="F28" s="92">
        <v>0</v>
      </c>
      <c r="G28" s="92">
        <v>0</v>
      </c>
      <c r="H28" s="92">
        <v>0</v>
      </c>
      <c r="I28" s="92">
        <v>0</v>
      </c>
      <c r="J28" s="93">
        <f t="shared" si="0"/>
        <v>0</v>
      </c>
      <c r="K28" s="94">
        <v>0</v>
      </c>
      <c r="L28" s="250">
        <f t="shared" si="2"/>
        <v>0</v>
      </c>
      <c r="M28" s="95">
        <v>0</v>
      </c>
    </row>
    <row r="29" spans="2:15" s="22" customFormat="1" ht="20.100000000000001" customHeight="1" thickBot="1">
      <c r="B29" s="262" t="s">
        <v>47</v>
      </c>
      <c r="C29" s="263"/>
      <c r="D29" s="264"/>
      <c r="E29" s="233">
        <v>1616558</v>
      </c>
      <c r="F29" s="178">
        <v>105217</v>
      </c>
      <c r="G29" s="178">
        <v>1340151</v>
      </c>
      <c r="H29" s="178">
        <v>121219</v>
      </c>
      <c r="I29" s="178">
        <v>1308765</v>
      </c>
      <c r="J29" s="179">
        <f>H29-F29</f>
        <v>16002</v>
      </c>
      <c r="K29" s="180">
        <f t="shared" si="1"/>
        <v>1.1520856895748786</v>
      </c>
      <c r="L29" s="251">
        <f t="shared" si="2"/>
        <v>-31386</v>
      </c>
      <c r="M29" s="181">
        <f>I29/G29</f>
        <v>0.97658025103141366</v>
      </c>
    </row>
    <row r="30" spans="2:15" ht="12.75" customHeight="1">
      <c r="B30" s="5"/>
      <c r="C30" s="5"/>
      <c r="D30" s="5"/>
      <c r="E30" s="234"/>
      <c r="F30" s="7"/>
      <c r="G30" s="7"/>
      <c r="H30" s="7"/>
      <c r="I30" s="7"/>
      <c r="J30" s="6"/>
      <c r="K30" s="8"/>
      <c r="L30" s="252"/>
      <c r="M30" s="9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10" sqref="H10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78" t="s">
        <v>87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1" t="s">
        <v>50</v>
      </c>
      <c r="H5" s="281"/>
      <c r="I5" s="38"/>
      <c r="J5"/>
      <c r="K5"/>
      <c r="L5"/>
      <c r="M5" s="37"/>
      <c r="N5" s="37"/>
      <c r="O5" s="281" t="s">
        <v>88</v>
      </c>
      <c r="P5" s="281"/>
    </row>
    <row r="6" spans="2:29" s="11" customFormat="1" ht="32.25" customHeight="1">
      <c r="B6" s="130" t="s">
        <v>94</v>
      </c>
      <c r="C6" s="131">
        <v>2019</v>
      </c>
      <c r="D6" s="131">
        <v>2020</v>
      </c>
      <c r="E6" s="131">
        <v>2021</v>
      </c>
      <c r="F6" s="138">
        <v>2022</v>
      </c>
      <c r="G6" s="138">
        <v>2023</v>
      </c>
      <c r="H6" s="140" t="s">
        <v>105</v>
      </c>
      <c r="I6" s="42"/>
      <c r="J6" s="130" t="s">
        <v>94</v>
      </c>
      <c r="K6" s="131">
        <v>2019</v>
      </c>
      <c r="L6" s="131">
        <v>2020</v>
      </c>
      <c r="M6" s="131">
        <v>2021</v>
      </c>
      <c r="N6" s="138">
        <v>2022</v>
      </c>
      <c r="O6" s="138">
        <v>2023</v>
      </c>
      <c r="P6" s="143" t="str">
        <f>$H$6</f>
        <v>2024.10.</v>
      </c>
    </row>
    <row r="7" spans="2:29" s="11" customFormat="1" ht="39.200000000000003" customHeight="1" thickBot="1">
      <c r="B7" s="132" t="s">
        <v>92</v>
      </c>
      <c r="C7" s="133">
        <v>18416</v>
      </c>
      <c r="D7" s="133">
        <v>17409</v>
      </c>
      <c r="E7" s="133">
        <v>16473</v>
      </c>
      <c r="F7" s="139">
        <v>16626</v>
      </c>
      <c r="G7" s="139">
        <v>17324</v>
      </c>
      <c r="H7" s="141">
        <f>통계요약!I8</f>
        <v>14432</v>
      </c>
      <c r="I7" s="43"/>
      <c r="J7" s="134" t="s">
        <v>91</v>
      </c>
      <c r="K7" s="135">
        <v>113201331</v>
      </c>
      <c r="L7" s="135">
        <v>106847350</v>
      </c>
      <c r="M7" s="135">
        <v>116876152</v>
      </c>
      <c r="N7" s="142">
        <v>116171568</v>
      </c>
      <c r="O7" s="156">
        <f>통계요약!E11</f>
        <v>116607017</v>
      </c>
      <c r="P7" s="144">
        <f>통계요약!I11</f>
        <v>96389567</v>
      </c>
    </row>
    <row r="8" spans="2:29" s="11" customFormat="1" ht="21" customHeight="1" thickBot="1">
      <c r="B8"/>
      <c r="C8"/>
      <c r="D8"/>
      <c r="E8" s="37"/>
      <c r="F8" s="37"/>
      <c r="G8" s="281" t="s">
        <v>89</v>
      </c>
      <c r="H8" s="281"/>
      <c r="I8" s="38"/>
      <c r="J8" s="12"/>
      <c r="K8" s="13"/>
      <c r="L8" s="13"/>
      <c r="M8" s="37"/>
      <c r="N8" s="37"/>
      <c r="O8" s="281" t="s">
        <v>90</v>
      </c>
      <c r="P8" s="281"/>
    </row>
    <row r="9" spans="2:29" s="11" customFormat="1" ht="32.25" customHeight="1">
      <c r="B9" s="130" t="s">
        <v>94</v>
      </c>
      <c r="C9" s="131">
        <v>2019</v>
      </c>
      <c r="D9" s="131">
        <v>2020</v>
      </c>
      <c r="E9" s="131">
        <v>2021</v>
      </c>
      <c r="F9" s="138">
        <v>2022</v>
      </c>
      <c r="G9" s="138">
        <v>2023</v>
      </c>
      <c r="H9" s="143" t="str">
        <f>$H$6</f>
        <v>2024.10.</v>
      </c>
      <c r="I9" s="44"/>
      <c r="J9" s="130" t="s">
        <v>94</v>
      </c>
      <c r="K9" s="131">
        <v>2019</v>
      </c>
      <c r="L9" s="131">
        <v>2020</v>
      </c>
      <c r="M9" s="131">
        <v>2021</v>
      </c>
      <c r="N9" s="138">
        <v>2022</v>
      </c>
      <c r="O9" s="138">
        <v>2023</v>
      </c>
      <c r="P9" s="143" t="str">
        <f>$H$6</f>
        <v>2024.10.</v>
      </c>
    </row>
    <row r="10" spans="2:29" s="11" customFormat="1" ht="37.5" customHeight="1" thickBot="1">
      <c r="B10" s="136" t="s">
        <v>22</v>
      </c>
      <c r="C10" s="137">
        <v>725047</v>
      </c>
      <c r="D10" s="137">
        <v>792643</v>
      </c>
      <c r="E10" s="137">
        <v>936246</v>
      </c>
      <c r="F10" s="145">
        <v>851953</v>
      </c>
      <c r="G10" s="139">
        <v>820289</v>
      </c>
      <c r="H10" s="146">
        <f>통계요약!I21</f>
        <v>749250</v>
      </c>
      <c r="I10" s="45"/>
      <c r="J10" s="136" t="s">
        <v>93</v>
      </c>
      <c r="K10" s="133">
        <v>623733</v>
      </c>
      <c r="L10" s="133">
        <v>40267</v>
      </c>
      <c r="M10" s="133">
        <v>0</v>
      </c>
      <c r="N10" s="139">
        <v>0</v>
      </c>
      <c r="O10" s="139">
        <v>0</v>
      </c>
      <c r="P10" s="146"/>
      <c r="S10" s="21" t="s">
        <v>104</v>
      </c>
      <c r="AC10" s="21"/>
    </row>
    <row r="11" spans="2:29" ht="21" customHeight="1"/>
    <row r="12" spans="2:29" s="18" customFormat="1" ht="21" customHeight="1">
      <c r="B12" s="280" t="s">
        <v>98</v>
      </c>
      <c r="C12" s="280"/>
      <c r="D12" s="280"/>
      <c r="I12" s="46"/>
    </row>
    <row r="13" spans="2:29" s="11" customFormat="1" ht="21" customHeight="1">
      <c r="B13" s="279" t="s">
        <v>95</v>
      </c>
      <c r="C13" s="279"/>
      <c r="I13" s="41"/>
      <c r="J13" s="279" t="s">
        <v>96</v>
      </c>
      <c r="K13" s="279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79" t="s">
        <v>97</v>
      </c>
      <c r="C23" s="279"/>
      <c r="I23" s="41"/>
      <c r="J23" s="279" t="s">
        <v>99</v>
      </c>
      <c r="K23" s="279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tabSelected="1" zoomScale="95" zoomScaleNormal="95" workbookViewId="0">
      <selection activeCell="G32" sqref="G32:G37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207" customWidth="1"/>
    <col min="7" max="7" width="12.625" style="202" customWidth="1"/>
    <col min="8" max="8" width="13.5" style="202" customWidth="1"/>
    <col min="9" max="9" width="12.625" style="186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206"/>
      <c r="G1" s="187"/>
      <c r="H1" s="188"/>
      <c r="I1" s="183"/>
    </row>
    <row r="2" spans="1:35" customFormat="1" ht="13.5" customHeight="1">
      <c r="B2" s="35"/>
      <c r="C2" s="34"/>
      <c r="D2" s="34"/>
      <c r="E2" s="34"/>
      <c r="F2" s="207"/>
      <c r="G2" s="189"/>
      <c r="H2" s="189"/>
      <c r="I2" s="184"/>
      <c r="J2" s="34"/>
      <c r="K2" s="34"/>
      <c r="L2" s="34"/>
    </row>
    <row r="3" spans="1:35" customFormat="1" ht="42.95" customHeight="1">
      <c r="B3" s="256" t="s">
        <v>111</v>
      </c>
      <c r="C3" s="257"/>
      <c r="D3" s="257"/>
      <c r="E3" s="257"/>
      <c r="F3" s="257"/>
      <c r="G3" s="257"/>
      <c r="H3" s="257"/>
      <c r="I3" s="257"/>
      <c r="J3" s="257"/>
      <c r="K3" s="257"/>
      <c r="L3" s="258"/>
    </row>
    <row r="4" spans="1:35" ht="13.5" customHeight="1">
      <c r="A4" s="20"/>
      <c r="C4" s="23"/>
      <c r="D4" s="23"/>
      <c r="E4" s="26"/>
      <c r="F4" s="208"/>
      <c r="G4" s="190"/>
      <c r="H4" s="191"/>
      <c r="I4" s="185"/>
    </row>
    <row r="5" spans="1:35" ht="13.5" customHeight="1">
      <c r="A5" s="20"/>
      <c r="C5" s="23"/>
      <c r="D5" s="23"/>
      <c r="E5" s="26"/>
      <c r="F5" s="208"/>
      <c r="G5" s="190"/>
      <c r="H5" s="191"/>
      <c r="I5" s="185"/>
    </row>
    <row r="6" spans="1:35" ht="21.95" customHeight="1">
      <c r="B6" s="282" t="s">
        <v>23</v>
      </c>
      <c r="C6" s="290" t="s">
        <v>24</v>
      </c>
      <c r="D6" s="288" t="s">
        <v>101</v>
      </c>
      <c r="E6" s="288"/>
      <c r="F6" s="288"/>
      <c r="G6" s="292" t="s">
        <v>103</v>
      </c>
      <c r="H6" s="292"/>
      <c r="I6" s="288" t="s">
        <v>25</v>
      </c>
      <c r="J6" s="288"/>
      <c r="K6" s="288"/>
      <c r="L6" s="289"/>
      <c r="X6" s="19" t="s">
        <v>84</v>
      </c>
    </row>
    <row r="7" spans="1:35" ht="21.95" customHeight="1" thickBot="1">
      <c r="B7" s="283"/>
      <c r="C7" s="291"/>
      <c r="D7" s="108" t="s">
        <v>26</v>
      </c>
      <c r="E7" s="108" t="str">
        <f>통계요약!F7</f>
        <v>10월(A)</v>
      </c>
      <c r="F7" s="209" t="str">
        <f>통계요약!G7</f>
        <v xml:space="preserve"> 10월누계(B) </v>
      </c>
      <c r="G7" s="192" t="str">
        <f>통계요약!H7</f>
        <v>10월(C)</v>
      </c>
      <c r="H7" s="193" t="str">
        <f>통계요약!I7</f>
        <v xml:space="preserve"> 10월누계(D) </v>
      </c>
      <c r="I7" s="108" t="s">
        <v>27</v>
      </c>
      <c r="J7" s="109" t="s">
        <v>28</v>
      </c>
      <c r="K7" s="110" t="s">
        <v>29</v>
      </c>
      <c r="L7" s="111" t="s">
        <v>28</v>
      </c>
    </row>
    <row r="8" spans="1:35" ht="21.95" customHeight="1">
      <c r="B8" s="284" t="s">
        <v>30</v>
      </c>
      <c r="C8" s="112" t="s">
        <v>31</v>
      </c>
      <c r="D8" s="113">
        <f>SUM(D10,D12,D14,D16,D18,D20,D22,D26,D24,D30,D32,D34,D36,D28)</f>
        <v>820289</v>
      </c>
      <c r="E8" s="113">
        <f>SUM(E10,E12,E14,E16,E18,E20,E22,E26,E24,E30,E32,E34,E36,E28)</f>
        <v>65757.5</v>
      </c>
      <c r="F8" s="210">
        <f>SUM(F10,F12,F14,F16,F18,F20,F22,F26,F24,F30,F32,F34,F36,F28)</f>
        <v>676353.25</v>
      </c>
      <c r="G8" s="113">
        <f>SUM(G10,G12,G14,G16,G18,G20,G22,G26,G24,G28,G32,G34,G36,G30)</f>
        <v>83786.25</v>
      </c>
      <c r="H8" s="204">
        <f>SUM(H10,H12,H14,H16,H18,H20,H22,H26,H24,H30,H32,H34,H36,H28,)</f>
        <v>749250</v>
      </c>
      <c r="I8" s="114">
        <f t="shared" ref="I8:I9" si="0">G8-E8</f>
        <v>18028.75</v>
      </c>
      <c r="J8" s="115">
        <f t="shared" ref="J8:J9" si="1">(G8/E8*100)-100</f>
        <v>27.417024673991563</v>
      </c>
      <c r="K8" s="116">
        <f t="shared" ref="K8:K9" si="2">H8-F8</f>
        <v>72896.75</v>
      </c>
      <c r="L8" s="117">
        <f t="shared" ref="L8:L9" si="3">(H8/F8*100)-100</f>
        <v>10.777910803267375</v>
      </c>
    </row>
    <row r="9" spans="1:35" ht="21.95" customHeight="1" thickBot="1">
      <c r="B9" s="285"/>
      <c r="C9" s="118" t="s">
        <v>32</v>
      </c>
      <c r="D9" s="119">
        <f>SUM(D11,D13,D15,D17,D19,D21,D23,D25,D27,D31,D33,D35,D37,D29)</f>
        <v>12332332</v>
      </c>
      <c r="E9" s="119">
        <f>SUM(E11,E13,E15,E17,E19,E21,E23,E25,E27,E31,E33,E35,E37,E29)</f>
        <v>1001105</v>
      </c>
      <c r="F9" s="211">
        <f>SUM(F11,F13,F15,F17,F19,F21,F23,F25,F27,F31,F33,F35,F37,F29)</f>
        <v>10204114</v>
      </c>
      <c r="G9" s="119">
        <f>SUM(G11,G13,G15,G17,G19,G21,G23,G25,G27,G29,G33,G35,G37,G31)</f>
        <v>1281331</v>
      </c>
      <c r="H9" s="205">
        <f>SUM(H11,H13,H15,H17,H19,H21,H23,H25,H27,H31,H33,H35,H37,H29)</f>
        <v>11359044</v>
      </c>
      <c r="I9" s="120">
        <f t="shared" si="0"/>
        <v>280226</v>
      </c>
      <c r="J9" s="121">
        <f t="shared" si="1"/>
        <v>27.991669205527899</v>
      </c>
      <c r="K9" s="122">
        <f t="shared" si="2"/>
        <v>1154930</v>
      </c>
      <c r="L9" s="123">
        <f t="shared" si="3"/>
        <v>11.318278098421871</v>
      </c>
    </row>
    <row r="10" spans="1:35" ht="21.2" customHeight="1">
      <c r="B10" s="286" t="s">
        <v>33</v>
      </c>
      <c r="C10" s="149" t="s">
        <v>31</v>
      </c>
      <c r="D10" s="174">
        <v>55094</v>
      </c>
      <c r="E10" s="150">
        <v>4181</v>
      </c>
      <c r="F10" s="212">
        <v>45751</v>
      </c>
      <c r="G10" s="194">
        <v>4504</v>
      </c>
      <c r="H10" s="194">
        <v>43934</v>
      </c>
      <c r="I10" s="168">
        <f>IFERROR(G10-E10,"-")</f>
        <v>323</v>
      </c>
      <c r="J10" s="151">
        <f>IFERROR((G10/E10*100)-100,"-")</f>
        <v>7.7254245395838268</v>
      </c>
      <c r="K10" s="152">
        <f>IFERROR(H10-F10,"-")</f>
        <v>-1817</v>
      </c>
      <c r="L10" s="153">
        <f>IFERROR((H10/F10*100)-100,"-")</f>
        <v>-3.9714978907564813</v>
      </c>
      <c r="M10" s="25"/>
      <c r="O10" s="19" t="s">
        <v>51</v>
      </c>
      <c r="U10" s="147"/>
      <c r="V10" s="147"/>
    </row>
    <row r="11" spans="1:35" ht="21.2" customHeight="1">
      <c r="B11" s="287"/>
      <c r="C11" s="164" t="s">
        <v>32</v>
      </c>
      <c r="D11" s="175">
        <v>1043982</v>
      </c>
      <c r="E11" s="171">
        <v>81958</v>
      </c>
      <c r="F11" s="213">
        <v>867130</v>
      </c>
      <c r="G11" s="195">
        <v>84583</v>
      </c>
      <c r="H11" s="195">
        <v>816010</v>
      </c>
      <c r="I11" s="169">
        <f t="shared" ref="I11:I12" si="4">IFERROR(G11-E11,"-")</f>
        <v>2625</v>
      </c>
      <c r="J11" s="165">
        <f t="shared" ref="J11:J37" si="5">IFERROR((G11/E11*100)-100,"-")</f>
        <v>3.2028600014641739</v>
      </c>
      <c r="K11" s="166">
        <f t="shared" ref="K11:K37" si="6">IFERROR(H11-F11,"-")</f>
        <v>-51120</v>
      </c>
      <c r="L11" s="167">
        <f t="shared" ref="L11:L37" si="7">IFERROR((H11/F11*100)-100,"-")</f>
        <v>-5.8953098151372956</v>
      </c>
      <c r="O11" s="19" t="s">
        <v>51</v>
      </c>
      <c r="U11" s="147"/>
      <c r="V11" s="147"/>
    </row>
    <row r="12" spans="1:35" ht="21.2" customHeight="1">
      <c r="B12" s="287" t="s">
        <v>34</v>
      </c>
      <c r="C12" s="124" t="s">
        <v>31</v>
      </c>
      <c r="D12" s="176">
        <v>45643</v>
      </c>
      <c r="E12" s="172">
        <v>3182.5</v>
      </c>
      <c r="F12" s="214">
        <v>37508.75</v>
      </c>
      <c r="G12" s="196">
        <v>6053.75</v>
      </c>
      <c r="H12" s="196">
        <v>44327.5</v>
      </c>
      <c r="I12" s="170">
        <f t="shared" si="4"/>
        <v>2871.25</v>
      </c>
      <c r="J12" s="126">
        <f t="shared" si="5"/>
        <v>90.219952867242739</v>
      </c>
      <c r="K12" s="127">
        <f t="shared" si="6"/>
        <v>6818.75</v>
      </c>
      <c r="L12" s="128">
        <f t="shared" si="7"/>
        <v>18.179091545306107</v>
      </c>
      <c r="O12" s="19" t="s">
        <v>52</v>
      </c>
      <c r="U12" s="147"/>
      <c r="V12" s="147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7"/>
      <c r="C13" s="164" t="s">
        <v>32</v>
      </c>
      <c r="D13" s="175">
        <v>634252</v>
      </c>
      <c r="E13" s="171">
        <v>43218</v>
      </c>
      <c r="F13" s="213">
        <v>521198</v>
      </c>
      <c r="G13" s="195">
        <v>88309</v>
      </c>
      <c r="H13" s="195">
        <v>629029</v>
      </c>
      <c r="I13" s="169">
        <f>IFERROR(G13-E13,"-")</f>
        <v>45091</v>
      </c>
      <c r="J13" s="165">
        <f t="shared" si="5"/>
        <v>104.33384238048959</v>
      </c>
      <c r="K13" s="166">
        <f t="shared" si="6"/>
        <v>107831</v>
      </c>
      <c r="L13" s="167">
        <f t="shared" si="7"/>
        <v>20.689066343309065</v>
      </c>
      <c r="O13" s="19" t="s">
        <v>52</v>
      </c>
      <c r="U13" s="147"/>
      <c r="V13" s="147"/>
      <c r="AC13" s="28" t="s">
        <v>82</v>
      </c>
      <c r="AD13" s="30">
        <f>E10+E12</f>
        <v>7363.5</v>
      </c>
      <c r="AE13" s="30">
        <f>F10+F12</f>
        <v>83259.75</v>
      </c>
      <c r="AF13" s="30">
        <f>G10+G12</f>
        <v>10557.75</v>
      </c>
      <c r="AG13" s="30">
        <f>H10+H12</f>
        <v>88261.5</v>
      </c>
      <c r="AH13" s="31">
        <f t="shared" ref="AH13:AI15" si="8">(AF13/AD13*100)-100</f>
        <v>43.37950702790792</v>
      </c>
      <c r="AI13" s="31">
        <f t="shared" si="8"/>
        <v>6.0074045382072256</v>
      </c>
    </row>
    <row r="14" spans="1:35" ht="21.2" customHeight="1">
      <c r="B14" s="287" t="s">
        <v>72</v>
      </c>
      <c r="C14" s="124" t="s">
        <v>31</v>
      </c>
      <c r="D14" s="176">
        <v>0</v>
      </c>
      <c r="E14" s="129">
        <v>0</v>
      </c>
      <c r="F14" s="215">
        <v>0</v>
      </c>
      <c r="G14" s="215">
        <v>9</v>
      </c>
      <c r="H14" s="129">
        <v>9</v>
      </c>
      <c r="I14" s="217">
        <f>IFERROR(G14-E14,"-")</f>
        <v>9</v>
      </c>
      <c r="J14" s="126" t="str">
        <f t="shared" si="5"/>
        <v>-</v>
      </c>
      <c r="K14" s="127">
        <f t="shared" si="6"/>
        <v>9</v>
      </c>
      <c r="L14" s="128" t="str">
        <f t="shared" si="7"/>
        <v>-</v>
      </c>
      <c r="O14" s="19" t="s">
        <v>73</v>
      </c>
      <c r="U14" s="147"/>
      <c r="V14" s="147"/>
      <c r="AC14" s="28" t="s">
        <v>83</v>
      </c>
      <c r="AD14" s="30">
        <f>E18+E20+E22</f>
        <v>39152</v>
      </c>
      <c r="AE14" s="30">
        <f>F18+F20+F22</f>
        <v>409011.5</v>
      </c>
      <c r="AF14" s="30">
        <f>G18+G20+G22</f>
        <v>45099.5</v>
      </c>
      <c r="AG14" s="30">
        <f>H18+H20+H22</f>
        <v>444862.5</v>
      </c>
      <c r="AH14" s="31">
        <f t="shared" si="8"/>
        <v>15.190794850837761</v>
      </c>
      <c r="AI14" s="31">
        <f t="shared" si="8"/>
        <v>8.7652792158655615</v>
      </c>
    </row>
    <row r="15" spans="1:35" ht="21.2" customHeight="1">
      <c r="B15" s="287"/>
      <c r="C15" s="98" t="s">
        <v>32</v>
      </c>
      <c r="D15" s="175">
        <v>0</v>
      </c>
      <c r="E15" s="175">
        <v>0</v>
      </c>
      <c r="F15" s="175">
        <v>0</v>
      </c>
      <c r="G15" s="175">
        <v>213</v>
      </c>
      <c r="H15" s="175">
        <v>213</v>
      </c>
      <c r="I15" s="169">
        <f t="shared" ref="I15:I37" si="9">IFERROR(G15-E15,"-")</f>
        <v>213</v>
      </c>
      <c r="J15" s="99" t="str">
        <f t="shared" si="5"/>
        <v>-</v>
      </c>
      <c r="K15" s="100">
        <f t="shared" si="6"/>
        <v>213</v>
      </c>
      <c r="L15" s="103" t="str">
        <f t="shared" si="7"/>
        <v>-</v>
      </c>
      <c r="O15" s="19" t="s">
        <v>73</v>
      </c>
      <c r="AC15" s="28" t="s">
        <v>76</v>
      </c>
      <c r="AD15" s="30">
        <f>E32+E34+E36</f>
        <v>19242</v>
      </c>
      <c r="AE15" s="30">
        <f>F32+F34+F36</f>
        <v>184082</v>
      </c>
      <c r="AF15" s="30">
        <f>G32+G34+G36</f>
        <v>28120</v>
      </c>
      <c r="AG15" s="30">
        <f>H32+H34+H36</f>
        <v>215861</v>
      </c>
      <c r="AH15" s="31">
        <f t="shared" si="8"/>
        <v>46.138655025465113</v>
      </c>
      <c r="AI15" s="31">
        <f t="shared" si="8"/>
        <v>17.263502134918141</v>
      </c>
    </row>
    <row r="16" spans="1:35" ht="21.2" customHeight="1">
      <c r="B16" s="287" t="s">
        <v>46</v>
      </c>
      <c r="C16" s="124" t="s">
        <v>31</v>
      </c>
      <c r="D16" s="129">
        <v>0</v>
      </c>
      <c r="E16" s="129">
        <v>0</v>
      </c>
      <c r="F16" s="129">
        <v>0</v>
      </c>
      <c r="G16" s="215">
        <v>0</v>
      </c>
      <c r="H16" s="197">
        <v>212</v>
      </c>
      <c r="I16" s="217">
        <f t="shared" si="9"/>
        <v>0</v>
      </c>
      <c r="J16" s="126" t="str">
        <f t="shared" si="5"/>
        <v>-</v>
      </c>
      <c r="K16" s="127">
        <f t="shared" si="6"/>
        <v>212</v>
      </c>
      <c r="L16" s="128" t="str">
        <f t="shared" si="7"/>
        <v>-</v>
      </c>
      <c r="O16" s="19" t="s">
        <v>53</v>
      </c>
    </row>
    <row r="17" spans="2:15" ht="21.2" customHeight="1">
      <c r="B17" s="287"/>
      <c r="C17" s="98" t="s">
        <v>45</v>
      </c>
      <c r="D17" s="101">
        <v>0</v>
      </c>
      <c r="E17" s="175">
        <v>0</v>
      </c>
      <c r="F17" s="175">
        <v>0</v>
      </c>
      <c r="G17" s="175">
        <v>0</v>
      </c>
      <c r="H17" s="198">
        <v>5372</v>
      </c>
      <c r="I17" s="169">
        <f t="shared" si="9"/>
        <v>0</v>
      </c>
      <c r="J17" s="99" t="str">
        <f t="shared" si="5"/>
        <v>-</v>
      </c>
      <c r="K17" s="100">
        <f t="shared" si="6"/>
        <v>5372</v>
      </c>
      <c r="L17" s="103" t="str">
        <f t="shared" si="7"/>
        <v>-</v>
      </c>
      <c r="O17" s="19" t="s">
        <v>53</v>
      </c>
    </row>
    <row r="18" spans="2:15" ht="21.2" customHeight="1">
      <c r="B18" s="287" t="s">
        <v>35</v>
      </c>
      <c r="C18" s="124" t="s">
        <v>31</v>
      </c>
      <c r="D18" s="176">
        <v>128500</v>
      </c>
      <c r="E18" s="125">
        <v>8672</v>
      </c>
      <c r="F18" s="215">
        <v>104699.5</v>
      </c>
      <c r="G18" s="197">
        <v>11696.5</v>
      </c>
      <c r="H18" s="199">
        <v>115091.75</v>
      </c>
      <c r="I18" s="217">
        <f t="shared" si="9"/>
        <v>3024.5</v>
      </c>
      <c r="J18" s="126">
        <f t="shared" si="5"/>
        <v>34.876614391143903</v>
      </c>
      <c r="K18" s="127">
        <f t="shared" si="6"/>
        <v>10392.25</v>
      </c>
      <c r="L18" s="128">
        <f t="shared" si="7"/>
        <v>9.9257876112111205</v>
      </c>
      <c r="M18" s="25"/>
      <c r="O18" s="19" t="s">
        <v>54</v>
      </c>
    </row>
    <row r="19" spans="2:15" ht="21.2" customHeight="1">
      <c r="B19" s="287"/>
      <c r="C19" s="98" t="s">
        <v>32</v>
      </c>
      <c r="D19" s="175">
        <v>2073957</v>
      </c>
      <c r="E19" s="173">
        <v>161847</v>
      </c>
      <c r="F19" s="213">
        <v>1699066</v>
      </c>
      <c r="G19" s="198">
        <v>205777</v>
      </c>
      <c r="H19" s="195">
        <v>1883681</v>
      </c>
      <c r="I19" s="169">
        <f t="shared" si="9"/>
        <v>43930</v>
      </c>
      <c r="J19" s="99">
        <f t="shared" si="5"/>
        <v>27.142918929606367</v>
      </c>
      <c r="K19" s="100">
        <f t="shared" si="6"/>
        <v>184615</v>
      </c>
      <c r="L19" s="103">
        <f t="shared" si="7"/>
        <v>10.865675612365848</v>
      </c>
      <c r="O19" s="19" t="s">
        <v>55</v>
      </c>
    </row>
    <row r="20" spans="2:15" ht="21.2" customHeight="1">
      <c r="B20" s="287" t="s">
        <v>42</v>
      </c>
      <c r="C20" s="124" t="s">
        <v>31</v>
      </c>
      <c r="D20" s="176">
        <v>206337</v>
      </c>
      <c r="E20" s="125">
        <v>15627</v>
      </c>
      <c r="F20" s="215">
        <v>167660.5</v>
      </c>
      <c r="G20" s="197">
        <v>18851.5</v>
      </c>
      <c r="H20" s="199">
        <v>193958</v>
      </c>
      <c r="I20" s="217">
        <f t="shared" si="9"/>
        <v>3224.5</v>
      </c>
      <c r="J20" s="126">
        <f t="shared" si="5"/>
        <v>20.634158827670063</v>
      </c>
      <c r="K20" s="127">
        <f t="shared" si="6"/>
        <v>26297.5</v>
      </c>
      <c r="L20" s="128">
        <f t="shared" si="7"/>
        <v>15.684970520784574</v>
      </c>
      <c r="O20" s="19" t="s">
        <v>56</v>
      </c>
    </row>
    <row r="21" spans="2:15" ht="21.2" customHeight="1">
      <c r="B21" s="287"/>
      <c r="C21" s="98" t="s">
        <v>32</v>
      </c>
      <c r="D21" s="175">
        <v>2793148</v>
      </c>
      <c r="E21" s="173">
        <v>203734</v>
      </c>
      <c r="F21" s="213">
        <v>2265332</v>
      </c>
      <c r="G21" s="198">
        <v>273477</v>
      </c>
      <c r="H21" s="195">
        <v>2661365</v>
      </c>
      <c r="I21" s="169">
        <f t="shared" si="9"/>
        <v>69743</v>
      </c>
      <c r="J21" s="99">
        <f t="shared" si="5"/>
        <v>34.232381438542404</v>
      </c>
      <c r="K21" s="100">
        <f t="shared" si="6"/>
        <v>396033</v>
      </c>
      <c r="L21" s="103">
        <f t="shared" si="7"/>
        <v>17.482338129686951</v>
      </c>
      <c r="O21" s="19" t="s">
        <v>57</v>
      </c>
    </row>
    <row r="22" spans="2:15" ht="21.2" customHeight="1">
      <c r="B22" s="287" t="s">
        <v>36</v>
      </c>
      <c r="C22" s="124" t="s">
        <v>31</v>
      </c>
      <c r="D22" s="176">
        <v>160865</v>
      </c>
      <c r="E22" s="125">
        <v>14853</v>
      </c>
      <c r="F22" s="215">
        <v>136651.5</v>
      </c>
      <c r="G22" s="197">
        <v>14551.5</v>
      </c>
      <c r="H22" s="199">
        <v>135812.75</v>
      </c>
      <c r="I22" s="217">
        <f t="shared" si="9"/>
        <v>-301.5</v>
      </c>
      <c r="J22" s="126">
        <f t="shared" si="5"/>
        <v>-2.029892950919006</v>
      </c>
      <c r="K22" s="127">
        <f t="shared" si="6"/>
        <v>-838.75</v>
      </c>
      <c r="L22" s="128">
        <f>IFERROR((H22/F22*100)-100,"-")</f>
        <v>-0.6137876276513623</v>
      </c>
      <c r="O22" s="19" t="s">
        <v>58</v>
      </c>
    </row>
    <row r="23" spans="2:15" ht="21.2" customHeight="1">
      <c r="B23" s="287"/>
      <c r="C23" s="98" t="s">
        <v>32</v>
      </c>
      <c r="D23" s="175">
        <v>2398781</v>
      </c>
      <c r="E23" s="173">
        <v>215229</v>
      </c>
      <c r="F23" s="213">
        <v>2061498</v>
      </c>
      <c r="G23" s="198">
        <v>215558</v>
      </c>
      <c r="H23" s="195">
        <v>2136369</v>
      </c>
      <c r="I23" s="169">
        <f t="shared" si="9"/>
        <v>329</v>
      </c>
      <c r="J23" s="99">
        <f t="shared" si="5"/>
        <v>0.15286044166910528</v>
      </c>
      <c r="K23" s="100">
        <f t="shared" si="6"/>
        <v>74871</v>
      </c>
      <c r="L23" s="103">
        <f t="shared" si="7"/>
        <v>3.6318735210997062</v>
      </c>
      <c r="O23" s="19" t="s">
        <v>59</v>
      </c>
    </row>
    <row r="24" spans="2:15" ht="21.2" customHeight="1">
      <c r="B24" s="287" t="s">
        <v>48</v>
      </c>
      <c r="C24" s="124" t="s">
        <v>31</v>
      </c>
      <c r="D24" s="129">
        <v>0</v>
      </c>
      <c r="E24" s="129">
        <v>0</v>
      </c>
      <c r="F24" s="129">
        <v>0</v>
      </c>
      <c r="G24" s="215">
        <v>0</v>
      </c>
      <c r="H24" s="197">
        <v>8</v>
      </c>
      <c r="I24" s="217">
        <f t="shared" si="9"/>
        <v>0</v>
      </c>
      <c r="J24" s="126" t="str">
        <f>IFERROR((G24/E24*100)-100,"-")</f>
        <v>-</v>
      </c>
      <c r="K24" s="127">
        <f t="shared" si="6"/>
        <v>8</v>
      </c>
      <c r="L24" s="128" t="str">
        <f t="shared" si="7"/>
        <v>-</v>
      </c>
      <c r="O24" s="19" t="s">
        <v>60</v>
      </c>
    </row>
    <row r="25" spans="2:15" ht="21.2" customHeight="1">
      <c r="B25" s="287"/>
      <c r="C25" s="102" t="s">
        <v>32</v>
      </c>
      <c r="D25" s="101">
        <v>0</v>
      </c>
      <c r="E25" s="175">
        <v>0</v>
      </c>
      <c r="F25" s="175">
        <v>0</v>
      </c>
      <c r="G25" s="175">
        <v>0</v>
      </c>
      <c r="H25" s="198">
        <v>175</v>
      </c>
      <c r="I25" s="169">
        <f t="shared" si="9"/>
        <v>0</v>
      </c>
      <c r="J25" s="99" t="str">
        <f>IFERROR((G25/E25*100)-100,"-")</f>
        <v>-</v>
      </c>
      <c r="K25" s="100">
        <f t="shared" si="6"/>
        <v>175</v>
      </c>
      <c r="L25" s="103" t="str">
        <f t="shared" si="7"/>
        <v>-</v>
      </c>
      <c r="O25" s="19" t="s">
        <v>61</v>
      </c>
    </row>
    <row r="26" spans="2:15" ht="21.2" customHeight="1">
      <c r="B26" s="287" t="s">
        <v>71</v>
      </c>
      <c r="C26" s="124" t="s">
        <v>31</v>
      </c>
      <c r="D26" s="129">
        <v>0</v>
      </c>
      <c r="E26" s="129">
        <v>0</v>
      </c>
      <c r="F26" s="129">
        <v>0</v>
      </c>
      <c r="G26" s="215">
        <v>0</v>
      </c>
      <c r="H26" s="129">
        <v>0</v>
      </c>
      <c r="I26" s="217">
        <f t="shared" si="9"/>
        <v>0</v>
      </c>
      <c r="J26" s="126" t="str">
        <f t="shared" si="5"/>
        <v>-</v>
      </c>
      <c r="K26" s="127">
        <f t="shared" si="6"/>
        <v>0</v>
      </c>
      <c r="L26" s="128" t="str">
        <f t="shared" si="7"/>
        <v>-</v>
      </c>
      <c r="O26" s="19" t="s">
        <v>74</v>
      </c>
    </row>
    <row r="27" spans="2:15" ht="21.2" customHeight="1">
      <c r="B27" s="287"/>
      <c r="C27" s="98" t="s">
        <v>32</v>
      </c>
      <c r="D27" s="101">
        <v>0</v>
      </c>
      <c r="E27" s="175">
        <v>0</v>
      </c>
      <c r="F27" s="175">
        <v>0</v>
      </c>
      <c r="G27" s="175">
        <v>0</v>
      </c>
      <c r="H27" s="175">
        <v>0</v>
      </c>
      <c r="I27" s="169">
        <f t="shared" si="9"/>
        <v>0</v>
      </c>
      <c r="J27" s="99" t="str">
        <f t="shared" si="5"/>
        <v>-</v>
      </c>
      <c r="K27" s="100">
        <f t="shared" si="6"/>
        <v>0</v>
      </c>
      <c r="L27" s="103" t="str">
        <f t="shared" si="7"/>
        <v>-</v>
      </c>
      <c r="O27" s="19" t="s">
        <v>74</v>
      </c>
    </row>
    <row r="28" spans="2:15" ht="21.2" customHeight="1">
      <c r="B28" s="287" t="s">
        <v>43</v>
      </c>
      <c r="C28" s="124" t="s">
        <v>44</v>
      </c>
      <c r="D28" s="176">
        <v>0</v>
      </c>
      <c r="E28" s="129">
        <v>0</v>
      </c>
      <c r="F28" s="129">
        <v>0</v>
      </c>
      <c r="G28" s="215">
        <v>0</v>
      </c>
      <c r="H28" s="197">
        <v>36</v>
      </c>
      <c r="I28" s="217">
        <f>IFERROR(G28-E28,"-")</f>
        <v>0</v>
      </c>
      <c r="J28" s="126" t="str">
        <f>IFERROR((#REF!/E28*100)-100,"-")</f>
        <v>-</v>
      </c>
      <c r="K28" s="127">
        <f t="shared" si="6"/>
        <v>36</v>
      </c>
      <c r="L28" s="128" t="str">
        <f>IFERROR((H28/F28*100)-100,"-")</f>
        <v>-</v>
      </c>
      <c r="O28" s="19" t="s">
        <v>62</v>
      </c>
    </row>
    <row r="29" spans="2:15" ht="21.2" customHeight="1">
      <c r="B29" s="287"/>
      <c r="C29" s="98" t="s">
        <v>45</v>
      </c>
      <c r="D29" s="175">
        <v>0</v>
      </c>
      <c r="E29" s="175">
        <v>0</v>
      </c>
      <c r="F29" s="175">
        <v>0</v>
      </c>
      <c r="G29" s="175">
        <v>0</v>
      </c>
      <c r="H29" s="198">
        <v>956</v>
      </c>
      <c r="I29" s="169">
        <f t="shared" si="9"/>
        <v>0</v>
      </c>
      <c r="J29" s="99" t="str">
        <f>IFERROR((#REF!/E29*100)-100,"-")</f>
        <v>-</v>
      </c>
      <c r="K29" s="100">
        <f t="shared" si="6"/>
        <v>956</v>
      </c>
      <c r="L29" s="103" t="str">
        <f t="shared" si="7"/>
        <v>-</v>
      </c>
      <c r="O29" s="19" t="s">
        <v>62</v>
      </c>
    </row>
    <row r="30" spans="2:15" ht="21.2" customHeight="1">
      <c r="B30" s="287" t="s">
        <v>38</v>
      </c>
      <c r="C30" s="124" t="s">
        <v>31</v>
      </c>
      <c r="D30" s="176">
        <v>0</v>
      </c>
      <c r="E30" s="129">
        <v>0</v>
      </c>
      <c r="F30" s="129">
        <v>0</v>
      </c>
      <c r="G30" s="215">
        <v>0</v>
      </c>
      <c r="H30" s="129">
        <v>0</v>
      </c>
      <c r="I30" s="217">
        <f t="shared" si="9"/>
        <v>0</v>
      </c>
      <c r="J30" s="126" t="str">
        <f>IFERROR((G28/E30*100)-100,"-")</f>
        <v>-</v>
      </c>
      <c r="K30" s="127">
        <f>IFERROR(H30-F30,"-")</f>
        <v>0</v>
      </c>
      <c r="L30" s="128" t="str">
        <f t="shared" si="7"/>
        <v>-</v>
      </c>
      <c r="O30" s="19" t="s">
        <v>63</v>
      </c>
    </row>
    <row r="31" spans="2:15" ht="21.2" customHeight="1">
      <c r="B31" s="287"/>
      <c r="C31" s="98" t="s">
        <v>32</v>
      </c>
      <c r="D31" s="175">
        <v>0</v>
      </c>
      <c r="E31" s="175">
        <v>0</v>
      </c>
      <c r="F31" s="175">
        <v>0</v>
      </c>
      <c r="G31" s="175">
        <v>0</v>
      </c>
      <c r="H31" s="175">
        <v>0</v>
      </c>
      <c r="I31" s="169">
        <f t="shared" si="9"/>
        <v>0</v>
      </c>
      <c r="J31" s="99" t="str">
        <f>IFERROR((G29/E31*100)-100,"-")</f>
        <v>-</v>
      </c>
      <c r="K31" s="100">
        <f t="shared" si="6"/>
        <v>0</v>
      </c>
      <c r="L31" s="103" t="str">
        <f t="shared" si="7"/>
        <v>-</v>
      </c>
      <c r="O31" s="19" t="s">
        <v>64</v>
      </c>
    </row>
    <row r="32" spans="2:15" ht="21.2" customHeight="1">
      <c r="B32" s="287" t="s">
        <v>39</v>
      </c>
      <c r="C32" s="124" t="s">
        <v>31</v>
      </c>
      <c r="D32" s="176">
        <v>53812</v>
      </c>
      <c r="E32" s="125">
        <v>4676</v>
      </c>
      <c r="F32" s="215">
        <v>44735</v>
      </c>
      <c r="G32" s="197">
        <v>8246</v>
      </c>
      <c r="H32" s="199">
        <v>61883</v>
      </c>
      <c r="I32" s="217">
        <f t="shared" si="9"/>
        <v>3570</v>
      </c>
      <c r="J32" s="126">
        <f t="shared" si="5"/>
        <v>76.34730538922156</v>
      </c>
      <c r="K32" s="127">
        <f t="shared" si="6"/>
        <v>17148</v>
      </c>
      <c r="L32" s="128">
        <f t="shared" si="7"/>
        <v>38.332401922432098</v>
      </c>
      <c r="O32" s="19" t="s">
        <v>65</v>
      </c>
    </row>
    <row r="33" spans="2:15" ht="21.2" customHeight="1">
      <c r="B33" s="287"/>
      <c r="C33" s="98" t="s">
        <v>32</v>
      </c>
      <c r="D33" s="175">
        <v>904930</v>
      </c>
      <c r="E33" s="175">
        <v>78305</v>
      </c>
      <c r="F33" s="213">
        <v>753354</v>
      </c>
      <c r="G33" s="198">
        <v>137000</v>
      </c>
      <c r="H33" s="195">
        <v>996063</v>
      </c>
      <c r="I33" s="169">
        <f t="shared" si="9"/>
        <v>58695</v>
      </c>
      <c r="J33" s="99">
        <f t="shared" si="5"/>
        <v>74.956899304003571</v>
      </c>
      <c r="K33" s="100">
        <f t="shared" si="6"/>
        <v>242709</v>
      </c>
      <c r="L33" s="103">
        <f t="shared" si="7"/>
        <v>32.217125016924314</v>
      </c>
      <c r="O33" s="19" t="s">
        <v>66</v>
      </c>
    </row>
    <row r="34" spans="2:15" ht="21.2" customHeight="1">
      <c r="B34" s="287" t="s">
        <v>40</v>
      </c>
      <c r="C34" s="124" t="s">
        <v>31</v>
      </c>
      <c r="D34" s="176">
        <v>123326</v>
      </c>
      <c r="E34" s="125">
        <v>10675</v>
      </c>
      <c r="F34" s="215">
        <v>99929</v>
      </c>
      <c r="G34" s="197">
        <v>14448</v>
      </c>
      <c r="H34" s="199">
        <v>115729</v>
      </c>
      <c r="I34" s="217">
        <f t="shared" si="9"/>
        <v>3773</v>
      </c>
      <c r="J34" s="126">
        <f t="shared" si="5"/>
        <v>35.344262295081961</v>
      </c>
      <c r="K34" s="127">
        <f t="shared" si="6"/>
        <v>15800</v>
      </c>
      <c r="L34" s="128">
        <f t="shared" si="7"/>
        <v>15.811225970438997</v>
      </c>
      <c r="O34" s="19" t="s">
        <v>67</v>
      </c>
    </row>
    <row r="35" spans="2:15" ht="21.2" customHeight="1">
      <c r="B35" s="287"/>
      <c r="C35" s="98" t="s">
        <v>32</v>
      </c>
      <c r="D35" s="175">
        <v>1781224</v>
      </c>
      <c r="E35" s="175">
        <v>160516</v>
      </c>
      <c r="F35" s="213">
        <v>1442418</v>
      </c>
      <c r="G35" s="198">
        <v>210711</v>
      </c>
      <c r="H35" s="195">
        <v>1662936</v>
      </c>
      <c r="I35" s="169">
        <f t="shared" si="9"/>
        <v>50195</v>
      </c>
      <c r="J35" s="99">
        <f t="shared" si="5"/>
        <v>31.27102594133919</v>
      </c>
      <c r="K35" s="100">
        <f t="shared" si="6"/>
        <v>220518</v>
      </c>
      <c r="L35" s="103">
        <f t="shared" si="7"/>
        <v>15.28807876773584</v>
      </c>
      <c r="O35" s="19" t="s">
        <v>68</v>
      </c>
    </row>
    <row r="36" spans="2:15" ht="21.2" customHeight="1">
      <c r="B36" s="287" t="s">
        <v>41</v>
      </c>
      <c r="C36" s="124" t="s">
        <v>31</v>
      </c>
      <c r="D36" s="176">
        <v>46712</v>
      </c>
      <c r="E36" s="125">
        <v>3891</v>
      </c>
      <c r="F36" s="215">
        <v>39418</v>
      </c>
      <c r="G36" s="197">
        <v>5426</v>
      </c>
      <c r="H36" s="199">
        <v>38249</v>
      </c>
      <c r="I36" s="217">
        <f t="shared" si="9"/>
        <v>1535</v>
      </c>
      <c r="J36" s="126">
        <f t="shared" si="5"/>
        <v>39.450012850167042</v>
      </c>
      <c r="K36" s="127">
        <f t="shared" si="6"/>
        <v>-1169</v>
      </c>
      <c r="L36" s="128">
        <f t="shared" si="7"/>
        <v>-2.9656502105636946</v>
      </c>
      <c r="O36" s="19" t="s">
        <v>69</v>
      </c>
    </row>
    <row r="37" spans="2:15" ht="21.2" customHeight="1">
      <c r="B37" s="293"/>
      <c r="C37" s="104" t="s">
        <v>32</v>
      </c>
      <c r="D37" s="177">
        <v>702058</v>
      </c>
      <c r="E37" s="177">
        <v>56298</v>
      </c>
      <c r="F37" s="216">
        <v>594118</v>
      </c>
      <c r="G37" s="200">
        <v>65703</v>
      </c>
      <c r="H37" s="201">
        <v>566875</v>
      </c>
      <c r="I37" s="182">
        <f t="shared" si="9"/>
        <v>9405</v>
      </c>
      <c r="J37" s="105">
        <f t="shared" si="5"/>
        <v>16.705744431418523</v>
      </c>
      <c r="K37" s="106">
        <f t="shared" si="6"/>
        <v>-27243</v>
      </c>
      <c r="L37" s="107">
        <f t="shared" si="7"/>
        <v>-4.585452721513235</v>
      </c>
      <c r="O37" s="19" t="s">
        <v>70</v>
      </c>
    </row>
    <row r="38" spans="2:15" ht="21.2" customHeight="1">
      <c r="E38" s="19"/>
      <c r="H38" s="203"/>
    </row>
    <row r="39" spans="2:15" ht="21.2" customHeight="1">
      <c r="E39" s="19"/>
      <c r="H39" s="203"/>
    </row>
    <row r="40" spans="2:15">
      <c r="E40" s="19"/>
      <c r="H40" s="203"/>
    </row>
    <row r="41" spans="2:15">
      <c r="E41" s="19"/>
      <c r="H41" s="203"/>
    </row>
    <row r="42" spans="2:15">
      <c r="E42" s="19"/>
      <c r="H42" s="203"/>
    </row>
    <row r="43" spans="2:15">
      <c r="E43" s="19"/>
      <c r="H43" s="203"/>
    </row>
    <row r="44" spans="2:15">
      <c r="E44" s="19"/>
      <c r="H44" s="203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2024-12-10T01:48:12Z</dcterms:modified>
</cp:coreProperties>
</file>