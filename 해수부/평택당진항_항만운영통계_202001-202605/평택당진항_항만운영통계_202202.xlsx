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7275" yWindow="780" windowWidth="17280" windowHeight="89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" i="33" l="1"/>
  <c r="M33" i="32" l="1"/>
  <c r="H11" i="21" l="1"/>
  <c r="I15" i="21" l="1"/>
  <c r="I11" i="21"/>
  <c r="H15" i="21"/>
  <c r="H10" i="21" s="1"/>
  <c r="I10" i="21" l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I4" i="32"/>
  <c r="H4" i="32"/>
  <c r="G4" i="32"/>
  <c r="F4" i="32"/>
  <c r="I5" i="32" l="1"/>
  <c r="H5" i="32"/>
  <c r="G5" i="32"/>
  <c r="F5" i="32"/>
  <c r="E5" i="32"/>
  <c r="E4" i="32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AA7" i="33" l="1"/>
  <c r="N6" i="33"/>
  <c r="G6" i="33"/>
  <c r="N3" i="33"/>
  <c r="I3" i="32" l="1"/>
  <c r="H3" i="32"/>
  <c r="G3" i="32"/>
  <c r="E7" i="21" l="1"/>
  <c r="L28" i="21" l="1"/>
  <c r="J28" i="21"/>
  <c r="K28" i="21"/>
  <c r="L26" i="21"/>
  <c r="L27" i="21"/>
  <c r="L18" i="21"/>
  <c r="J11" i="21" l="1"/>
  <c r="J22" i="21" l="1"/>
  <c r="J23" i="21"/>
  <c r="J24" i="21"/>
  <c r="J26" i="21"/>
  <c r="J27" i="21"/>
  <c r="J16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<sst xmlns="http://schemas.openxmlformats.org/spreadsheetml/2006/main" count="157" uniqueCount="105">
  <si>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</si>
  <si>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</si>
  <si>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</si>
  <si>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</si>
  <si>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</si>
  <si>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</si>
  <si>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</si>
  <si>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6" type="noConversion"/>
  </si>
  <si>
    <t xml:space="preserve"> 합  계</t>
    <phoneticPr fontId="6" type="noConversion"/>
  </si>
  <si>
    <t xml:space="preserve"> 외  항</t>
    <phoneticPr fontId="6" type="noConversion"/>
  </si>
  <si>
    <t xml:space="preserve"> 내  항</t>
    <phoneticPr fontId="6" type="noConversion"/>
  </si>
  <si>
    <t>연간누계</t>
    <phoneticPr fontId="6" type="noConversion"/>
  </si>
  <si>
    <t>계</t>
    <phoneticPr fontId="6" type="noConversion"/>
  </si>
  <si>
    <t>환적</t>
    <phoneticPr fontId="6" type="noConversion"/>
  </si>
  <si>
    <t>수출</t>
    <phoneticPr fontId="6" type="noConversion"/>
  </si>
  <si>
    <t>전년동기대비</t>
    <phoneticPr fontId="6" type="noConversion"/>
  </si>
  <si>
    <t>(%)</t>
    <phoneticPr fontId="6" type="noConversion"/>
  </si>
  <si>
    <t>환적</t>
    <phoneticPr fontId="6" type="noConversion"/>
  </si>
  <si>
    <t>D-B</t>
    <phoneticPr fontId="6" type="noConversion"/>
  </si>
  <si>
    <t>컨테</t>
    <phoneticPr fontId="6" type="noConversion"/>
  </si>
  <si>
    <t>이너</t>
    <phoneticPr fontId="6" type="noConversion"/>
  </si>
  <si>
    <t>선박</t>
    <phoneticPr fontId="6" type="noConversion"/>
  </si>
  <si>
    <t>화물</t>
    <phoneticPr fontId="6" type="noConversion"/>
  </si>
  <si>
    <t>(단위:TEU, 100% 기준)</t>
    <phoneticPr fontId="6" type="noConversion"/>
  </si>
  <si>
    <t>(화물)</t>
    <phoneticPr fontId="6" type="noConversion"/>
  </si>
  <si>
    <t xml:space="preserve">   (컨테이너)</t>
    <phoneticPr fontId="6" type="noConversion"/>
  </si>
  <si>
    <t>(평택·당진항)</t>
    <phoneticPr fontId="6" type="noConversion"/>
  </si>
  <si>
    <t xml:space="preserve">  □ 전년 동기대비 비교표</t>
    <phoneticPr fontId="6" type="noConversion"/>
  </si>
  <si>
    <t>■ 연도별 수송실적</t>
    <phoneticPr fontId="22" type="noConversion"/>
  </si>
  <si>
    <t>(단위 : 천톤)</t>
    <phoneticPr fontId="6" type="noConversion"/>
  </si>
  <si>
    <t xml:space="preserve">구분 </t>
    <phoneticPr fontId="6" type="noConversion"/>
  </si>
  <si>
    <t>선박입출항</t>
    <phoneticPr fontId="6" type="noConversion"/>
  </si>
  <si>
    <t>화물입출항</t>
    <phoneticPr fontId="6" type="noConversion"/>
  </si>
  <si>
    <t>(단위 : TEU)</t>
    <phoneticPr fontId="6" type="noConversion"/>
  </si>
  <si>
    <t>(단위 : 명)</t>
    <phoneticPr fontId="6" type="noConversion"/>
  </si>
  <si>
    <t>컨테이너</t>
    <phoneticPr fontId="6" type="noConversion"/>
  </si>
  <si>
    <t>여    객</t>
    <phoneticPr fontId="6" type="noConversion"/>
  </si>
  <si>
    <t xml:space="preserve">  □ 연도별 추이 </t>
  </si>
  <si>
    <t>□ 부두별 컨테이너 물동량</t>
    <phoneticPr fontId="6" type="noConversion"/>
  </si>
  <si>
    <t>구     분</t>
    <phoneticPr fontId="6" type="noConversion"/>
  </si>
  <si>
    <t>단위</t>
    <phoneticPr fontId="22" type="noConversion"/>
  </si>
  <si>
    <t>전년동기대비</t>
    <phoneticPr fontId="6" type="noConversion"/>
  </si>
  <si>
    <t>연간누계</t>
    <phoneticPr fontId="6" type="noConversion"/>
  </si>
  <si>
    <t>C-A</t>
    <phoneticPr fontId="6" type="noConversion"/>
  </si>
  <si>
    <t>(%)</t>
    <phoneticPr fontId="6" type="noConversion"/>
  </si>
  <si>
    <t>D-B</t>
    <phoneticPr fontId="6" type="noConversion"/>
  </si>
  <si>
    <t>합  계</t>
    <phoneticPr fontId="6" type="noConversion"/>
  </si>
  <si>
    <t>TEU</t>
    <phoneticPr fontId="22" type="noConversion"/>
  </si>
  <si>
    <t>톤</t>
    <phoneticPr fontId="22" type="noConversion"/>
  </si>
  <si>
    <t>선박입항 및 화물수송</t>
    <phoneticPr fontId="6" type="noConversion"/>
  </si>
  <si>
    <t xml:space="preserve">     (여객)</t>
    <phoneticPr fontId="6" type="noConversion"/>
  </si>
  <si>
    <t xml:space="preserve">     (화물입출항)</t>
    <phoneticPr fontId="6" type="noConversion"/>
  </si>
  <si>
    <t xml:space="preserve">   (선박입출항)</t>
    <phoneticPr fontId="6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</si>
  <si>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</si>
  <si>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</si>
  <si>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</si>
  <si>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</si>
  <si>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6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</si>
  <si>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</si>
  <si>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</si>
  <si>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</si>
  <si>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</si>
  <si>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</si>
  <si>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</si>
  <si>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</si>
  <si>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</si>
  <si>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</si>
  <si>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6" type="noConversion"/>
  </si>
  <si>
    <t>동부두 9</t>
    <phoneticPr fontId="22" type="noConversion"/>
  </si>
  <si>
    <t>소계</t>
    <phoneticPr fontId="6" type="noConversion"/>
  </si>
  <si>
    <t>(단위 : 척)</t>
    <phoneticPr fontId="6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</si>
  <si>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6" type="noConversion"/>
  </si>
  <si>
    <t>2021년도</t>
    <phoneticPr fontId="6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</si>
  <si>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</si>
  <si>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</si>
  <si>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</si>
  <si>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</si>
  <si>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</si>
  <si>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</si>
  <si>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</si>
  <si>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</si>
  <si>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</si>
  <si>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</si>
  <si>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</si>
  <si>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</si>
  <si>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</si>
  <si>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</si>
  <si>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</si>
  <si>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</si>
  <si>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</si>
  <si>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</si>
  <si>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</si>
  <si>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</si>
  <si>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</si>
  <si>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</si>
  <si>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</si>
  <si>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</si>
  <si>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2022년도</t>
    <phoneticPr fontId="6" type="noConversion"/>
  </si>
  <si>
    <t>순증</t>
    <phoneticPr fontId="22" type="noConversion"/>
  </si>
  <si>
    <t>순증</t>
    <phoneticPr fontId="6" type="noConversion"/>
  </si>
  <si>
    <t>2월(A)</t>
    <phoneticPr fontId="6" type="noConversion"/>
  </si>
  <si>
    <t>2월누계(B)</t>
    <phoneticPr fontId="6" type="noConversion"/>
  </si>
  <si>
    <t>2월(C)</t>
    <phoneticPr fontId="6" type="noConversion"/>
  </si>
  <si>
    <t>2월누계(D)</t>
    <phoneticPr fontId="6" type="noConversion"/>
  </si>
  <si>
    <t>(2022.2월분)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</si>
</sst>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</numFmts>
  <fonts count="37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3">
    <xf numFmtId="0" fontId="0" fillId="0" borderId="0"/>
    <xf numFmtId="38" fontId="7" fillId="0" borderId="0" applyFont="0" applyFill="0" applyBorder="0" applyAlignment="0" applyProtection="0"/>
    <xf numFmtId="4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10" fillId="2" borderId="0" applyNumberFormat="0" applyBorder="0" applyAlignment="0" applyProtection="0"/>
    <xf numFmtId="10" fontId="10" fillId="3" borderId="1" applyNumberFormat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8" fillId="0" borderId="0"/>
    <xf numFmtId="0" fontId="7" fillId="0" borderId="0"/>
    <xf numFmtId="10" fontId="8" fillId="0" borderId="0" applyFont="0" applyFill="0" applyBorder="0" applyAlignment="0" applyProtection="0"/>
    <xf numFmtId="9" fontId="9" fillId="0" borderId="2" applyNumberFormat="0" applyBorder="0"/>
    <xf numFmtId="176" fontId="4" fillId="0" borderId="0" applyFont="0" applyFill="0" applyBorder="0" applyAlignment="0" applyProtection="0"/>
    <xf numFmtId="0" fontId="4" fillId="0" borderId="0"/>
    <xf numFmtId="0" fontId="25" fillId="0" borderId="0">
      <alignment vertical="center"/>
    </xf>
    <xf numFmtId="0" fontId="2" fillId="0" borderId="0">
      <alignment vertical="center"/>
    </xf>
    <xf numFmtId="0" fontId="4" fillId="0" borderId="0"/>
    <xf numFmtId="176" fontId="4" fillId="0" borderId="0" applyFont="0" applyFill="0" applyBorder="0" applyAlignment="0" applyProtection="0"/>
    <xf numFmtId="0" fontId="1" fillId="0" borderId="0">
      <alignment vertical="center"/>
    </xf>
    <xf numFmtId="0" fontId="36" fillId="0" borderId="0">
      <alignment vertical="center"/>
    </xf>
  </cellStyleXfs>
  <cellXfs count="218">
    <xf numFmtId="0" fontId="0" fillId="0" borderId="0" xfId="0"/>
    <xf numFmtId="176" fontId="12" fillId="0" borderId="0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176" fontId="12" fillId="5" borderId="3" xfId="0" applyNumberFormat="1" applyFont="1" applyFill="1" applyBorder="1" applyAlignment="1">
      <alignment horizontal="right" vertical="center"/>
    </xf>
    <xf numFmtId="176" fontId="14" fillId="5" borderId="4" xfId="0" applyNumberFormat="1" applyFont="1" applyFill="1" applyBorder="1" applyAlignment="1">
      <alignment horizontal="center" vertical="center"/>
    </xf>
    <xf numFmtId="176" fontId="14" fillId="5" borderId="1" xfId="0" applyNumberFormat="1" applyFont="1" applyFill="1" applyBorder="1" applyAlignment="1">
      <alignment horizontal="center" vertical="center"/>
    </xf>
    <xf numFmtId="176" fontId="12" fillId="5" borderId="0" xfId="0" applyNumberFormat="1" applyFont="1" applyFill="1" applyBorder="1" applyAlignment="1">
      <alignment horizontal="center" vertical="center"/>
    </xf>
    <xf numFmtId="0" fontId="15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 vertical="center"/>
    </xf>
    <xf numFmtId="180" fontId="5" fillId="0" borderId="0" xfId="0" applyNumberFormat="1" applyFont="1" applyAlignment="1">
      <alignment horizontal="right" vertical="center"/>
    </xf>
    <xf numFmtId="176" fontId="13" fillId="4" borderId="3" xfId="0" applyNumberFormat="1" applyFont="1" applyFill="1" applyBorder="1" applyAlignment="1">
      <alignment horizontal="right" vertical="center"/>
    </xf>
    <xf numFmtId="176" fontId="16" fillId="4" borderId="1" xfId="0" applyNumberFormat="1" applyFont="1" applyFill="1" applyBorder="1" applyAlignment="1">
      <alignment horizontal="right" vertical="center"/>
    </xf>
    <xf numFmtId="176" fontId="12" fillId="0" borderId="0" xfId="0" applyNumberFormat="1" applyFont="1" applyBorder="1" applyAlignment="1">
      <alignment horizontal="right" vertical="center"/>
    </xf>
    <xf numFmtId="9" fontId="13" fillId="4" borderId="5" xfId="0" quotePrefix="1" applyNumberFormat="1" applyFont="1" applyFill="1" applyBorder="1" applyAlignment="1">
      <alignment horizontal="right" vertical="center"/>
    </xf>
    <xf numFmtId="176" fontId="13" fillId="5" borderId="6" xfId="0" applyNumberFormat="1" applyFont="1" applyFill="1" applyBorder="1" applyAlignment="1">
      <alignment horizontal="right" vertical="center"/>
    </xf>
    <xf numFmtId="9" fontId="12" fillId="5" borderId="5" xfId="0" quotePrefix="1" applyNumberFormat="1" applyFont="1" applyFill="1" applyBorder="1" applyAlignment="1">
      <alignment horizontal="right" vertical="center"/>
    </xf>
    <xf numFmtId="176" fontId="5" fillId="5" borderId="1" xfId="0" applyNumberFormat="1" applyFont="1" applyFill="1" applyBorder="1" applyAlignment="1">
      <alignment horizontal="right" vertical="center"/>
    </xf>
    <xf numFmtId="176" fontId="12" fillId="0" borderId="3" xfId="0" applyNumberFormat="1" applyFont="1" applyBorder="1" applyAlignment="1">
      <alignment horizontal="right" vertical="center"/>
    </xf>
    <xf numFmtId="176" fontId="12" fillId="0" borderId="3" xfId="0" applyNumberFormat="1" applyFont="1" applyFill="1" applyBorder="1" applyAlignment="1">
      <alignment horizontal="right" vertical="center"/>
    </xf>
    <xf numFmtId="9" fontId="12" fillId="0" borderId="5" xfId="0" quotePrefix="1" applyNumberFormat="1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right" vertical="center"/>
    </xf>
    <xf numFmtId="9" fontId="16" fillId="4" borderId="7" xfId="0" applyNumberFormat="1" applyFont="1" applyFill="1" applyBorder="1" applyAlignment="1">
      <alignment horizontal="right" vertical="center"/>
    </xf>
    <xf numFmtId="9" fontId="5" fillId="5" borderId="7" xfId="0" applyNumberFormat="1" applyFont="1" applyFill="1" applyBorder="1" applyAlignment="1">
      <alignment horizontal="right" vertical="center"/>
    </xf>
    <xf numFmtId="9" fontId="5" fillId="0" borderId="7" xfId="0" applyNumberFormat="1" applyFont="1" applyFill="1" applyBorder="1" applyAlignment="1">
      <alignment horizontal="right" vertical="center"/>
    </xf>
    <xf numFmtId="0" fontId="13" fillId="5" borderId="10" xfId="0" applyFont="1" applyFill="1" applyBorder="1" applyAlignment="1">
      <alignment horizontal="left"/>
    </xf>
    <xf numFmtId="0" fontId="12" fillId="5" borderId="0" xfId="0" applyFont="1" applyFill="1" applyBorder="1" applyAlignment="1">
      <alignment horizontal="center"/>
    </xf>
    <xf numFmtId="176" fontId="12" fillId="0" borderId="0" xfId="0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right" vertical="center"/>
    </xf>
    <xf numFmtId="181" fontId="13" fillId="0" borderId="0" xfId="0" applyNumberFormat="1" applyFont="1" applyFill="1" applyBorder="1" applyAlignment="1">
      <alignment horizontal="right" vertical="center"/>
    </xf>
    <xf numFmtId="9" fontId="13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176" fontId="13" fillId="6" borderId="15" xfId="0" quotePrefix="1" applyNumberFormat="1" applyFont="1" applyFill="1" applyBorder="1" applyAlignment="1">
      <alignment horizontal="center" vertical="center"/>
    </xf>
    <xf numFmtId="176" fontId="13" fillId="6" borderId="16" xfId="0" applyNumberFormat="1" applyFon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9" fontId="13" fillId="6" borderId="5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80" fontId="13" fillId="6" borderId="7" xfId="0" applyNumberFormat="1" applyFont="1" applyFill="1" applyBorder="1" applyAlignment="1">
      <alignment horizontal="center" vertical="center"/>
    </xf>
    <xf numFmtId="182" fontId="13" fillId="4" borderId="3" xfId="0" applyNumberFormat="1" applyFont="1" applyFill="1" applyBorder="1" applyAlignment="1">
      <alignment horizontal="right" vertical="center"/>
    </xf>
    <xf numFmtId="182" fontId="12" fillId="0" borderId="4" xfId="0" applyNumberFormat="1" applyFont="1" applyBorder="1" applyAlignment="1">
      <alignment horizontal="right" vertical="center"/>
    </xf>
    <xf numFmtId="182" fontId="12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9" fontId="5" fillId="5" borderId="1" xfId="0" applyNumberFormat="1" applyFont="1" applyFill="1" applyBorder="1" applyAlignment="1">
      <alignment horizontal="right" vertical="center"/>
    </xf>
    <xf numFmtId="176" fontId="14" fillId="0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76" fontId="12" fillId="0" borderId="4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41" fontId="12" fillId="0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4" fillId="0" borderId="0" xfId="16"/>
    <xf numFmtId="0" fontId="23" fillId="6" borderId="19" xfId="0" applyFont="1" applyFill="1" applyBorder="1" applyAlignment="1">
      <alignment horizontal="center" vertical="center"/>
    </xf>
    <xf numFmtId="180" fontId="23" fillId="6" borderId="20" xfId="0" quotePrefix="1" applyNumberFormat="1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4" fillId="0" borderId="0" xfId="16" applyAlignment="1">
      <alignment horizontal="right"/>
    </xf>
    <xf numFmtId="180" fontId="4" fillId="0" borderId="0" xfId="16" applyNumberFormat="1" applyAlignment="1">
      <alignment horizontal="right"/>
    </xf>
    <xf numFmtId="0" fontId="5" fillId="0" borderId="0" xfId="16" applyFont="1" applyAlignment="1">
      <alignment horizontal="right" vertical="center"/>
    </xf>
    <xf numFmtId="180" fontId="5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15" fillId="0" borderId="0" xfId="16" applyFont="1" applyAlignment="1">
      <alignment vertical="center"/>
    </xf>
    <xf numFmtId="0" fontId="25" fillId="0" borderId="0" xfId="17">
      <alignment vertical="center"/>
    </xf>
    <xf numFmtId="0" fontId="25" fillId="0" borderId="0" xfId="17" applyAlignment="1">
      <alignment horizontal="right"/>
    </xf>
    <xf numFmtId="180" fontId="25" fillId="0" borderId="0" xfId="17" applyNumberFormat="1" applyAlignment="1">
      <alignment horizontal="right"/>
    </xf>
    <xf numFmtId="0" fontId="5" fillId="0" borderId="0" xfId="17" applyFont="1" applyAlignment="1">
      <alignment horizontal="right" vertical="center"/>
    </xf>
    <xf numFmtId="180" fontId="5" fillId="0" borderId="0" xfId="17" applyNumberFormat="1" applyFont="1" applyAlignment="1">
      <alignment horizontal="right" vertical="center"/>
    </xf>
    <xf numFmtId="176" fontId="13" fillId="6" borderId="20" xfId="17" quotePrefix="1" applyNumberFormat="1" applyFont="1" applyFill="1" applyBorder="1" applyAlignment="1">
      <alignment horizontal="center" vertical="center"/>
    </xf>
    <xf numFmtId="176" fontId="13" fillId="6" borderId="1" xfId="17" applyNumberFormat="1" applyFont="1" applyFill="1" applyBorder="1" applyAlignment="1">
      <alignment horizontal="center" vertical="center"/>
    </xf>
    <xf numFmtId="9" fontId="13" fillId="6" borderId="1" xfId="17" applyNumberFormat="1" applyFont="1" applyFill="1" applyBorder="1" applyAlignment="1">
      <alignment horizontal="center" vertical="center"/>
    </xf>
    <xf numFmtId="0" fontId="16" fillId="6" borderId="1" xfId="17" applyFont="1" applyFill="1" applyBorder="1" applyAlignment="1">
      <alignment horizontal="center" vertical="center"/>
    </xf>
    <xf numFmtId="0" fontId="23" fillId="5" borderId="1" xfId="17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8" fillId="0" borderId="0" xfId="17" applyFont="1">
      <alignment vertical="center"/>
    </xf>
    <xf numFmtId="182" fontId="29" fillId="0" borderId="4" xfId="0" applyNumberFormat="1" applyFont="1" applyFill="1" applyBorder="1" applyAlignment="1">
      <alignment horizontal="right" vertical="center"/>
    </xf>
    <xf numFmtId="9" fontId="29" fillId="0" borderId="5" xfId="0" quotePrefix="1" applyNumberFormat="1" applyFont="1" applyFill="1" applyBorder="1" applyAlignment="1">
      <alignment horizontal="right" vertical="center"/>
    </xf>
    <xf numFmtId="9" fontId="30" fillId="0" borderId="7" xfId="0" applyNumberFormat="1" applyFont="1" applyFill="1" applyBorder="1" applyAlignment="1">
      <alignment horizontal="right" vertical="center"/>
    </xf>
    <xf numFmtId="182" fontId="29" fillId="5" borderId="4" xfId="0" applyNumberFormat="1" applyFont="1" applyFill="1" applyBorder="1" applyAlignment="1">
      <alignment horizontal="right" vertical="center"/>
    </xf>
    <xf numFmtId="9" fontId="29" fillId="5" borderId="5" xfId="0" quotePrefix="1" applyNumberFormat="1" applyFont="1" applyFill="1" applyBorder="1" applyAlignment="1">
      <alignment horizontal="right" vertical="center"/>
    </xf>
    <xf numFmtId="9" fontId="30" fillId="5" borderId="7" xfId="0" applyNumberFormat="1" applyFont="1" applyFill="1" applyBorder="1" applyAlignment="1">
      <alignment horizontal="right" vertical="center"/>
    </xf>
    <xf numFmtId="176" fontId="31" fillId="0" borderId="4" xfId="0" applyNumberFormat="1" applyFont="1" applyFill="1" applyBorder="1" applyAlignment="1">
      <alignment horizontal="center" vertical="center"/>
    </xf>
    <xf numFmtId="176" fontId="31" fillId="5" borderId="4" xfId="0" applyNumberFormat="1" applyFont="1" applyFill="1" applyBorder="1" applyAlignment="1">
      <alignment horizontal="center" vertical="center"/>
    </xf>
    <xf numFmtId="176" fontId="31" fillId="5" borderId="1" xfId="0" applyNumberFormat="1" applyFont="1" applyFill="1" applyBorder="1" applyAlignment="1">
      <alignment horizontal="center" vertical="center"/>
    </xf>
    <xf numFmtId="176" fontId="29" fillId="5" borderId="1" xfId="0" applyNumberFormat="1" applyFont="1" applyFill="1" applyBorder="1" applyAlignment="1">
      <alignment horizontal="center" vertical="center"/>
    </xf>
    <xf numFmtId="176" fontId="29" fillId="5" borderId="1" xfId="0" applyNumberFormat="1" applyFont="1" applyFill="1" applyBorder="1" applyAlignment="1">
      <alignment horizontal="right" vertical="center"/>
    </xf>
    <xf numFmtId="9" fontId="30" fillId="5" borderId="1" xfId="0" applyNumberFormat="1" applyFont="1" applyFill="1" applyBorder="1" applyAlignment="1">
      <alignment horizontal="right" vertical="center"/>
    </xf>
    <xf numFmtId="176" fontId="30" fillId="5" borderId="1" xfId="0" applyNumberFormat="1" applyFont="1" applyFill="1" applyBorder="1" applyAlignment="1">
      <alignment horizontal="right" vertical="center"/>
    </xf>
    <xf numFmtId="176" fontId="13" fillId="4" borderId="3" xfId="0" applyNumberFormat="1" applyFont="1" applyFill="1" applyBorder="1" applyAlignment="1">
      <alignment horizontal="center" vertical="center" shrinkToFit="1"/>
    </xf>
    <xf numFmtId="176" fontId="13" fillId="4" borderId="3" xfId="0" applyNumberFormat="1" applyFont="1" applyFill="1" applyBorder="1" applyAlignment="1">
      <alignment horizontal="right" vertical="center" shrinkToFit="1"/>
    </xf>
    <xf numFmtId="9" fontId="13" fillId="4" borderId="5" xfId="0" quotePrefix="1" applyNumberFormat="1" applyFont="1" applyFill="1" applyBorder="1" applyAlignment="1">
      <alignment horizontal="right" vertical="center" shrinkToFit="1"/>
    </xf>
    <xf numFmtId="176" fontId="16" fillId="4" borderId="1" xfId="0" applyNumberFormat="1" applyFont="1" applyFill="1" applyBorder="1" applyAlignment="1">
      <alignment horizontal="right" vertical="center" shrinkToFit="1"/>
    </xf>
    <xf numFmtId="185" fontId="13" fillId="4" borderId="1" xfId="17" applyNumberFormat="1" applyFont="1" applyFill="1" applyBorder="1" applyAlignment="1">
      <alignment horizontal="right" vertical="center" shrinkToFit="1"/>
    </xf>
    <xf numFmtId="184" fontId="13" fillId="4" borderId="1" xfId="17" quotePrefix="1" applyNumberFormat="1" applyFont="1" applyFill="1" applyBorder="1" applyAlignment="1">
      <alignment horizontal="right" vertical="center" shrinkToFit="1"/>
    </xf>
    <xf numFmtId="176" fontId="16" fillId="4" borderId="1" xfId="17" applyNumberFormat="1" applyFont="1" applyFill="1" applyBorder="1" applyAlignment="1">
      <alignment horizontal="right" vertical="center" shrinkToFit="1"/>
    </xf>
    <xf numFmtId="185" fontId="13" fillId="5" borderId="1" xfId="17" applyNumberFormat="1" applyFont="1" applyFill="1" applyBorder="1" applyAlignment="1">
      <alignment horizontal="right" vertical="center" shrinkToFit="1"/>
    </xf>
    <xf numFmtId="184" fontId="13" fillId="5" borderId="1" xfId="17" quotePrefix="1" applyNumberFormat="1" applyFont="1" applyFill="1" applyBorder="1" applyAlignment="1">
      <alignment horizontal="right" vertical="center" shrinkToFit="1"/>
    </xf>
    <xf numFmtId="176" fontId="16" fillId="5" borderId="1" xfId="17" applyNumberFormat="1" applyFont="1" applyFill="1" applyBorder="1" applyAlignment="1">
      <alignment horizontal="right" vertical="center" shrinkToFit="1"/>
    </xf>
    <xf numFmtId="183" fontId="23" fillId="4" borderId="1" xfId="17" applyNumberFormat="1" applyFont="1" applyFill="1" applyBorder="1" applyAlignment="1">
      <alignment vertical="center" shrinkToFit="1"/>
    </xf>
    <xf numFmtId="0" fontId="17" fillId="0" borderId="0" xfId="16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3" fillId="4" borderId="12" xfId="0" applyNumberFormat="1" applyFont="1" applyFill="1" applyBorder="1" applyAlignment="1">
      <alignment horizontal="right" vertical="center"/>
    </xf>
    <xf numFmtId="176" fontId="13" fillId="4" borderId="24" xfId="0" applyNumberFormat="1" applyFont="1" applyFill="1" applyBorder="1" applyAlignment="1">
      <alignment horizontal="right" vertical="center" shrinkToFit="1"/>
    </xf>
    <xf numFmtId="9" fontId="13" fillId="4" borderId="13" xfId="0" quotePrefix="1" applyNumberFormat="1" applyFont="1" applyFill="1" applyBorder="1" applyAlignment="1">
      <alignment horizontal="right" vertical="center"/>
    </xf>
    <xf numFmtId="176" fontId="16" fillId="4" borderId="12" xfId="0" applyNumberFormat="1" applyFont="1" applyFill="1" applyBorder="1" applyAlignment="1">
      <alignment horizontal="right" vertical="center"/>
    </xf>
    <xf numFmtId="9" fontId="16" fillId="4" borderId="14" xfId="0" applyNumberFormat="1" applyFont="1" applyFill="1" applyBorder="1" applyAlignment="1">
      <alignment horizontal="right" vertical="center"/>
    </xf>
    <xf numFmtId="0" fontId="23" fillId="0" borderId="1" xfId="17" applyFont="1" applyFill="1" applyBorder="1" applyAlignment="1">
      <alignment horizontal="center" vertical="center"/>
    </xf>
    <xf numFmtId="185" fontId="13" fillId="0" borderId="1" xfId="17" applyNumberFormat="1" applyFont="1" applyFill="1" applyBorder="1" applyAlignment="1">
      <alignment horizontal="right" vertical="center" shrinkToFit="1"/>
    </xf>
    <xf numFmtId="180" fontId="0" fillId="0" borderId="18" xfId="0" applyNumberFormat="1" applyBorder="1" applyAlignment="1">
      <alignment horizontal="center"/>
    </xf>
    <xf numFmtId="176" fontId="35" fillId="6" borderId="1" xfId="17" applyNumberFormat="1" applyFont="1" applyFill="1" applyBorder="1" applyAlignment="1">
      <alignment horizontal="center" vertical="center"/>
    </xf>
    <xf numFmtId="183" fontId="24" fillId="0" borderId="12" xfId="0" applyNumberFormat="1" applyFont="1" applyBorder="1" applyAlignment="1">
      <alignment horizontal="right" vertical="center"/>
    </xf>
    <xf numFmtId="183" fontId="32" fillId="0" borderId="23" xfId="0" applyNumberFormat="1" applyFont="1" applyBorder="1" applyAlignment="1">
      <alignment horizontal="right" vertical="center"/>
    </xf>
    <xf numFmtId="183" fontId="24" fillId="0" borderId="12" xfId="0" applyNumberFormat="1" applyFont="1" applyBorder="1" applyAlignment="1">
      <alignment horizontal="right" vertical="center" shrinkToFit="1"/>
    </xf>
    <xf numFmtId="183" fontId="32" fillId="0" borderId="23" xfId="0" applyNumberFormat="1" applyFont="1" applyBorder="1" applyAlignment="1">
      <alignment horizontal="right" vertical="center" shrinkToFit="1"/>
    </xf>
    <xf numFmtId="176" fontId="34" fillId="0" borderId="23" xfId="15" applyFont="1" applyBorder="1" applyAlignment="1">
      <alignment horizontal="right" vertical="center" shrinkToFit="1"/>
    </xf>
    <xf numFmtId="176" fontId="13" fillId="6" borderId="17" xfId="0" applyNumberFormat="1" applyFont="1" applyFill="1" applyBorder="1" applyAlignment="1">
      <alignment horizontal="center" vertical="center"/>
    </xf>
    <xf numFmtId="176" fontId="13" fillId="6" borderId="5" xfId="0" applyNumberFormat="1" applyFont="1" applyFill="1" applyBorder="1" applyAlignment="1">
      <alignment horizontal="center" vertical="center"/>
    </xf>
    <xf numFmtId="0" fontId="25" fillId="0" borderId="0" xfId="17" applyFont="1">
      <alignment vertical="center"/>
    </xf>
    <xf numFmtId="186" fontId="23" fillId="6" borderId="21" xfId="0" applyNumberFormat="1" applyFont="1" applyFill="1" applyBorder="1" applyAlignment="1">
      <alignment horizontal="center" vertical="center"/>
    </xf>
    <xf numFmtId="187" fontId="23" fillId="6" borderId="21" xfId="0" quotePrefix="1" applyNumberFormat="1" applyFont="1" applyFill="1" applyBorder="1" applyAlignment="1">
      <alignment horizontal="center" vertical="center"/>
    </xf>
    <xf numFmtId="176" fontId="12" fillId="0" borderId="4" xfId="0" applyNumberFormat="1" applyFont="1" applyFill="1" applyBorder="1" applyAlignment="1">
      <alignment horizontal="center" vertical="center"/>
    </xf>
    <xf numFmtId="183" fontId="24" fillId="0" borderId="1" xfId="17" applyNumberFormat="1" applyFont="1" applyBorder="1" applyAlignment="1">
      <alignment vertical="center" shrinkToFit="1"/>
    </xf>
    <xf numFmtId="41" fontId="24" fillId="0" borderId="1" xfId="17" applyNumberFormat="1" applyFont="1" applyBorder="1" applyAlignment="1">
      <alignment vertical="center" shrinkToFit="1"/>
    </xf>
    <xf numFmtId="180" fontId="13" fillId="6" borderId="7" xfId="17" applyNumberFormat="1" applyFont="1" applyFill="1" applyBorder="1" applyAlignment="1">
      <alignment horizontal="center" vertical="center"/>
    </xf>
    <xf numFmtId="184" fontId="13" fillId="4" borderId="7" xfId="17" quotePrefix="1" applyNumberFormat="1" applyFont="1" applyFill="1" applyBorder="1" applyAlignment="1">
      <alignment horizontal="right" vertical="center" shrinkToFit="1"/>
    </xf>
    <xf numFmtId="184" fontId="13" fillId="5" borderId="7" xfId="17" quotePrefix="1" applyNumberFormat="1" applyFont="1" applyFill="1" applyBorder="1" applyAlignment="1">
      <alignment horizontal="right" vertical="center" shrinkToFit="1"/>
    </xf>
    <xf numFmtId="184" fontId="13" fillId="5" borderId="7" xfId="17" quotePrefix="1" applyNumberFormat="1" applyFont="1" applyFill="1" applyBorder="1" applyAlignment="1">
      <alignment horizontal="right" vertical="center"/>
    </xf>
    <xf numFmtId="0" fontId="23" fillId="5" borderId="12" xfId="17" applyFont="1" applyFill="1" applyBorder="1" applyAlignment="1">
      <alignment horizontal="center" vertical="center"/>
    </xf>
    <xf numFmtId="183" fontId="24" fillId="0" borderId="12" xfId="17" applyNumberFormat="1" applyFont="1" applyBorder="1" applyAlignment="1">
      <alignment vertical="center" shrinkToFit="1"/>
    </xf>
    <xf numFmtId="185" fontId="13" fillId="5" borderId="12" xfId="17" applyNumberFormat="1" applyFont="1" applyFill="1" applyBorder="1" applyAlignment="1">
      <alignment horizontal="right" vertical="center" shrinkToFit="1"/>
    </xf>
    <xf numFmtId="184" fontId="13" fillId="5" borderId="12" xfId="17" quotePrefix="1" applyNumberFormat="1" applyFont="1" applyFill="1" applyBorder="1" applyAlignment="1">
      <alignment horizontal="right" vertical="center" shrinkToFit="1"/>
    </xf>
    <xf numFmtId="176" fontId="16" fillId="5" borderId="12" xfId="17" applyNumberFormat="1" applyFont="1" applyFill="1" applyBorder="1" applyAlignment="1">
      <alignment horizontal="right" vertical="center" shrinkToFit="1"/>
    </xf>
    <xf numFmtId="184" fontId="13" fillId="5" borderId="14" xfId="17" quotePrefix="1" applyNumberFormat="1" applyFont="1" applyFill="1" applyBorder="1" applyAlignment="1">
      <alignment horizontal="right" vertical="center" shrinkToFit="1"/>
    </xf>
    <xf numFmtId="176" fontId="12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8" fontId="12" fillId="0" borderId="4" xfId="0" applyNumberFormat="1" applyFont="1" applyBorder="1" applyAlignment="1">
      <alignment horizontal="right" vertical="center"/>
    </xf>
    <xf numFmtId="182" fontId="12" fillId="5" borderId="3" xfId="0" applyNumberFormat="1" applyFont="1" applyFill="1" applyBorder="1" applyAlignment="1">
      <alignment horizontal="right" vertical="center"/>
    </xf>
    <xf numFmtId="182" fontId="12" fillId="0" borderId="3" xfId="0" applyNumberFormat="1" applyFont="1" applyFill="1" applyBorder="1" applyAlignment="1">
      <alignment horizontal="right" vertical="center"/>
    </xf>
    <xf numFmtId="182" fontId="29" fillId="5" borderId="3" xfId="0" applyNumberFormat="1" applyFont="1" applyFill="1" applyBorder="1" applyAlignment="1">
      <alignment horizontal="right" vertical="center"/>
    </xf>
    <xf numFmtId="182" fontId="29" fillId="0" borderId="3" xfId="0" applyNumberFormat="1" applyFont="1" applyFill="1" applyBorder="1" applyAlignment="1">
      <alignment horizontal="right" vertical="center"/>
    </xf>
    <xf numFmtId="182" fontId="30" fillId="5" borderId="1" xfId="0" applyNumberFormat="1" applyFont="1" applyFill="1" applyBorder="1" applyAlignment="1">
      <alignment horizontal="right" vertical="center"/>
    </xf>
    <xf numFmtId="182" fontId="5" fillId="5" borderId="1" xfId="0" applyNumberFormat="1" applyFont="1" applyFill="1" applyBorder="1" applyAlignment="1">
      <alignment horizontal="right" vertical="center"/>
    </xf>
    <xf numFmtId="182" fontId="30" fillId="0" borderId="1" xfId="0" applyNumberFormat="1" applyFont="1" applyFill="1" applyBorder="1" applyAlignment="1">
      <alignment horizontal="right" vertical="center"/>
    </xf>
    <xf numFmtId="182" fontId="16" fillId="4" borderId="1" xfId="0" applyNumberFormat="1" applyFont="1" applyFill="1" applyBorder="1" applyAlignment="1">
      <alignment horizontal="right" vertical="center"/>
    </xf>
    <xf numFmtId="41" fontId="24" fillId="0" borderId="7" xfId="17" applyNumberFormat="1" applyFont="1" applyBorder="1" applyAlignment="1">
      <alignment vertical="center" shrinkToFit="1"/>
    </xf>
    <xf numFmtId="0" fontId="23" fillId="4" borderId="1" xfId="17" applyFont="1" applyFill="1" applyBorder="1" applyAlignment="1">
      <alignment horizontal="center" vertical="center"/>
    </xf>
    <xf numFmtId="176" fontId="12" fillId="7" borderId="9" xfId="0" applyNumberFormat="1" applyFont="1" applyFill="1" applyBorder="1" applyAlignment="1">
      <alignment horizontal="center" vertical="center"/>
    </xf>
    <xf numFmtId="176" fontId="12" fillId="7" borderId="8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2" fillId="7" borderId="8" xfId="0" applyNumberFormat="1" applyFont="1" applyFill="1" applyBorder="1" applyAlignment="1">
      <alignment horizontal="left" vertical="center"/>
    </xf>
    <xf numFmtId="176" fontId="12" fillId="7" borderId="11" xfId="0" applyNumberFormat="1" applyFont="1" applyFill="1" applyBorder="1" applyAlignment="1">
      <alignment vertical="center"/>
    </xf>
    <xf numFmtId="183" fontId="34" fillId="0" borderId="12" xfId="0" applyNumberFormat="1" applyFont="1" applyBorder="1" applyAlignment="1">
      <alignment horizontal="right" vertical="center"/>
    </xf>
    <xf numFmtId="0" fontId="18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/>
    </xf>
    <xf numFmtId="176" fontId="12" fillId="2" borderId="1" xfId="0" applyNumberFormat="1" applyFont="1" applyFill="1" applyBorder="1" applyAlignment="1">
      <alignment horizontal="center" vertical="center"/>
    </xf>
    <xf numFmtId="176" fontId="13" fillId="6" borderId="33" xfId="0" applyNumberFormat="1" applyFont="1" applyFill="1" applyBorder="1" applyAlignment="1">
      <alignment horizontal="center" vertical="center"/>
    </xf>
    <xf numFmtId="176" fontId="13" fillId="6" borderId="34" xfId="0" applyNumberFormat="1" applyFont="1" applyFill="1" applyBorder="1" applyAlignment="1">
      <alignment horizontal="center" vertical="center"/>
    </xf>
    <xf numFmtId="176" fontId="13" fillId="6" borderId="24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176" fontId="13" fillId="4" borderId="5" xfId="0" applyNumberFormat="1" applyFont="1" applyFill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176" fontId="13" fillId="6" borderId="27" xfId="0" applyNumberFormat="1" applyFont="1" applyFill="1" applyBorder="1" applyAlignment="1">
      <alignment horizontal="center" vertical="center"/>
    </xf>
    <xf numFmtId="176" fontId="13" fillId="6" borderId="15" xfId="0" applyNumberFormat="1" applyFont="1" applyFill="1" applyBorder="1" applyAlignment="1">
      <alignment horizontal="center" vertical="center"/>
    </xf>
    <xf numFmtId="176" fontId="13" fillId="6" borderId="21" xfId="0" applyNumberFormat="1" applyFont="1" applyFill="1" applyBorder="1" applyAlignment="1">
      <alignment horizontal="center" vertical="center"/>
    </xf>
    <xf numFmtId="176" fontId="13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1" fillId="0" borderId="0" xfId="0" applyNumberFormat="1" applyFont="1" applyAlignment="1">
      <alignment horizontal="center" wrapText="1"/>
    </xf>
    <xf numFmtId="176" fontId="11" fillId="0" borderId="0" xfId="0" applyNumberFormat="1" applyFont="1" applyAlignment="1">
      <alignment horizontal="center"/>
    </xf>
    <xf numFmtId="176" fontId="11" fillId="0" borderId="0" xfId="0" applyNumberFormat="1" applyFont="1" applyAlignment="1">
      <alignment horizontal="center" vertical="top" wrapText="1"/>
    </xf>
    <xf numFmtId="176" fontId="13" fillId="6" borderId="37" xfId="0" applyNumberFormat="1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12" fillId="5" borderId="5" xfId="0" applyNumberFormat="1" applyFont="1" applyFill="1" applyBorder="1" applyAlignment="1">
      <alignment horizontal="center" vertical="center"/>
    </xf>
    <xf numFmtId="176" fontId="12" fillId="5" borderId="3" xfId="0" applyNumberFormat="1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horizontal="center" vertical="center"/>
    </xf>
    <xf numFmtId="176" fontId="12" fillId="0" borderId="3" xfId="0" applyNumberFormat="1" applyFont="1" applyFill="1" applyBorder="1" applyAlignment="1">
      <alignment horizontal="center" vertical="center"/>
    </xf>
    <xf numFmtId="176" fontId="1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76" fontId="12" fillId="5" borderId="4" xfId="0" applyNumberFormat="1" applyFont="1" applyFill="1" applyBorder="1" applyAlignment="1">
      <alignment horizontal="center" vertical="center"/>
    </xf>
    <xf numFmtId="176" fontId="12" fillId="5" borderId="25" xfId="0" applyNumberFormat="1" applyFont="1" applyFill="1" applyBorder="1" applyAlignment="1">
      <alignment horizontal="center" vertical="center"/>
    </xf>
    <xf numFmtId="176" fontId="12" fillId="5" borderId="16" xfId="0" applyNumberFormat="1" applyFont="1" applyFill="1" applyBorder="1" applyAlignment="1">
      <alignment horizontal="center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3" fillId="7" borderId="11" xfId="0" applyNumberFormat="1" applyFont="1" applyFill="1" applyBorder="1" applyAlignment="1">
      <alignment horizontal="center" vertical="center"/>
    </xf>
    <xf numFmtId="9" fontId="13" fillId="5" borderId="6" xfId="0" applyNumberFormat="1" applyFont="1" applyFill="1" applyBorder="1" applyAlignment="1">
      <alignment horizontal="right"/>
    </xf>
    <xf numFmtId="9" fontId="13" fillId="5" borderId="6" xfId="0" quotePrefix="1" applyNumberFormat="1" applyFont="1" applyFill="1" applyBorder="1" applyAlignment="1">
      <alignment horizontal="right"/>
    </xf>
    <xf numFmtId="9" fontId="13" fillId="5" borderId="26" xfId="0" quotePrefix="1" applyNumberFormat="1" applyFont="1" applyFill="1" applyBorder="1" applyAlignment="1">
      <alignment horizontal="right"/>
    </xf>
    <xf numFmtId="176" fontId="13" fillId="6" borderId="20" xfId="0" applyNumberFormat="1" applyFont="1" applyFill="1" applyBorder="1" applyAlignment="1">
      <alignment horizontal="center" vertical="center"/>
    </xf>
    <xf numFmtId="176" fontId="12" fillId="2" borderId="4" xfId="0" applyNumberFormat="1" applyFont="1" applyFill="1" applyBorder="1" applyAlignment="1">
      <alignment horizontal="center" vertical="center"/>
    </xf>
    <xf numFmtId="176" fontId="12" fillId="2" borderId="25" xfId="0" applyNumberFormat="1" applyFont="1" applyFill="1" applyBorder="1" applyAlignment="1">
      <alignment horizontal="center" vertical="center"/>
    </xf>
    <xf numFmtId="176" fontId="12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0" fontId="24" fillId="0" borderId="36" xfId="17" applyFont="1" applyBorder="1" applyAlignment="1">
      <alignment horizontal="center" vertical="center"/>
    </xf>
    <xf numFmtId="0" fontId="24" fillId="0" borderId="1" xfId="17" applyFont="1" applyBorder="1" applyAlignment="1">
      <alignment horizontal="center" vertical="center"/>
    </xf>
    <xf numFmtId="0" fontId="24" fillId="0" borderId="22" xfId="17" applyFont="1" applyBorder="1" applyAlignment="1">
      <alignment horizontal="center" vertical="center"/>
    </xf>
    <xf numFmtId="0" fontId="24" fillId="0" borderId="12" xfId="17" applyFont="1" applyBorder="1" applyAlignment="1">
      <alignment horizontal="center" vertical="center"/>
    </xf>
    <xf numFmtId="0" fontId="24" fillId="0" borderId="36" xfId="17" applyFont="1" applyFill="1" applyBorder="1" applyAlignment="1">
      <alignment horizontal="center" vertical="center"/>
    </xf>
    <xf numFmtId="0" fontId="24" fillId="0" borderId="1" xfId="17" applyFont="1" applyFill="1" applyBorder="1" applyAlignment="1">
      <alignment horizontal="center" vertical="center"/>
    </xf>
    <xf numFmtId="176" fontId="13" fillId="6" borderId="20" xfId="17" applyNumberFormat="1" applyFont="1" applyFill="1" applyBorder="1" applyAlignment="1">
      <alignment horizontal="center" vertical="center"/>
    </xf>
    <xf numFmtId="176" fontId="13" fillId="6" borderId="38" xfId="17" applyNumberFormat="1" applyFont="1" applyFill="1" applyBorder="1" applyAlignment="1">
      <alignment horizontal="center" vertical="center"/>
    </xf>
    <xf numFmtId="0" fontId="23" fillId="4" borderId="36" xfId="17" applyFont="1" applyFill="1" applyBorder="1" applyAlignment="1">
      <alignment horizontal="center" vertical="center"/>
    </xf>
    <xf numFmtId="0" fontId="23" fillId="4" borderId="1" xfId="17" applyFont="1" applyFill="1" applyBorder="1" applyAlignment="1">
      <alignment horizontal="center" vertical="center"/>
    </xf>
    <xf numFmtId="176" fontId="13" fillId="6" borderId="19" xfId="17" applyNumberFormat="1" applyFont="1" applyFill="1" applyBorder="1" applyAlignment="1">
      <alignment horizontal="center" vertical="center"/>
    </xf>
    <xf numFmtId="0" fontId="25" fillId="6" borderId="20" xfId="17" applyFill="1" applyBorder="1">
      <alignment vertical="center"/>
    </xf>
    <xf numFmtId="0" fontId="25" fillId="6" borderId="36" xfId="17" applyFill="1" applyBorder="1">
      <alignment vertical="center"/>
    </xf>
    <xf numFmtId="0" fontId="25" fillId="6" borderId="1" xfId="17" applyFill="1" applyBorder="1">
      <alignment vertical="center"/>
    </xf>
    <xf numFmtId="0" fontId="26" fillId="6" borderId="20" xfId="17" applyFont="1" applyFill="1" applyBorder="1" applyAlignment="1">
      <alignment horizontal="center" vertical="center"/>
    </xf>
    <xf numFmtId="0" fontId="26" fillId="6" borderId="1" xfId="17" applyFont="1" applyFill="1" applyBorder="1" applyAlignment="1">
      <alignment horizontal="center" vertical="center"/>
    </xf>
  </cellXfs>
  <cellStyles count="23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 3 2" xfId="21"/>
    <cellStyle name="표준 4" xfId="22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19704617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19088809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4502528"/>
        <c:axId val="204504064"/>
        <c:axId val="0"/>
      </c:bar3DChart>
      <c:catAx>
        <c:axId val="204502528"/>
        <c:scaling>
          <c:orientation val="minMax"/>
        </c:scaling>
        <c:delete val="1"/>
        <c:axPos val="b"/>
        <c:majorTickMark val="out"/>
        <c:minorTickMark val="none"/>
        <c:tickLblPos val="none"/>
        <c:crossAx val="204504064"/>
        <c:crosses val="autoZero"/>
        <c:auto val="1"/>
        <c:lblAlgn val="ctr"/>
        <c:lblOffset val="100"/>
        <c:noMultiLvlLbl val="0"/>
      </c:catAx>
      <c:valAx>
        <c:axId val="204504064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4502528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128698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137833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4561792"/>
        <c:axId val="204588160"/>
        <c:axId val="0"/>
      </c:bar3DChart>
      <c:catAx>
        <c:axId val="204561792"/>
        <c:scaling>
          <c:orientation val="minMax"/>
        </c:scaling>
        <c:delete val="1"/>
        <c:axPos val="b"/>
        <c:majorTickMark val="out"/>
        <c:minorTickMark val="none"/>
        <c:tickLblPos val="none"/>
        <c:crossAx val="204588160"/>
        <c:crosses val="autoZero"/>
        <c:auto val="1"/>
        <c:lblAlgn val="ctr"/>
        <c:lblOffset val="100"/>
        <c:noMultiLvlLbl val="0"/>
      </c:catAx>
      <c:valAx>
        <c:axId val="204588160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4561792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22.02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112491</c:v>
                </c:pt>
                <c:pt idx="1">
                  <c:v>115147</c:v>
                </c:pt>
                <c:pt idx="2">
                  <c:v>113201</c:v>
                </c:pt>
                <c:pt idx="3">
                  <c:v>106845</c:v>
                </c:pt>
                <c:pt idx="4">
                  <c:v>116298</c:v>
                </c:pt>
                <c:pt idx="5">
                  <c:v>19088809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87136"/>
        <c:axId val="213393408"/>
      </c:lineChart>
      <c:catAx>
        <c:axId val="213387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393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39340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3871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22.02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643233</c:v>
                </c:pt>
                <c:pt idx="1">
                  <c:v>689852</c:v>
                </c:pt>
                <c:pt idx="2">
                  <c:v>725047</c:v>
                </c:pt>
                <c:pt idx="3">
                  <c:v>792643</c:v>
                </c:pt>
                <c:pt idx="4">
                  <c:v>910941</c:v>
                </c:pt>
                <c:pt idx="5">
                  <c:v>137833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13888"/>
        <c:axId val="213415808"/>
      </c:lineChart>
      <c:catAx>
        <c:axId val="213413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415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41580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41388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22.02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482428</c:v>
                </c:pt>
                <c:pt idx="1">
                  <c:v>452480</c:v>
                </c:pt>
                <c:pt idx="2">
                  <c:v>623733</c:v>
                </c:pt>
                <c:pt idx="3">
                  <c:v>40267</c:v>
                </c:pt>
                <c:pt idx="4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37824"/>
        <c:axId val="213583360"/>
      </c:lineChart>
      <c:catAx>
        <c:axId val="213437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583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5833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437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22.02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2723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22784"/>
        <c:axId val="213624704"/>
      </c:lineChart>
      <c:catAx>
        <c:axId val="213622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624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6247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6227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22.02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2723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41088"/>
        <c:axId val="213643264"/>
      </c:lineChart>
      <c:catAx>
        <c:axId val="21364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6432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6432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64108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=""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=""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6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8" t="s">
        <v>26</v>
      </c>
      <c r="L1" s="164"/>
      <c r="M1" s="164"/>
    </row>
    <row r="2" spans="2:15" ht="33" customHeight="1">
      <c r="B2" s="176" t="s">
        <v>49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</row>
    <row r="3" spans="2:15" ht="27.75" customHeight="1">
      <c r="B3" s="178" t="s">
        <v>104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</row>
    <row r="4" spans="2:15" ht="21.2" customHeight="1" thickBot="1">
      <c r="B4" s="185" t="s">
        <v>71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</row>
    <row r="5" spans="2:15" ht="21.2" customHeight="1">
      <c r="B5" s="170" t="s">
        <v>7</v>
      </c>
      <c r="C5" s="171"/>
      <c r="D5" s="172"/>
      <c r="E5" s="35"/>
      <c r="F5" s="168" t="s">
        <v>72</v>
      </c>
      <c r="G5" s="179"/>
      <c r="H5" s="196" t="s">
        <v>97</v>
      </c>
      <c r="I5" s="196"/>
      <c r="J5" s="167" t="s">
        <v>15</v>
      </c>
      <c r="K5" s="168"/>
      <c r="L5" s="168"/>
      <c r="M5" s="169"/>
    </row>
    <row r="6" spans="2:15" ht="20.25" customHeight="1">
      <c r="B6" s="173"/>
      <c r="C6" s="174"/>
      <c r="D6" s="175"/>
      <c r="E6" s="36" t="s">
        <v>11</v>
      </c>
      <c r="F6" s="118" t="s">
        <v>100</v>
      </c>
      <c r="G6" s="37" t="s">
        <v>101</v>
      </c>
      <c r="H6" s="118" t="s">
        <v>102</v>
      </c>
      <c r="I6" s="119" t="s">
        <v>103</v>
      </c>
      <c r="J6" s="37" t="s">
        <v>57</v>
      </c>
      <c r="K6" s="38" t="s">
        <v>16</v>
      </c>
      <c r="L6" s="39" t="s">
        <v>18</v>
      </c>
      <c r="M6" s="40" t="s">
        <v>16</v>
      </c>
    </row>
    <row r="7" spans="2:15" ht="21.2" customHeight="1">
      <c r="B7" s="190" t="s">
        <v>21</v>
      </c>
      <c r="C7" s="165" t="s">
        <v>12</v>
      </c>
      <c r="D7" s="166"/>
      <c r="E7" s="13">
        <f>SUM(E8:E9)</f>
        <v>16412</v>
      </c>
      <c r="F7" s="13">
        <f>SUM(F8:F9)</f>
        <v>1279</v>
      </c>
      <c r="G7" s="13">
        <f>SUM(G8:G9)</f>
        <v>2710</v>
      </c>
      <c r="H7" s="13">
        <f>SUM(H8:H9)</f>
        <v>1196</v>
      </c>
      <c r="I7" s="13">
        <f>SUM(I8:I9)</f>
        <v>2723</v>
      </c>
      <c r="J7" s="13">
        <f>H7-F7</f>
        <v>-83</v>
      </c>
      <c r="K7" s="16">
        <f>H7/F7</f>
        <v>0.93510555121188432</v>
      </c>
      <c r="L7" s="14">
        <f>I7-G7</f>
        <v>13</v>
      </c>
      <c r="M7" s="24">
        <f>I7/G7</f>
        <v>1.0047970479704798</v>
      </c>
    </row>
    <row r="8" spans="2:15" ht="19.5" customHeight="1">
      <c r="B8" s="191"/>
      <c r="C8" s="181" t="s">
        <v>9</v>
      </c>
      <c r="D8" s="182"/>
      <c r="E8" s="20">
        <v>10091</v>
      </c>
      <c r="F8" s="20">
        <v>783</v>
      </c>
      <c r="G8" s="21">
        <v>1627</v>
      </c>
      <c r="H8" s="20">
        <v>701</v>
      </c>
      <c r="I8" s="20">
        <v>1607</v>
      </c>
      <c r="J8" s="4">
        <f t="shared" ref="J8:J28" si="0">H8-F8</f>
        <v>-82</v>
      </c>
      <c r="K8" s="18">
        <f t="shared" ref="K8:K28" si="1">H8/F8</f>
        <v>0.89527458492975731</v>
      </c>
      <c r="L8" s="19">
        <f t="shared" ref="L8:L28" si="2">I8-G8</f>
        <v>-20</v>
      </c>
      <c r="M8" s="25">
        <f t="shared" ref="M8:M28" si="3">I8/G8</f>
        <v>0.98770743700061459</v>
      </c>
    </row>
    <row r="9" spans="2:15" ht="19.5" customHeight="1">
      <c r="B9" s="192"/>
      <c r="C9" s="183" t="s">
        <v>10</v>
      </c>
      <c r="D9" s="184"/>
      <c r="E9" s="21">
        <v>6321</v>
      </c>
      <c r="F9" s="21">
        <v>496</v>
      </c>
      <c r="G9" s="21">
        <v>1083</v>
      </c>
      <c r="H9" s="21">
        <v>495</v>
      </c>
      <c r="I9" s="21">
        <v>1116</v>
      </c>
      <c r="J9" s="21">
        <f t="shared" si="0"/>
        <v>-1</v>
      </c>
      <c r="K9" s="22">
        <f t="shared" si="1"/>
        <v>0.99798387096774188</v>
      </c>
      <c r="L9" s="23">
        <f t="shared" si="2"/>
        <v>33</v>
      </c>
      <c r="M9" s="26">
        <f t="shared" si="3"/>
        <v>1.0304709141274238</v>
      </c>
    </row>
    <row r="10" spans="2:15" ht="21.2" customHeight="1">
      <c r="B10" s="190" t="s">
        <v>22</v>
      </c>
      <c r="C10" s="165" t="s">
        <v>8</v>
      </c>
      <c r="D10" s="166"/>
      <c r="E10" s="41">
        <f>E11+E15</f>
        <v>116298923</v>
      </c>
      <c r="F10" s="41">
        <f>F11+F15</f>
        <v>9590516</v>
      </c>
      <c r="G10" s="41">
        <f>G11+G15</f>
        <v>19704617</v>
      </c>
      <c r="H10" s="41">
        <f>H11+H15</f>
        <v>8029867</v>
      </c>
      <c r="I10" s="41">
        <f>I11+I15</f>
        <v>19088809</v>
      </c>
      <c r="J10" s="41">
        <f t="shared" si="0"/>
        <v>-1560649</v>
      </c>
      <c r="K10" s="16">
        <f t="shared" si="1"/>
        <v>0.83727163376819347</v>
      </c>
      <c r="L10" s="146">
        <f>I10-G10</f>
        <v>-615808</v>
      </c>
      <c r="M10" s="24">
        <f t="shared" si="3"/>
        <v>0.96874803504173668</v>
      </c>
    </row>
    <row r="11" spans="2:15" ht="19.5" customHeight="1">
      <c r="B11" s="191"/>
      <c r="C11" s="187" t="s">
        <v>1</v>
      </c>
      <c r="D11" s="83" t="s">
        <v>0</v>
      </c>
      <c r="E11" s="79">
        <f>SUM(E12:E14)</f>
        <v>104545935</v>
      </c>
      <c r="F11" s="79">
        <f>SUM(F12:F14)</f>
        <v>8647121</v>
      </c>
      <c r="G11" s="79">
        <f>SUM(G12:G14)</f>
        <v>17795284</v>
      </c>
      <c r="H11" s="79">
        <f>SUM(H12:H14)</f>
        <v>7053024</v>
      </c>
      <c r="I11" s="79">
        <f>SUM(I12:I14)</f>
        <v>17007441</v>
      </c>
      <c r="J11" s="141">
        <f>H11-F11</f>
        <v>-1594097</v>
      </c>
      <c r="K11" s="80">
        <f t="shared" si="1"/>
        <v>0.8156499718229917</v>
      </c>
      <c r="L11" s="143">
        <f>I11-G11</f>
        <v>-787843</v>
      </c>
      <c r="M11" s="81">
        <f t="shared" si="3"/>
        <v>0.95572742755889706</v>
      </c>
    </row>
    <row r="12" spans="2:15" ht="19.5" customHeight="1">
      <c r="B12" s="191"/>
      <c r="C12" s="188"/>
      <c r="D12" s="5" t="s">
        <v>5</v>
      </c>
      <c r="E12" s="42">
        <v>84263643</v>
      </c>
      <c r="F12" s="42">
        <v>7101769</v>
      </c>
      <c r="G12" s="42">
        <v>14403785</v>
      </c>
      <c r="H12" s="42">
        <v>5768644</v>
      </c>
      <c r="I12" s="42">
        <v>13769428</v>
      </c>
      <c r="J12" s="139">
        <f t="shared" si="0"/>
        <v>-1333125</v>
      </c>
      <c r="K12" s="18">
        <f t="shared" si="1"/>
        <v>0.81228268618706123</v>
      </c>
      <c r="L12" s="144">
        <f t="shared" si="2"/>
        <v>-634357</v>
      </c>
      <c r="M12" s="25">
        <f t="shared" si="3"/>
        <v>0.95595900660833244</v>
      </c>
      <c r="O12" s="137"/>
    </row>
    <row r="13" spans="2:15" ht="19.5" customHeight="1">
      <c r="B13" s="191"/>
      <c r="C13" s="188"/>
      <c r="D13" s="5" t="s">
        <v>6</v>
      </c>
      <c r="E13" s="42">
        <v>15327474</v>
      </c>
      <c r="F13" s="42">
        <v>1179659</v>
      </c>
      <c r="G13" s="42">
        <v>2536519</v>
      </c>
      <c r="H13" s="42">
        <v>1051667</v>
      </c>
      <c r="I13" s="42">
        <v>2674152</v>
      </c>
      <c r="J13" s="139">
        <f t="shared" si="0"/>
        <v>-127992</v>
      </c>
      <c r="K13" s="18">
        <f t="shared" si="1"/>
        <v>0.89150084897415272</v>
      </c>
      <c r="L13" s="144">
        <f t="shared" si="2"/>
        <v>137633</v>
      </c>
      <c r="M13" s="25">
        <f t="shared" si="3"/>
        <v>1.0542605831062175</v>
      </c>
    </row>
    <row r="14" spans="2:15" ht="19.5" customHeight="1">
      <c r="B14" s="191"/>
      <c r="C14" s="189"/>
      <c r="D14" s="5" t="s">
        <v>13</v>
      </c>
      <c r="E14" s="42">
        <v>4954818</v>
      </c>
      <c r="F14" s="42">
        <v>365693</v>
      </c>
      <c r="G14" s="42">
        <v>854980</v>
      </c>
      <c r="H14" s="138">
        <v>232713</v>
      </c>
      <c r="I14" s="42">
        <v>563861</v>
      </c>
      <c r="J14" s="139">
        <f t="shared" si="0"/>
        <v>-132980</v>
      </c>
      <c r="K14" s="18">
        <f>H14/F14</f>
        <v>0.63636164761152114</v>
      </c>
      <c r="L14" s="144">
        <f t="shared" si="2"/>
        <v>-291119</v>
      </c>
      <c r="M14" s="25">
        <f t="shared" si="3"/>
        <v>0.65950197665442467</v>
      </c>
    </row>
    <row r="15" spans="2:15" ht="19.5" customHeight="1">
      <c r="B15" s="191"/>
      <c r="C15" s="197" t="s">
        <v>2</v>
      </c>
      <c r="D15" s="82" t="s">
        <v>0</v>
      </c>
      <c r="E15" s="76">
        <f>SUM(E16:E18)</f>
        <v>11752988</v>
      </c>
      <c r="F15" s="76">
        <f>SUM(F16:F18)</f>
        <v>943395</v>
      </c>
      <c r="G15" s="76">
        <f>SUM(G16:G18)</f>
        <v>1909333</v>
      </c>
      <c r="H15" s="76">
        <f>SUM(H16:H18)</f>
        <v>976843</v>
      </c>
      <c r="I15" s="76">
        <f>SUM(I16:I18)</f>
        <v>2081368</v>
      </c>
      <c r="J15" s="142">
        <f t="shared" si="0"/>
        <v>33448</v>
      </c>
      <c r="K15" s="77">
        <f t="shared" si="1"/>
        <v>1.0354549260914039</v>
      </c>
      <c r="L15" s="145">
        <f t="shared" si="2"/>
        <v>172035</v>
      </c>
      <c r="M15" s="78">
        <f t="shared" si="3"/>
        <v>1.0901021456183912</v>
      </c>
    </row>
    <row r="16" spans="2:15" ht="19.5" customHeight="1">
      <c r="B16" s="191"/>
      <c r="C16" s="198"/>
      <c r="D16" s="5" t="s">
        <v>3</v>
      </c>
      <c r="E16" s="42">
        <v>8489615</v>
      </c>
      <c r="F16" s="42">
        <v>688778</v>
      </c>
      <c r="G16" s="42">
        <v>1328289</v>
      </c>
      <c r="H16" s="42">
        <v>678363</v>
      </c>
      <c r="I16" s="42">
        <v>1333929</v>
      </c>
      <c r="J16" s="140">
        <f t="shared" si="0"/>
        <v>-10415</v>
      </c>
      <c r="K16" s="18">
        <f t="shared" si="1"/>
        <v>0.98487901762251406</v>
      </c>
      <c r="L16" s="144">
        <f t="shared" si="2"/>
        <v>5640</v>
      </c>
      <c r="M16" s="25">
        <f t="shared" si="3"/>
        <v>1.0042460639213304</v>
      </c>
    </row>
    <row r="17" spans="1:13" ht="19.5" customHeight="1">
      <c r="B17" s="191"/>
      <c r="C17" s="198"/>
      <c r="D17" s="6" t="s">
        <v>4</v>
      </c>
      <c r="E17" s="43">
        <v>3263373</v>
      </c>
      <c r="F17" s="43">
        <v>254617</v>
      </c>
      <c r="G17" s="43">
        <v>581044</v>
      </c>
      <c r="H17" s="43">
        <v>298480</v>
      </c>
      <c r="I17" s="43">
        <v>687442</v>
      </c>
      <c r="J17" s="140">
        <f t="shared" si="0"/>
        <v>43863</v>
      </c>
      <c r="K17" s="18">
        <f t="shared" si="1"/>
        <v>1.1722705082535729</v>
      </c>
      <c r="L17" s="144">
        <f t="shared" si="2"/>
        <v>106398</v>
      </c>
      <c r="M17" s="25">
        <f t="shared" si="3"/>
        <v>1.1831152201898651</v>
      </c>
    </row>
    <row r="18" spans="1:13" ht="19.5" customHeight="1">
      <c r="B18" s="192"/>
      <c r="C18" s="199"/>
      <c r="D18" s="6" t="s">
        <v>17</v>
      </c>
      <c r="E18" s="85">
        <v>0</v>
      </c>
      <c r="F18" s="85">
        <v>0</v>
      </c>
      <c r="G18" s="85">
        <v>0</v>
      </c>
      <c r="H18" s="85">
        <v>0</v>
      </c>
      <c r="I18" s="43">
        <v>59997</v>
      </c>
      <c r="J18" s="85">
        <v>0</v>
      </c>
      <c r="K18" s="85">
        <v>0</v>
      </c>
      <c r="L18" s="144">
        <f t="shared" si="2"/>
        <v>59997</v>
      </c>
      <c r="M18" s="25" t="s">
        <v>99</v>
      </c>
    </row>
    <row r="19" spans="1:13" ht="20.100000000000001" customHeight="1">
      <c r="B19" s="27"/>
      <c r="C19" s="28"/>
      <c r="D19" s="7"/>
      <c r="E19" s="15"/>
      <c r="F19" s="1"/>
      <c r="G19" s="1"/>
      <c r="H19" s="1"/>
      <c r="I19" s="15"/>
      <c r="J19" s="17"/>
      <c r="K19" s="193" t="s">
        <v>23</v>
      </c>
      <c r="L19" s="194"/>
      <c r="M19" s="195"/>
    </row>
    <row r="20" spans="1:13" ht="21.2" customHeight="1">
      <c r="B20" s="149"/>
      <c r="C20" s="165" t="s">
        <v>8</v>
      </c>
      <c r="D20" s="166"/>
      <c r="E20" s="89">
        <f>SUM(E21,E25)</f>
        <v>910941</v>
      </c>
      <c r="F20" s="3">
        <f>SUM(F21,F25)</f>
        <v>55802</v>
      </c>
      <c r="G20" s="3">
        <f>SUM(G21,G25)</f>
        <v>128698</v>
      </c>
      <c r="H20" s="89">
        <f>SUM(H21,H25)</f>
        <v>50702</v>
      </c>
      <c r="I20" s="89">
        <f>SUM(I21,I25)</f>
        <v>137833</v>
      </c>
      <c r="J20" s="90">
        <f t="shared" si="0"/>
        <v>-5100</v>
      </c>
      <c r="K20" s="91">
        <f t="shared" si="1"/>
        <v>0.90860542632880537</v>
      </c>
      <c r="L20" s="92">
        <f t="shared" si="2"/>
        <v>9135</v>
      </c>
      <c r="M20" s="24">
        <f>I20/G20</f>
        <v>1.0709801240112511</v>
      </c>
    </row>
    <row r="21" spans="1:13" ht="19.5" customHeight="1">
      <c r="B21" s="150"/>
      <c r="C21" s="180" t="s">
        <v>1</v>
      </c>
      <c r="D21" s="84" t="s">
        <v>0</v>
      </c>
      <c r="E21" s="85">
        <f>SUM(E22:E24)</f>
        <v>910941</v>
      </c>
      <c r="F21" s="85">
        <f>SUM(F22:F24)</f>
        <v>55802</v>
      </c>
      <c r="G21" s="85">
        <f>SUM(G22:G24)</f>
        <v>128698</v>
      </c>
      <c r="H21" s="85">
        <f>SUM(H22:H24)</f>
        <v>50702</v>
      </c>
      <c r="I21" s="85">
        <f>SUM(I22:I24)</f>
        <v>137833</v>
      </c>
      <c r="J21" s="86">
        <f t="shared" si="0"/>
        <v>-5100</v>
      </c>
      <c r="K21" s="87">
        <f t="shared" si="1"/>
        <v>0.90860542632880537</v>
      </c>
      <c r="L21" s="88">
        <f t="shared" si="2"/>
        <v>9135</v>
      </c>
      <c r="M21" s="81">
        <f t="shared" si="3"/>
        <v>1.0709801240112511</v>
      </c>
    </row>
    <row r="22" spans="1:13" ht="19.5" customHeight="1">
      <c r="B22" s="151" t="s">
        <v>19</v>
      </c>
      <c r="C22" s="180"/>
      <c r="D22" s="46" t="s">
        <v>5</v>
      </c>
      <c r="E22" s="123">
        <v>455757</v>
      </c>
      <c r="F22" s="48">
        <v>27020</v>
      </c>
      <c r="G22" s="48">
        <v>62585</v>
      </c>
      <c r="H22" s="48">
        <v>22239</v>
      </c>
      <c r="I22" s="48">
        <v>66303</v>
      </c>
      <c r="J22" s="136">
        <f t="shared" si="0"/>
        <v>-4781</v>
      </c>
      <c r="K22" s="45">
        <f t="shared" si="1"/>
        <v>0.8230569948186528</v>
      </c>
      <c r="L22" s="23">
        <f t="shared" si="2"/>
        <v>3718</v>
      </c>
      <c r="M22" s="25">
        <f t="shared" si="3"/>
        <v>1.0594072061995685</v>
      </c>
    </row>
    <row r="23" spans="1:13" ht="19.5" customHeight="1">
      <c r="B23" s="151" t="s">
        <v>20</v>
      </c>
      <c r="C23" s="180"/>
      <c r="D23" s="2" t="s">
        <v>14</v>
      </c>
      <c r="E23" s="123">
        <v>443988</v>
      </c>
      <c r="F23" s="48">
        <v>27145</v>
      </c>
      <c r="G23" s="48">
        <v>63353</v>
      </c>
      <c r="H23" s="48">
        <v>25583</v>
      </c>
      <c r="I23" s="48">
        <v>67850</v>
      </c>
      <c r="J23" s="136">
        <f t="shared" si="0"/>
        <v>-1562</v>
      </c>
      <c r="K23" s="45">
        <f t="shared" si="1"/>
        <v>0.94245717443359733</v>
      </c>
      <c r="L23" s="19">
        <f t="shared" si="2"/>
        <v>4497</v>
      </c>
      <c r="M23" s="25">
        <f t="shared" si="3"/>
        <v>1.0709832209997947</v>
      </c>
    </row>
    <row r="24" spans="1:13" ht="19.5" customHeight="1">
      <c r="B24" s="152"/>
      <c r="C24" s="180"/>
      <c r="D24" s="2" t="s">
        <v>13</v>
      </c>
      <c r="E24" s="123">
        <v>11196</v>
      </c>
      <c r="F24" s="48">
        <v>1637</v>
      </c>
      <c r="G24" s="48">
        <v>2760</v>
      </c>
      <c r="H24" s="48">
        <v>2880</v>
      </c>
      <c r="I24" s="48">
        <v>3680</v>
      </c>
      <c r="J24" s="136">
        <f t="shared" si="0"/>
        <v>1243</v>
      </c>
      <c r="K24" s="45">
        <f t="shared" si="1"/>
        <v>1.7593158216249236</v>
      </c>
      <c r="L24" s="19">
        <f t="shared" si="2"/>
        <v>920</v>
      </c>
      <c r="M24" s="25">
        <f t="shared" si="3"/>
        <v>1.3333333333333333</v>
      </c>
    </row>
    <row r="25" spans="1:13" ht="19.5" customHeight="1">
      <c r="B25" s="150"/>
      <c r="C25" s="157" t="s">
        <v>2</v>
      </c>
      <c r="D25" s="84" t="s">
        <v>69</v>
      </c>
      <c r="E25" s="85">
        <f>SUM(E26:E27)</f>
        <v>0</v>
      </c>
      <c r="F25" s="85">
        <f>SUM(F26:F27)</f>
        <v>0</v>
      </c>
      <c r="G25" s="85">
        <f>SUM(G26:G27)</f>
        <v>0</v>
      </c>
      <c r="H25" s="85">
        <v>0</v>
      </c>
      <c r="I25" s="85">
        <f>SUM(I26:I27)</f>
        <v>0</v>
      </c>
      <c r="J25" s="86">
        <f t="shared" si="0"/>
        <v>0</v>
      </c>
      <c r="K25" s="85">
        <v>0</v>
      </c>
      <c r="L25" s="19">
        <f t="shared" si="2"/>
        <v>0</v>
      </c>
      <c r="M25" s="85">
        <v>0</v>
      </c>
    </row>
    <row r="26" spans="1:13" ht="19.5" customHeight="1">
      <c r="B26" s="150"/>
      <c r="C26" s="157"/>
      <c r="D26" s="84" t="s">
        <v>69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86">
        <f t="shared" si="0"/>
        <v>0</v>
      </c>
      <c r="K26" s="85">
        <v>0</v>
      </c>
      <c r="L26" s="19">
        <f t="shared" si="2"/>
        <v>0</v>
      </c>
      <c r="M26" s="85">
        <v>0</v>
      </c>
    </row>
    <row r="27" spans="1:13" ht="19.5" customHeight="1">
      <c r="B27" s="153"/>
      <c r="C27" s="157"/>
      <c r="D27" s="84" t="s">
        <v>69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86">
        <f t="shared" si="0"/>
        <v>0</v>
      </c>
      <c r="K27" s="85">
        <v>0</v>
      </c>
      <c r="L27" s="19">
        <f t="shared" si="2"/>
        <v>0</v>
      </c>
      <c r="M27" s="85">
        <v>0</v>
      </c>
    </row>
    <row r="28" spans="1:13" s="103" customFormat="1" ht="21.2" customHeight="1" thickBot="1">
      <c r="B28" s="158" t="s">
        <v>67</v>
      </c>
      <c r="C28" s="159"/>
      <c r="D28" s="160"/>
      <c r="E28" s="104">
        <v>1429401</v>
      </c>
      <c r="F28" s="104">
        <v>103292</v>
      </c>
      <c r="G28" s="104">
        <v>229894</v>
      </c>
      <c r="H28" s="104">
        <v>110725</v>
      </c>
      <c r="I28" s="104">
        <v>253239</v>
      </c>
      <c r="J28" s="105">
        <f t="shared" si="0"/>
        <v>7433</v>
      </c>
      <c r="K28" s="106">
        <f t="shared" si="1"/>
        <v>1.0719610424815087</v>
      </c>
      <c r="L28" s="107">
        <f t="shared" si="2"/>
        <v>23345</v>
      </c>
      <c r="M28" s="108">
        <f t="shared" si="3"/>
        <v>1.1015467998294866</v>
      </c>
    </row>
    <row r="29" spans="1:13" ht="12.75" customHeight="1">
      <c r="B29" s="29"/>
      <c r="C29" s="29"/>
      <c r="D29" s="29"/>
      <c r="E29" s="30"/>
      <c r="F29" s="31"/>
      <c r="G29" s="31"/>
      <c r="H29" s="31"/>
      <c r="I29" s="31"/>
      <c r="J29" s="30"/>
      <c r="K29" s="32"/>
      <c r="L29" s="33"/>
      <c r="M29" s="34"/>
    </row>
    <row r="30" spans="1:13" s="163" customFormat="1" ht="18.75" customHeight="1">
      <c r="A30" s="163" t="s">
        <v>27</v>
      </c>
    </row>
    <row r="31" spans="1:13" s="47" customFormat="1" ht="21.2" customHeight="1">
      <c r="B31" s="162" t="s">
        <v>24</v>
      </c>
      <c r="C31" s="162"/>
      <c r="D31" s="101"/>
      <c r="E31" s="101"/>
      <c r="F31" s="101"/>
      <c r="G31" s="101"/>
      <c r="H31" s="162" t="s">
        <v>25</v>
      </c>
      <c r="I31" s="162"/>
    </row>
    <row r="32" spans="1:13" s="44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44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44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44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61" customFormat="1" ht="24" customHeight="1"/>
    <row r="41" spans="2:13" ht="19.5" customHeight="1">
      <c r="B41" s="155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</row>
    <row r="42" spans="2:13" ht="19.5" customHeight="1">
      <c r="B42" s="155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6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G4" sqref="G4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2" customFormat="1" ht="18.75">
      <c r="A1" s="51" t="s">
        <v>28</v>
      </c>
    </row>
    <row r="2" spans="1:27" s="52" customFormat="1" ht="15" thickBot="1">
      <c r="A2"/>
      <c r="B2"/>
      <c r="C2"/>
      <c r="D2" s="111"/>
      <c r="E2" s="111"/>
      <c r="F2" s="200" t="s">
        <v>70</v>
      </c>
      <c r="G2" s="200"/>
      <c r="H2"/>
      <c r="I2"/>
      <c r="J2"/>
      <c r="K2" s="111"/>
      <c r="L2" s="111"/>
      <c r="M2" s="200" t="s">
        <v>29</v>
      </c>
      <c r="N2" s="200"/>
    </row>
    <row r="3" spans="1:27" s="52" customFormat="1" ht="32.25" customHeight="1">
      <c r="A3" s="53" t="s">
        <v>30</v>
      </c>
      <c r="B3" s="54">
        <v>17</v>
      </c>
      <c r="C3" s="54">
        <v>18</v>
      </c>
      <c r="D3" s="54">
        <v>19</v>
      </c>
      <c r="E3" s="54">
        <v>20</v>
      </c>
      <c r="F3" s="54">
        <v>21</v>
      </c>
      <c r="G3" s="121">
        <v>22.02</v>
      </c>
      <c r="H3" s="55" t="s">
        <v>30</v>
      </c>
      <c r="I3" s="54">
        <v>17</v>
      </c>
      <c r="J3" s="54">
        <v>18</v>
      </c>
      <c r="K3" s="54">
        <v>19</v>
      </c>
      <c r="L3" s="54">
        <v>20</v>
      </c>
      <c r="M3" s="54">
        <v>21</v>
      </c>
      <c r="N3" s="122">
        <f>$G$3</f>
        <v>22.02</v>
      </c>
    </row>
    <row r="4" spans="1:27" s="52" customFormat="1" ht="39.200000000000003" customHeight="1" thickBot="1">
      <c r="A4" s="74" t="s">
        <v>31</v>
      </c>
      <c r="B4" s="113">
        <v>19440</v>
      </c>
      <c r="C4" s="113">
        <v>18829</v>
      </c>
      <c r="D4" s="113">
        <v>18416</v>
      </c>
      <c r="E4" s="113">
        <v>17326</v>
      </c>
      <c r="F4" s="113">
        <v>16412</v>
      </c>
      <c r="G4" s="114">
        <f>통계요약!I7</f>
        <v>2723</v>
      </c>
      <c r="H4" s="74" t="s">
        <v>32</v>
      </c>
      <c r="I4" s="113">
        <v>112491</v>
      </c>
      <c r="J4" s="113">
        <v>115147</v>
      </c>
      <c r="K4" s="113">
        <v>113201</v>
      </c>
      <c r="L4" s="113">
        <v>106845</v>
      </c>
      <c r="M4" s="113">
        <v>116298</v>
      </c>
      <c r="N4" s="154">
        <f>통계요약!I10</f>
        <v>19088809</v>
      </c>
    </row>
    <row r="5" spans="1:27" s="52" customFormat="1" ht="30.2" customHeight="1" thickBot="1">
      <c r="A5"/>
      <c r="B5"/>
      <c r="C5"/>
      <c r="D5" s="111"/>
      <c r="E5" s="111"/>
      <c r="F5" s="201" t="s">
        <v>33</v>
      </c>
      <c r="G5" s="201"/>
      <c r="H5" s="56"/>
      <c r="I5" s="57"/>
      <c r="J5" s="57"/>
      <c r="K5" s="111"/>
      <c r="L5" s="111"/>
      <c r="M5" s="201" t="s">
        <v>34</v>
      </c>
      <c r="N5" s="201"/>
    </row>
    <row r="6" spans="1:27" s="52" customFormat="1" ht="32.25" customHeight="1">
      <c r="A6" s="53" t="s">
        <v>30</v>
      </c>
      <c r="B6" s="54">
        <v>17</v>
      </c>
      <c r="C6" s="54">
        <v>18</v>
      </c>
      <c r="D6" s="54">
        <v>19</v>
      </c>
      <c r="E6" s="54">
        <v>20</v>
      </c>
      <c r="F6" s="54">
        <v>21</v>
      </c>
      <c r="G6" s="122">
        <f>$G$3</f>
        <v>22.02</v>
      </c>
      <c r="H6" s="55" t="s">
        <v>30</v>
      </c>
      <c r="I6" s="54">
        <v>17</v>
      </c>
      <c r="J6" s="54">
        <v>18</v>
      </c>
      <c r="K6" s="54">
        <v>19</v>
      </c>
      <c r="L6" s="54">
        <v>20</v>
      </c>
      <c r="M6" s="54">
        <v>21</v>
      </c>
      <c r="N6" s="122">
        <f>$G$3</f>
        <v>22.02</v>
      </c>
    </row>
    <row r="7" spans="1:27" s="52" customFormat="1" ht="37.5" customHeight="1" thickBot="1">
      <c r="A7" s="74" t="s">
        <v>35</v>
      </c>
      <c r="B7" s="115">
        <v>643233</v>
      </c>
      <c r="C7" s="115">
        <v>689852</v>
      </c>
      <c r="D7" s="115">
        <v>725047</v>
      </c>
      <c r="E7" s="115">
        <v>792643</v>
      </c>
      <c r="F7" s="115">
        <v>910941</v>
      </c>
      <c r="G7" s="116">
        <f>통계요약!I20</f>
        <v>137833</v>
      </c>
      <c r="H7" s="74" t="s">
        <v>36</v>
      </c>
      <c r="I7" s="113">
        <v>482428</v>
      </c>
      <c r="J7" s="113">
        <v>452480</v>
      </c>
      <c r="K7" s="113">
        <v>623733</v>
      </c>
      <c r="L7" s="113">
        <v>40267</v>
      </c>
      <c r="M7" s="113">
        <v>0</v>
      </c>
      <c r="N7" s="117">
        <v>0</v>
      </c>
      <c r="AA7" s="102">
        <f>(19166/188141)^(1/4)-1</f>
        <v>-0.43504740355323723</v>
      </c>
    </row>
    <row r="12" spans="1:27" s="63" customFormat="1" ht="25.5" customHeight="1">
      <c r="A12" s="63" t="s">
        <v>37</v>
      </c>
    </row>
    <row r="13" spans="1:27" s="52" customFormat="1" ht="21.2" customHeight="1">
      <c r="A13" s="100" t="s">
        <v>52</v>
      </c>
      <c r="H13" s="100" t="s">
        <v>51</v>
      </c>
      <c r="I13" s="58"/>
      <c r="J13" s="59"/>
      <c r="K13" s="60"/>
      <c r="L13" s="61"/>
      <c r="M13" s="61"/>
      <c r="N13" s="61"/>
    </row>
    <row r="14" spans="1:27" s="52" customFormat="1" ht="24" customHeight="1">
      <c r="I14" s="58"/>
      <c r="J14" s="59"/>
      <c r="K14" s="60"/>
      <c r="L14" s="61"/>
      <c r="M14" s="61"/>
      <c r="N14" s="61"/>
    </row>
    <row r="15" spans="1:27" s="52" customFormat="1" ht="24" customHeight="1">
      <c r="I15" s="58"/>
      <c r="J15" s="59"/>
      <c r="K15" s="60"/>
      <c r="L15" s="61"/>
      <c r="M15" s="61"/>
      <c r="N15" s="61"/>
    </row>
    <row r="16" spans="1:27" s="52" customFormat="1" ht="24" customHeight="1">
      <c r="I16" s="58"/>
      <c r="J16" s="59"/>
      <c r="K16" s="60"/>
      <c r="L16" s="61"/>
      <c r="M16" s="61"/>
      <c r="N16" s="61"/>
    </row>
    <row r="17" spans="1:14" s="52" customFormat="1" ht="24" customHeight="1">
      <c r="I17" s="58"/>
      <c r="J17" s="59"/>
      <c r="K17" s="60"/>
      <c r="L17" s="61"/>
      <c r="M17" s="61"/>
      <c r="N17" s="61"/>
    </row>
    <row r="18" spans="1:14" s="52" customFormat="1" ht="24" customHeight="1">
      <c r="I18" s="58"/>
      <c r="J18" s="59"/>
      <c r="K18" s="60"/>
      <c r="L18" s="61"/>
      <c r="M18" s="61"/>
      <c r="N18" s="61"/>
    </row>
    <row r="19" spans="1:14" s="52" customFormat="1" ht="24" customHeight="1">
      <c r="I19" s="58"/>
      <c r="J19" s="59"/>
      <c r="K19" s="60"/>
      <c r="L19" s="61"/>
      <c r="M19" s="61"/>
      <c r="N19" s="61"/>
    </row>
    <row r="20" spans="1:14" s="52" customFormat="1" ht="24" customHeight="1">
      <c r="I20" s="58"/>
      <c r="J20" s="59"/>
      <c r="K20" s="60"/>
      <c r="L20" s="61"/>
      <c r="M20" s="61"/>
      <c r="N20" s="61"/>
    </row>
    <row r="21" spans="1:14" s="52" customFormat="1" ht="24" customHeight="1">
      <c r="I21" s="58"/>
      <c r="J21" s="59"/>
      <c r="K21" s="60"/>
      <c r="L21" s="61"/>
      <c r="M21" s="61"/>
      <c r="N21" s="61"/>
    </row>
    <row r="22" spans="1:14" s="52" customFormat="1" ht="36" customHeight="1">
      <c r="I22" s="58"/>
      <c r="J22" s="59"/>
      <c r="K22" s="60"/>
      <c r="L22" s="61"/>
      <c r="M22" s="61"/>
      <c r="N22" s="61"/>
    </row>
    <row r="23" spans="1:14" s="52" customFormat="1" ht="27.75" customHeight="1">
      <c r="A23" s="62" t="s">
        <v>25</v>
      </c>
      <c r="H23" s="100" t="s">
        <v>50</v>
      </c>
      <c r="I23" s="58"/>
      <c r="J23" s="59"/>
      <c r="K23" s="60"/>
      <c r="L23" s="61"/>
      <c r="M23" s="61"/>
      <c r="N23" s="61"/>
    </row>
    <row r="24" spans="1:14" s="52" customFormat="1" ht="24" customHeight="1">
      <c r="I24" s="58"/>
      <c r="J24" s="59"/>
      <c r="K24" s="60"/>
      <c r="L24" s="61"/>
      <c r="M24" s="61"/>
      <c r="N24" s="61"/>
    </row>
    <row r="25" spans="1:14" s="52" customFormat="1" ht="24" customHeight="1">
      <c r="I25" s="58"/>
      <c r="J25" s="59"/>
      <c r="K25" s="60"/>
      <c r="L25" s="61"/>
      <c r="M25" s="61"/>
      <c r="N25" s="61"/>
    </row>
    <row r="26" spans="1:14" s="52" customFormat="1" ht="24" customHeight="1">
      <c r="I26" s="58"/>
      <c r="J26" s="59"/>
      <c r="K26" s="60"/>
      <c r="L26" s="61"/>
      <c r="M26" s="61"/>
      <c r="N26" s="61"/>
    </row>
    <row r="27" spans="1:14" s="52" customFormat="1" ht="24" customHeight="1">
      <c r="I27" s="58"/>
      <c r="J27" s="59"/>
      <c r="K27" s="60"/>
      <c r="L27" s="61"/>
      <c r="M27" s="61"/>
      <c r="N27" s="61"/>
    </row>
    <row r="28" spans="1:14" s="52" customFormat="1" ht="24" customHeight="1">
      <c r="I28" s="58"/>
      <c r="J28" s="59"/>
      <c r="K28" s="60"/>
      <c r="L28" s="61"/>
      <c r="M28" s="61"/>
      <c r="N28" s="61"/>
    </row>
    <row r="29" spans="1:14" s="52" customFormat="1" ht="24" customHeight="1">
      <c r="I29" s="58"/>
      <c r="J29" s="59"/>
      <c r="K29" s="60"/>
      <c r="L29" s="61"/>
      <c r="M29" s="61"/>
      <c r="N29" s="61"/>
    </row>
    <row r="30" spans="1:14" s="52" customFormat="1" ht="24" customHeight="1">
      <c r="I30" s="58"/>
      <c r="J30" s="59"/>
      <c r="K30" s="60"/>
      <c r="L30" s="61"/>
      <c r="M30" s="61"/>
      <c r="N30" s="61"/>
    </row>
    <row r="31" spans="1:14" s="52" customFormat="1" ht="24" customHeight="1">
      <c r="I31" s="58"/>
      <c r="J31" s="59"/>
      <c r="K31" s="60"/>
      <c r="L31" s="61"/>
      <c r="M31" s="61"/>
      <c r="N31" s="61"/>
    </row>
  </sheetData>
  <mergeCells count="4">
    <mergeCell ref="F2:G2"/>
    <mergeCell ref="M2:N2"/>
    <mergeCell ref="F5:G5"/>
    <mergeCell ref="M5:N5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M26" sqref="M26"/>
    </sheetView>
  </sheetViews>
  <sheetFormatPr defaultColWidth="10" defaultRowHeight="13.5"/>
  <cols>
    <col min="1" max="1" width="10" style="64" customWidth="1"/>
    <col min="2" max="2" width="5.75" style="64" customWidth="1"/>
    <col min="3" max="3" width="1" style="64" customWidth="1"/>
    <col min="4" max="4" width="8" style="64" customWidth="1"/>
    <col min="5" max="5" width="14.875" style="64" bestFit="1" customWidth="1"/>
    <col min="6" max="6" width="11" style="64" customWidth="1"/>
    <col min="7" max="7" width="13.25" style="64" customWidth="1"/>
    <col min="8" max="8" width="11" style="64" customWidth="1"/>
    <col min="9" max="9" width="13.25" style="64" customWidth="1"/>
    <col min="10" max="10" width="12.25" style="64" customWidth="1"/>
    <col min="11" max="11" width="11" style="64" customWidth="1"/>
    <col min="12" max="12" width="12.75" style="64" customWidth="1"/>
    <col min="13" max="13" width="11" style="64" customWidth="1"/>
    <col min="14" max="16384" width="10" style="64"/>
  </cols>
  <sheetData>
    <row r="1" spans="1:16" ht="50.25" customHeight="1" thickBot="1">
      <c r="A1" s="75" t="s">
        <v>38</v>
      </c>
      <c r="F1" s="120"/>
      <c r="G1" s="120"/>
      <c r="H1" s="120"/>
      <c r="I1" s="120"/>
      <c r="J1" s="65"/>
      <c r="K1" s="66"/>
      <c r="L1" s="67"/>
      <c r="M1" s="68"/>
    </row>
    <row r="2" spans="1:16" ht="21.95" customHeight="1">
      <c r="A2" s="212" t="s">
        <v>39</v>
      </c>
      <c r="B2" s="213"/>
      <c r="C2" s="213"/>
      <c r="D2" s="216" t="s">
        <v>40</v>
      </c>
      <c r="E2" s="69"/>
      <c r="F2" s="208" t="s">
        <v>72</v>
      </c>
      <c r="G2" s="208"/>
      <c r="H2" s="208" t="s">
        <v>97</v>
      </c>
      <c r="I2" s="208"/>
      <c r="J2" s="208" t="s">
        <v>41</v>
      </c>
      <c r="K2" s="208"/>
      <c r="L2" s="208"/>
      <c r="M2" s="209"/>
    </row>
    <row r="3" spans="1:16" ht="21.95" customHeight="1">
      <c r="A3" s="214"/>
      <c r="B3" s="215"/>
      <c r="C3" s="215"/>
      <c r="D3" s="217"/>
      <c r="E3" s="70" t="s">
        <v>42</v>
      </c>
      <c r="F3" s="70" t="str">
        <f>통계요약!F6</f>
        <v>2월(A)</v>
      </c>
      <c r="G3" s="70" t="str">
        <f>통계요약!G6</f>
        <v>2월누계(B)</v>
      </c>
      <c r="H3" s="112" t="str">
        <f>통계요약!H6</f>
        <v>2월(C)</v>
      </c>
      <c r="I3" s="70" t="str">
        <f>통계요약!I6</f>
        <v>2월누계(D)</v>
      </c>
      <c r="J3" s="70" t="s">
        <v>43</v>
      </c>
      <c r="K3" s="71" t="s">
        <v>44</v>
      </c>
      <c r="L3" s="72" t="s">
        <v>45</v>
      </c>
      <c r="M3" s="126" t="s">
        <v>44</v>
      </c>
    </row>
    <row r="4" spans="1:16" ht="21.95" customHeight="1">
      <c r="A4" s="210" t="s">
        <v>46</v>
      </c>
      <c r="B4" s="211"/>
      <c r="C4" s="211"/>
      <c r="D4" s="148" t="s">
        <v>47</v>
      </c>
      <c r="E4" s="99">
        <f>SUM(E6,E8,E10,E12,E14,E16,E18,E22,E20,E26,E28,E30,E32,E24,)</f>
        <v>910940.75</v>
      </c>
      <c r="F4" s="99">
        <f>SUM(F6,F8,F10,F12,F14,F16,F18,F22,F20,F26,F28,F30,F32,F24,)</f>
        <v>55802</v>
      </c>
      <c r="G4" s="99">
        <f>SUM(G6,G8,G10,G12,G14,G16,G18,G22,G20,G26,G28,G30,G32,G24,)</f>
        <v>128698</v>
      </c>
      <c r="H4" s="99">
        <f>SUM(H6,H8,H10,H12,H14,H16,H18,H22,H20,H26,H28,H30,H32,H24,)</f>
        <v>50702</v>
      </c>
      <c r="I4" s="99">
        <f>SUM(I6,I8,I10,I12,I14,I16,I18,I22,I20,I26,I28,I30,I32,I24,)</f>
        <v>137833</v>
      </c>
      <c r="J4" s="93">
        <f t="shared" ref="J4:J31" si="0">H4-F4</f>
        <v>-5100</v>
      </c>
      <c r="K4" s="94">
        <f t="shared" ref="K4:K33" si="1">(H4/F4*100)-100</f>
        <v>-9.1394573671194621</v>
      </c>
      <c r="L4" s="95">
        <f t="shared" ref="L4:L31" si="2">I4-G4</f>
        <v>9135</v>
      </c>
      <c r="M4" s="127">
        <f t="shared" ref="M4:M33" si="3">(I4/G4*100)-100</f>
        <v>7.0980124011251036</v>
      </c>
    </row>
    <row r="5" spans="1:16" ht="21.95" customHeight="1">
      <c r="A5" s="210"/>
      <c r="B5" s="211"/>
      <c r="C5" s="211"/>
      <c r="D5" s="148" t="s">
        <v>48</v>
      </c>
      <c r="E5" s="99">
        <f>SUM(E7,E9,E11,E13,E15,E17,E19,E21,E23,E27,E29,E31,E33,E25)</f>
        <v>13995669</v>
      </c>
      <c r="F5" s="99">
        <f>SUM(F7,F9,F11,F13,F15,F17,F19,F21,F23,F27,F29,F31,F33,F25)</f>
        <v>847591</v>
      </c>
      <c r="G5" s="99">
        <f>SUM(G7,G9,G11,G13,G15,G17,G19,G21,G23,G27,G29,G31,G33,G25)</f>
        <v>1957857</v>
      </c>
      <c r="H5" s="99">
        <f>SUM(H7,H9,H11,H13,H15,H17,H19,H21,H23,H27,H29,H31,H33,H25)</f>
        <v>805957</v>
      </c>
      <c r="I5" s="99">
        <f>SUM(I7,I9,I11,I13,I15,I17,I19,I21,I23,I27,I29,I31,I33,I25)</f>
        <v>2161729</v>
      </c>
      <c r="J5" s="93">
        <f t="shared" si="0"/>
        <v>-41634</v>
      </c>
      <c r="K5" s="94">
        <f t="shared" si="1"/>
        <v>-4.9120389433111029</v>
      </c>
      <c r="L5" s="95">
        <f t="shared" si="2"/>
        <v>203872</v>
      </c>
      <c r="M5" s="127">
        <f t="shared" si="3"/>
        <v>10.413017906823626</v>
      </c>
    </row>
    <row r="6" spans="1:16" ht="21.2" customHeight="1">
      <c r="A6" s="202" t="s">
        <v>53</v>
      </c>
      <c r="B6" s="203"/>
      <c r="C6" s="203"/>
      <c r="D6" s="73" t="s">
        <v>47</v>
      </c>
      <c r="E6" s="124">
        <v>54806</v>
      </c>
      <c r="F6" s="124">
        <v>3065</v>
      </c>
      <c r="G6" s="124">
        <v>7128</v>
      </c>
      <c r="H6" s="124">
        <v>3711</v>
      </c>
      <c r="I6" s="124">
        <v>9006</v>
      </c>
      <c r="J6" s="96">
        <f t="shared" ref="J6:J20" si="4">H6-F6</f>
        <v>646</v>
      </c>
      <c r="K6" s="97">
        <f t="shared" ref="K6:K19" si="5">(H6/F6*100)-100</f>
        <v>21.076672104404565</v>
      </c>
      <c r="L6" s="98">
        <f>I6-G6</f>
        <v>1878</v>
      </c>
      <c r="M6" s="128">
        <f>(I6/G6*100)-100</f>
        <v>26.346801346801342</v>
      </c>
      <c r="P6" s="64" t="s">
        <v>73</v>
      </c>
    </row>
    <row r="7" spans="1:16" ht="21.2" customHeight="1">
      <c r="A7" s="202"/>
      <c r="B7" s="203"/>
      <c r="C7" s="203"/>
      <c r="D7" s="73" t="s">
        <v>48</v>
      </c>
      <c r="E7" s="124">
        <v>1010788</v>
      </c>
      <c r="F7" s="124">
        <v>54931</v>
      </c>
      <c r="G7" s="124">
        <v>129236</v>
      </c>
      <c r="H7" s="124">
        <v>72252</v>
      </c>
      <c r="I7" s="124">
        <v>170172</v>
      </c>
      <c r="J7" s="96">
        <f t="shared" si="4"/>
        <v>17321</v>
      </c>
      <c r="K7" s="97">
        <f t="shared" si="5"/>
        <v>31.532285958748247</v>
      </c>
      <c r="L7" s="98">
        <f t="shared" si="2"/>
        <v>40936</v>
      </c>
      <c r="M7" s="128">
        <f t="shared" si="3"/>
        <v>31.675384567767509</v>
      </c>
      <c r="P7" s="64" t="s">
        <v>73</v>
      </c>
    </row>
    <row r="8" spans="1:16" ht="21.2" customHeight="1">
      <c r="A8" s="202" t="s">
        <v>54</v>
      </c>
      <c r="B8" s="203"/>
      <c r="C8" s="203"/>
      <c r="D8" s="73" t="s">
        <v>47</v>
      </c>
      <c r="E8" s="124">
        <v>73318.25</v>
      </c>
      <c r="F8" s="124">
        <v>4853</v>
      </c>
      <c r="G8" s="124">
        <v>11193</v>
      </c>
      <c r="H8" s="124">
        <v>5092</v>
      </c>
      <c r="I8" s="124">
        <v>12364</v>
      </c>
      <c r="J8" s="96">
        <f t="shared" si="4"/>
        <v>239</v>
      </c>
      <c r="K8" s="97">
        <f t="shared" si="5"/>
        <v>4.9247887904388961</v>
      </c>
      <c r="L8" s="98">
        <f>I8-G8</f>
        <v>1171</v>
      </c>
      <c r="M8" s="128">
        <f>(I8/G8*100)-100</f>
        <v>10.461895827749473</v>
      </c>
      <c r="P8" s="64" t="s">
        <v>74</v>
      </c>
    </row>
    <row r="9" spans="1:16" ht="21.2" customHeight="1">
      <c r="A9" s="202"/>
      <c r="B9" s="203"/>
      <c r="C9" s="203"/>
      <c r="D9" s="73" t="s">
        <v>48</v>
      </c>
      <c r="E9" s="124">
        <v>1108270</v>
      </c>
      <c r="F9" s="124">
        <v>78242</v>
      </c>
      <c r="G9" s="124">
        <v>175069</v>
      </c>
      <c r="H9" s="124">
        <v>78873</v>
      </c>
      <c r="I9" s="124">
        <v>191203</v>
      </c>
      <c r="J9" s="96">
        <f t="shared" si="4"/>
        <v>631</v>
      </c>
      <c r="K9" s="97">
        <f t="shared" si="5"/>
        <v>0.80647222719257172</v>
      </c>
      <c r="L9" s="98">
        <f t="shared" si="2"/>
        <v>16134</v>
      </c>
      <c r="M9" s="128">
        <f t="shared" si="3"/>
        <v>9.2157949151477396</v>
      </c>
      <c r="P9" s="64" t="s">
        <v>74</v>
      </c>
    </row>
    <row r="10" spans="1:16" ht="21.2" customHeight="1">
      <c r="A10" s="202" t="s">
        <v>94</v>
      </c>
      <c r="B10" s="203"/>
      <c r="C10" s="203"/>
      <c r="D10" s="73" t="s">
        <v>47</v>
      </c>
      <c r="E10" s="124">
        <v>32</v>
      </c>
      <c r="F10" s="125">
        <v>0</v>
      </c>
      <c r="G10" s="125">
        <v>0</v>
      </c>
      <c r="H10" s="125">
        <v>0</v>
      </c>
      <c r="I10" s="125">
        <v>0</v>
      </c>
      <c r="J10" s="96">
        <f t="shared" si="4"/>
        <v>0</v>
      </c>
      <c r="K10" s="125">
        <v>0</v>
      </c>
      <c r="L10" s="98">
        <f t="shared" si="2"/>
        <v>0</v>
      </c>
      <c r="M10" s="147">
        <v>0</v>
      </c>
      <c r="P10" s="64" t="s">
        <v>95</v>
      </c>
    </row>
    <row r="11" spans="1:16" ht="21.2" customHeight="1">
      <c r="A11" s="202"/>
      <c r="B11" s="203"/>
      <c r="C11" s="203"/>
      <c r="D11" s="73" t="s">
        <v>48</v>
      </c>
      <c r="E11" s="124">
        <v>760</v>
      </c>
      <c r="F11" s="125">
        <v>0</v>
      </c>
      <c r="G11" s="125">
        <v>0</v>
      </c>
      <c r="H11" s="125">
        <v>0</v>
      </c>
      <c r="I11" s="125">
        <v>0</v>
      </c>
      <c r="J11" s="96">
        <f t="shared" si="4"/>
        <v>0</v>
      </c>
      <c r="K11" s="125">
        <v>0</v>
      </c>
      <c r="L11" s="98">
        <f t="shared" si="2"/>
        <v>0</v>
      </c>
      <c r="M11" s="147">
        <v>0</v>
      </c>
      <c r="P11" s="64" t="s">
        <v>95</v>
      </c>
    </row>
    <row r="12" spans="1:16" ht="21.2" customHeight="1">
      <c r="A12" s="202" t="s">
        <v>66</v>
      </c>
      <c r="B12" s="203"/>
      <c r="C12" s="203"/>
      <c r="D12" s="73" t="s">
        <v>47</v>
      </c>
      <c r="E12" s="125">
        <v>0</v>
      </c>
      <c r="F12" s="125">
        <v>0</v>
      </c>
      <c r="G12" s="125">
        <v>0</v>
      </c>
      <c r="H12" s="125">
        <v>0</v>
      </c>
      <c r="I12" s="125">
        <v>0</v>
      </c>
      <c r="J12" s="96">
        <f t="shared" si="4"/>
        <v>0</v>
      </c>
      <c r="K12" s="125">
        <v>0</v>
      </c>
      <c r="L12" s="98">
        <f t="shared" si="2"/>
        <v>0</v>
      </c>
      <c r="M12" s="147">
        <v>0</v>
      </c>
      <c r="P12" s="64" t="s">
        <v>75</v>
      </c>
    </row>
    <row r="13" spans="1:16" ht="21.2" customHeight="1">
      <c r="A13" s="202"/>
      <c r="B13" s="203"/>
      <c r="C13" s="203"/>
      <c r="D13" s="73" t="s">
        <v>65</v>
      </c>
      <c r="E13" s="125">
        <v>0</v>
      </c>
      <c r="F13" s="125">
        <v>0</v>
      </c>
      <c r="G13" s="125">
        <v>0</v>
      </c>
      <c r="H13" s="125">
        <v>0</v>
      </c>
      <c r="I13" s="125">
        <v>0</v>
      </c>
      <c r="J13" s="96">
        <f t="shared" si="4"/>
        <v>0</v>
      </c>
      <c r="K13" s="125">
        <v>0</v>
      </c>
      <c r="L13" s="98">
        <f t="shared" si="2"/>
        <v>0</v>
      </c>
      <c r="M13" s="147">
        <v>0</v>
      </c>
      <c r="P13" s="64" t="s">
        <v>75</v>
      </c>
    </row>
    <row r="14" spans="1:16" ht="21.2" customHeight="1">
      <c r="A14" s="202" t="s">
        <v>55</v>
      </c>
      <c r="B14" s="203"/>
      <c r="C14" s="203"/>
      <c r="D14" s="73" t="s">
        <v>47</v>
      </c>
      <c r="E14" s="124">
        <v>111623.25</v>
      </c>
      <c r="F14" s="124">
        <v>6945</v>
      </c>
      <c r="G14" s="124">
        <v>14520</v>
      </c>
      <c r="H14" s="124">
        <v>12695</v>
      </c>
      <c r="I14" s="124">
        <v>23773</v>
      </c>
      <c r="J14" s="96">
        <f t="shared" si="4"/>
        <v>5750</v>
      </c>
      <c r="K14" s="97">
        <f t="shared" si="5"/>
        <v>82.793376529877605</v>
      </c>
      <c r="L14" s="98">
        <f t="shared" si="2"/>
        <v>9253</v>
      </c>
      <c r="M14" s="128">
        <f>(I14/G14*100)-100</f>
        <v>63.725895316804412</v>
      </c>
      <c r="P14" s="64" t="s">
        <v>76</v>
      </c>
    </row>
    <row r="15" spans="1:16" ht="21.2" customHeight="1">
      <c r="A15" s="202"/>
      <c r="B15" s="203"/>
      <c r="C15" s="203"/>
      <c r="D15" s="73" t="s">
        <v>48</v>
      </c>
      <c r="E15" s="124">
        <v>1710730</v>
      </c>
      <c r="F15" s="124">
        <v>88499</v>
      </c>
      <c r="G15" s="124">
        <v>209371</v>
      </c>
      <c r="H15" s="124">
        <v>194083</v>
      </c>
      <c r="I15" s="124">
        <v>372492</v>
      </c>
      <c r="J15" s="96">
        <f t="shared" si="4"/>
        <v>105584</v>
      </c>
      <c r="K15" s="97">
        <f t="shared" si="5"/>
        <v>119.30530288477837</v>
      </c>
      <c r="L15" s="98">
        <f t="shared" si="2"/>
        <v>163121</v>
      </c>
      <c r="M15" s="128">
        <f t="shared" si="3"/>
        <v>77.910025743775407</v>
      </c>
      <c r="P15" s="64" t="s">
        <v>77</v>
      </c>
    </row>
    <row r="16" spans="1:16" ht="21.2" customHeight="1">
      <c r="A16" s="202" t="s">
        <v>62</v>
      </c>
      <c r="B16" s="203"/>
      <c r="C16" s="203"/>
      <c r="D16" s="73" t="s">
        <v>47</v>
      </c>
      <c r="E16" s="124">
        <v>256141.25</v>
      </c>
      <c r="F16" s="124">
        <v>18021</v>
      </c>
      <c r="G16" s="124">
        <v>39973</v>
      </c>
      <c r="H16" s="124">
        <v>10347</v>
      </c>
      <c r="I16" s="124">
        <v>29841</v>
      </c>
      <c r="J16" s="96">
        <f t="shared" si="4"/>
        <v>-7674</v>
      </c>
      <c r="K16" s="97">
        <f t="shared" si="5"/>
        <v>-42.583652405526884</v>
      </c>
      <c r="L16" s="98">
        <f t="shared" si="2"/>
        <v>-10132</v>
      </c>
      <c r="M16" s="128">
        <f t="shared" si="3"/>
        <v>-25.347109298776672</v>
      </c>
      <c r="P16" s="64" t="s">
        <v>78</v>
      </c>
    </row>
    <row r="17" spans="1:16" ht="21.2" customHeight="1">
      <c r="A17" s="202"/>
      <c r="B17" s="203"/>
      <c r="C17" s="203"/>
      <c r="D17" s="73" t="s">
        <v>48</v>
      </c>
      <c r="E17" s="124">
        <v>3560132</v>
      </c>
      <c r="F17" s="124">
        <v>262929</v>
      </c>
      <c r="G17" s="124">
        <v>560563</v>
      </c>
      <c r="H17" s="124">
        <v>149801</v>
      </c>
      <c r="I17" s="124">
        <v>427917</v>
      </c>
      <c r="J17" s="96">
        <f t="shared" si="4"/>
        <v>-113128</v>
      </c>
      <c r="K17" s="97">
        <f t="shared" si="5"/>
        <v>-43.026064070528548</v>
      </c>
      <c r="L17" s="98">
        <f t="shared" si="2"/>
        <v>-132646</v>
      </c>
      <c r="M17" s="128">
        <f t="shared" si="3"/>
        <v>-23.66299595228368</v>
      </c>
      <c r="P17" s="64" t="s">
        <v>79</v>
      </c>
    </row>
    <row r="18" spans="1:16" ht="21.2" customHeight="1">
      <c r="A18" s="202" t="s">
        <v>56</v>
      </c>
      <c r="B18" s="203"/>
      <c r="C18" s="203"/>
      <c r="D18" s="73" t="s">
        <v>47</v>
      </c>
      <c r="E18" s="124">
        <v>147779</v>
      </c>
      <c r="F18" s="124">
        <v>8715</v>
      </c>
      <c r="G18" s="124">
        <v>19822</v>
      </c>
      <c r="H18" s="124">
        <v>8134</v>
      </c>
      <c r="I18" s="124">
        <v>22784</v>
      </c>
      <c r="J18" s="96">
        <f t="shared" si="4"/>
        <v>-581</v>
      </c>
      <c r="K18" s="97">
        <f t="shared" si="5"/>
        <v>-6.6666666666666714</v>
      </c>
      <c r="L18" s="98">
        <f t="shared" si="2"/>
        <v>2962</v>
      </c>
      <c r="M18" s="129">
        <f t="shared" si="3"/>
        <v>14.942992634446583</v>
      </c>
      <c r="P18" s="64" t="s">
        <v>80</v>
      </c>
    </row>
    <row r="19" spans="1:16" ht="21.2" customHeight="1">
      <c r="A19" s="202"/>
      <c r="B19" s="203"/>
      <c r="C19" s="203"/>
      <c r="D19" s="73" t="s">
        <v>48</v>
      </c>
      <c r="E19" s="124">
        <v>2333127</v>
      </c>
      <c r="F19" s="124">
        <v>147824</v>
      </c>
      <c r="G19" s="124">
        <v>320308</v>
      </c>
      <c r="H19" s="124">
        <v>135912</v>
      </c>
      <c r="I19" s="124">
        <v>366792</v>
      </c>
      <c r="J19" s="96">
        <f t="shared" si="4"/>
        <v>-11912</v>
      </c>
      <c r="K19" s="97">
        <f t="shared" si="5"/>
        <v>-8.0582314103257886</v>
      </c>
      <c r="L19" s="98">
        <f t="shared" si="2"/>
        <v>46484</v>
      </c>
      <c r="M19" s="129">
        <f t="shared" si="3"/>
        <v>14.512281928643688</v>
      </c>
      <c r="P19" s="64" t="s">
        <v>81</v>
      </c>
    </row>
    <row r="20" spans="1:16" ht="21.2" customHeight="1">
      <c r="A20" s="206" t="s">
        <v>68</v>
      </c>
      <c r="B20" s="207"/>
      <c r="C20" s="207"/>
      <c r="D20" s="109" t="s">
        <v>47</v>
      </c>
      <c r="E20" s="125">
        <v>0</v>
      </c>
      <c r="F20" s="125">
        <v>0</v>
      </c>
      <c r="G20" s="125">
        <v>0</v>
      </c>
      <c r="H20" s="125">
        <v>0</v>
      </c>
      <c r="I20" s="125">
        <v>0</v>
      </c>
      <c r="J20" s="110">
        <f t="shared" si="4"/>
        <v>0</v>
      </c>
      <c r="K20" s="125">
        <v>0</v>
      </c>
      <c r="L20" s="98">
        <f t="shared" si="2"/>
        <v>0</v>
      </c>
      <c r="M20" s="147">
        <v>0</v>
      </c>
      <c r="P20" s="64" t="s">
        <v>82</v>
      </c>
    </row>
    <row r="21" spans="1:16" ht="21.2" customHeight="1">
      <c r="A21" s="206"/>
      <c r="B21" s="207"/>
      <c r="C21" s="207"/>
      <c r="D21" s="109" t="s">
        <v>48</v>
      </c>
      <c r="E21" s="125">
        <v>0</v>
      </c>
      <c r="F21" s="125">
        <v>0</v>
      </c>
      <c r="G21" s="125">
        <v>0</v>
      </c>
      <c r="H21" s="125">
        <v>0</v>
      </c>
      <c r="I21" s="125">
        <v>0</v>
      </c>
      <c r="J21" s="110">
        <f t="shared" si="0"/>
        <v>0</v>
      </c>
      <c r="K21" s="125">
        <v>0</v>
      </c>
      <c r="L21" s="98">
        <f t="shared" si="2"/>
        <v>0</v>
      </c>
      <c r="M21" s="147">
        <v>0</v>
      </c>
      <c r="P21" s="64" t="s">
        <v>83</v>
      </c>
    </row>
    <row r="22" spans="1:16" ht="21.2" customHeight="1">
      <c r="A22" s="202" t="s">
        <v>93</v>
      </c>
      <c r="B22" s="203"/>
      <c r="C22" s="203"/>
      <c r="D22" s="73" t="s">
        <v>47</v>
      </c>
      <c r="E22" s="124">
        <v>8</v>
      </c>
      <c r="F22" s="125">
        <v>0</v>
      </c>
      <c r="G22" s="125">
        <v>0</v>
      </c>
      <c r="H22" s="125">
        <v>0</v>
      </c>
      <c r="I22" s="125">
        <v>0</v>
      </c>
      <c r="J22" s="110">
        <f t="shared" si="0"/>
        <v>0</v>
      </c>
      <c r="K22" s="125">
        <v>0</v>
      </c>
      <c r="L22" s="98">
        <f t="shared" si="2"/>
        <v>0</v>
      </c>
      <c r="M22" s="147">
        <v>0</v>
      </c>
      <c r="P22" s="64" t="s">
        <v>96</v>
      </c>
    </row>
    <row r="23" spans="1:16" ht="21.2" customHeight="1">
      <c r="A23" s="202"/>
      <c r="B23" s="203"/>
      <c r="C23" s="203"/>
      <c r="D23" s="73" t="s">
        <v>48</v>
      </c>
      <c r="E23" s="124">
        <v>43</v>
      </c>
      <c r="F23" s="125">
        <v>0</v>
      </c>
      <c r="G23" s="125">
        <v>0</v>
      </c>
      <c r="H23" s="125">
        <v>0</v>
      </c>
      <c r="I23" s="125">
        <v>0</v>
      </c>
      <c r="J23" s="110">
        <f t="shared" si="0"/>
        <v>0</v>
      </c>
      <c r="K23" s="125">
        <v>0</v>
      </c>
      <c r="L23" s="98">
        <f t="shared" si="2"/>
        <v>0</v>
      </c>
      <c r="M23" s="147">
        <v>0</v>
      </c>
      <c r="P23" s="64" t="s">
        <v>96</v>
      </c>
    </row>
    <row r="24" spans="1:16" ht="21.2" customHeight="1">
      <c r="A24" s="202" t="s">
        <v>63</v>
      </c>
      <c r="B24" s="203"/>
      <c r="C24" s="203"/>
      <c r="D24" s="73" t="s">
        <v>64</v>
      </c>
      <c r="E24" s="124">
        <v>43</v>
      </c>
      <c r="F24" s="125">
        <v>0</v>
      </c>
      <c r="G24" s="125">
        <v>0</v>
      </c>
      <c r="H24" s="125">
        <v>0</v>
      </c>
      <c r="I24" s="125">
        <v>0</v>
      </c>
      <c r="J24" s="110">
        <f t="shared" si="0"/>
        <v>0</v>
      </c>
      <c r="K24" s="125">
        <v>0</v>
      </c>
      <c r="L24" s="98">
        <f t="shared" si="2"/>
        <v>0</v>
      </c>
      <c r="M24" s="147">
        <v>0</v>
      </c>
      <c r="P24" s="64" t="s">
        <v>84</v>
      </c>
    </row>
    <row r="25" spans="1:16" ht="21.2" customHeight="1">
      <c r="A25" s="202"/>
      <c r="B25" s="203"/>
      <c r="C25" s="203"/>
      <c r="D25" s="73" t="s">
        <v>65</v>
      </c>
      <c r="E25" s="124">
        <v>492</v>
      </c>
      <c r="F25" s="125">
        <v>0</v>
      </c>
      <c r="G25" s="125">
        <v>0</v>
      </c>
      <c r="H25" s="125">
        <v>0</v>
      </c>
      <c r="I25" s="125">
        <v>0</v>
      </c>
      <c r="J25" s="110">
        <f t="shared" si="0"/>
        <v>0</v>
      </c>
      <c r="K25" s="125">
        <v>0</v>
      </c>
      <c r="L25" s="98">
        <f t="shared" si="2"/>
        <v>0</v>
      </c>
      <c r="M25" s="147">
        <v>0</v>
      </c>
      <c r="P25" s="64" t="s">
        <v>84</v>
      </c>
    </row>
    <row r="26" spans="1:16" ht="21.2" customHeight="1">
      <c r="A26" s="202" t="s">
        <v>58</v>
      </c>
      <c r="B26" s="203"/>
      <c r="C26" s="203"/>
      <c r="D26" s="73" t="s">
        <v>47</v>
      </c>
      <c r="E26" s="124">
        <v>478</v>
      </c>
      <c r="F26" s="125">
        <v>0</v>
      </c>
      <c r="G26" s="125">
        <v>0</v>
      </c>
      <c r="H26" s="124">
        <v>102</v>
      </c>
      <c r="I26" s="124">
        <v>122</v>
      </c>
      <c r="J26" s="110">
        <f t="shared" si="0"/>
        <v>102</v>
      </c>
      <c r="K26" s="97" t="s">
        <v>98</v>
      </c>
      <c r="L26" s="98">
        <f t="shared" si="2"/>
        <v>122</v>
      </c>
      <c r="M26" s="128" t="s">
        <v>98</v>
      </c>
      <c r="P26" s="64" t="s">
        <v>85</v>
      </c>
    </row>
    <row r="27" spans="1:16" ht="21.2" customHeight="1">
      <c r="A27" s="202"/>
      <c r="B27" s="203"/>
      <c r="C27" s="203"/>
      <c r="D27" s="73" t="s">
        <v>48</v>
      </c>
      <c r="E27" s="124">
        <v>2537</v>
      </c>
      <c r="F27" s="125">
        <v>0</v>
      </c>
      <c r="G27" s="125">
        <v>0</v>
      </c>
      <c r="H27" s="124">
        <v>884</v>
      </c>
      <c r="I27" s="124">
        <v>1057</v>
      </c>
      <c r="J27" s="110">
        <f t="shared" si="0"/>
        <v>884</v>
      </c>
      <c r="K27" s="97" t="s">
        <v>98</v>
      </c>
      <c r="L27" s="98">
        <f t="shared" si="2"/>
        <v>1057</v>
      </c>
      <c r="M27" s="128" t="s">
        <v>98</v>
      </c>
      <c r="P27" s="64" t="s">
        <v>86</v>
      </c>
    </row>
    <row r="28" spans="1:16" ht="21.2" customHeight="1">
      <c r="A28" s="202" t="s">
        <v>59</v>
      </c>
      <c r="B28" s="203"/>
      <c r="C28" s="203"/>
      <c r="D28" s="73" t="s">
        <v>47</v>
      </c>
      <c r="E28" s="124">
        <v>95587</v>
      </c>
      <c r="F28" s="124">
        <v>4140</v>
      </c>
      <c r="G28" s="124">
        <v>11356</v>
      </c>
      <c r="H28" s="124">
        <v>3720</v>
      </c>
      <c r="I28" s="124">
        <v>12666</v>
      </c>
      <c r="J28" s="110">
        <f t="shared" si="0"/>
        <v>-420</v>
      </c>
      <c r="K28" s="97">
        <f t="shared" si="1"/>
        <v>-10.14492753623189</v>
      </c>
      <c r="L28" s="98">
        <f t="shared" si="2"/>
        <v>1310</v>
      </c>
      <c r="M28" s="128">
        <f t="shared" si="3"/>
        <v>11.535752025361035</v>
      </c>
      <c r="P28" s="64" t="s">
        <v>87</v>
      </c>
    </row>
    <row r="29" spans="1:16" ht="21.2" customHeight="1">
      <c r="A29" s="202"/>
      <c r="B29" s="203"/>
      <c r="C29" s="203"/>
      <c r="D29" s="73" t="s">
        <v>48</v>
      </c>
      <c r="E29" s="124">
        <v>1614394</v>
      </c>
      <c r="F29" s="124">
        <v>68538</v>
      </c>
      <c r="G29" s="124">
        <v>192963</v>
      </c>
      <c r="H29" s="124">
        <v>62842</v>
      </c>
      <c r="I29" s="124">
        <v>220393</v>
      </c>
      <c r="J29" s="110">
        <f t="shared" si="0"/>
        <v>-5696</v>
      </c>
      <c r="K29" s="97">
        <f t="shared" si="1"/>
        <v>-8.3107181417607734</v>
      </c>
      <c r="L29" s="98">
        <f t="shared" si="2"/>
        <v>27430</v>
      </c>
      <c r="M29" s="128">
        <f t="shared" si="3"/>
        <v>14.215160419355001</v>
      </c>
      <c r="P29" s="64" t="s">
        <v>88</v>
      </c>
    </row>
    <row r="30" spans="1:16" ht="21.2" customHeight="1">
      <c r="A30" s="202" t="s">
        <v>60</v>
      </c>
      <c r="B30" s="203"/>
      <c r="C30" s="203"/>
      <c r="D30" s="73" t="s">
        <v>47</v>
      </c>
      <c r="E30" s="124">
        <v>118744</v>
      </c>
      <c r="F30" s="124">
        <v>6572</v>
      </c>
      <c r="G30" s="124">
        <v>15553</v>
      </c>
      <c r="H30" s="124">
        <v>3920</v>
      </c>
      <c r="I30" s="124">
        <v>19861</v>
      </c>
      <c r="J30" s="96">
        <f t="shared" si="0"/>
        <v>-2652</v>
      </c>
      <c r="K30" s="97">
        <f t="shared" si="1"/>
        <v>-40.353012781497263</v>
      </c>
      <c r="L30" s="98">
        <f t="shared" si="2"/>
        <v>4308</v>
      </c>
      <c r="M30" s="128">
        <f t="shared" si="3"/>
        <v>27.698836237381855</v>
      </c>
      <c r="P30" s="64" t="s">
        <v>89</v>
      </c>
    </row>
    <row r="31" spans="1:16" ht="21.2" customHeight="1">
      <c r="A31" s="202"/>
      <c r="B31" s="203"/>
      <c r="C31" s="203"/>
      <c r="D31" s="73" t="s">
        <v>48</v>
      </c>
      <c r="E31" s="124">
        <v>1798604</v>
      </c>
      <c r="F31" s="124">
        <v>92556</v>
      </c>
      <c r="G31" s="124">
        <v>227880</v>
      </c>
      <c r="H31" s="124">
        <v>61439</v>
      </c>
      <c r="I31" s="124">
        <v>285760</v>
      </c>
      <c r="J31" s="96">
        <f t="shared" si="0"/>
        <v>-31117</v>
      </c>
      <c r="K31" s="97">
        <f t="shared" si="1"/>
        <v>-33.619646484290584</v>
      </c>
      <c r="L31" s="98">
        <f t="shared" si="2"/>
        <v>57880</v>
      </c>
      <c r="M31" s="128">
        <f t="shared" si="3"/>
        <v>25.399332982271375</v>
      </c>
      <c r="P31" s="64" t="s">
        <v>90</v>
      </c>
    </row>
    <row r="32" spans="1:16" ht="21.2" customHeight="1">
      <c r="A32" s="202" t="s">
        <v>61</v>
      </c>
      <c r="B32" s="203"/>
      <c r="C32" s="203"/>
      <c r="D32" s="73" t="s">
        <v>47</v>
      </c>
      <c r="E32" s="124">
        <v>52381</v>
      </c>
      <c r="F32" s="124">
        <v>3491</v>
      </c>
      <c r="G32" s="124">
        <v>9153</v>
      </c>
      <c r="H32" s="124">
        <v>2981</v>
      </c>
      <c r="I32" s="124">
        <v>7416</v>
      </c>
      <c r="J32" s="96">
        <f>H32-F32</f>
        <v>-510</v>
      </c>
      <c r="K32" s="97">
        <f t="shared" si="1"/>
        <v>-14.608994557433391</v>
      </c>
      <c r="L32" s="98">
        <f>I32-G32</f>
        <v>-1737</v>
      </c>
      <c r="M32" s="128">
        <f t="shared" si="3"/>
        <v>-18.977384464110131</v>
      </c>
      <c r="P32" s="64" t="s">
        <v>91</v>
      </c>
    </row>
    <row r="33" spans="1:16" ht="21.2" customHeight="1" thickBot="1">
      <c r="A33" s="204"/>
      <c r="B33" s="205"/>
      <c r="C33" s="205"/>
      <c r="D33" s="130" t="s">
        <v>48</v>
      </c>
      <c r="E33" s="131">
        <v>855792</v>
      </c>
      <c r="F33" s="131">
        <v>54072</v>
      </c>
      <c r="G33" s="131">
        <v>142467</v>
      </c>
      <c r="H33" s="131">
        <v>49871</v>
      </c>
      <c r="I33" s="131">
        <v>125943</v>
      </c>
      <c r="J33" s="132">
        <f>H33-F33</f>
        <v>-4201</v>
      </c>
      <c r="K33" s="133">
        <f t="shared" si="1"/>
        <v>-7.769270602160077</v>
      </c>
      <c r="L33" s="134">
        <f>I33-G33</f>
        <v>-16524</v>
      </c>
      <c r="M33" s="135">
        <f t="shared" si="3"/>
        <v>-11.598475436416862</v>
      </c>
      <c r="P33" s="64" t="s">
        <v>92</v>
      </c>
    </row>
  </sheetData>
  <mergeCells count="20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2022-03-24T08:40:43Z</dcterms:modified>
</cp:coreProperties>
</file>