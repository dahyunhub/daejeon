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33" l="1"/>
  <c r="M26" i="32" l="1"/>
  <c r="M27" i="32"/>
  <c r="K26" i="32"/>
  <c r="K27" i="32"/>
  <c r="E4" i="32"/>
  <c r="I5" i="32" l="1"/>
  <c r="H5" i="32"/>
  <c r="I4" i="32"/>
  <c r="H4" i="32"/>
  <c r="G5" i="32"/>
  <c r="G4" i="32"/>
  <c r="F5" i="32"/>
  <c r="F4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<sst xmlns="http://schemas.openxmlformats.org/spreadsheetml/2006/main" count="160" uniqueCount="107">
  <si>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</si>
  <si>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</si>
  <si>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</si>
  <si>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</si>
  <si>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</si>
  <si>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</si>
  <si>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</si>
  <si>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6" type="noConversion"/>
  </si>
  <si>
    <t xml:space="preserve"> 합  계</t>
    <phoneticPr fontId="6" type="noConversion"/>
  </si>
  <si>
    <t xml:space="preserve"> 외  항</t>
    <phoneticPr fontId="6" type="noConversion"/>
  </si>
  <si>
    <t xml:space="preserve"> 내  항</t>
    <phoneticPr fontId="6" type="noConversion"/>
  </si>
  <si>
    <t>연간누계</t>
    <phoneticPr fontId="6" type="noConversion"/>
  </si>
  <si>
    <t>계</t>
    <phoneticPr fontId="6" type="noConversion"/>
  </si>
  <si>
    <t>환적</t>
    <phoneticPr fontId="6" type="noConversion"/>
  </si>
  <si>
    <t>수출</t>
    <phoneticPr fontId="6" type="noConversion"/>
  </si>
  <si>
    <t>전년동기대비</t>
    <phoneticPr fontId="6" type="noConversion"/>
  </si>
  <si>
    <t>(%)</t>
    <phoneticPr fontId="6" type="noConversion"/>
  </si>
  <si>
    <t>환적</t>
    <phoneticPr fontId="6" type="noConversion"/>
  </si>
  <si>
    <t>D-B</t>
    <phoneticPr fontId="6" type="noConversion"/>
  </si>
  <si>
    <t>컨테</t>
    <phoneticPr fontId="6" type="noConversion"/>
  </si>
  <si>
    <t>이너</t>
    <phoneticPr fontId="6" type="noConversion"/>
  </si>
  <si>
    <t>선박</t>
    <phoneticPr fontId="6" type="noConversion"/>
  </si>
  <si>
    <t>화물</t>
    <phoneticPr fontId="6" type="noConversion"/>
  </si>
  <si>
    <t>(단위:TEU, 100% 기준)</t>
    <phoneticPr fontId="6" type="noConversion"/>
  </si>
  <si>
    <t>(화물)</t>
    <phoneticPr fontId="6" type="noConversion"/>
  </si>
  <si>
    <t xml:space="preserve">   (컨테이너)</t>
    <phoneticPr fontId="6" type="noConversion"/>
  </si>
  <si>
    <t>(평택·당진항)</t>
    <phoneticPr fontId="6" type="noConversion"/>
  </si>
  <si>
    <t xml:space="preserve">  □ 전년 동기대비 비교표</t>
    <phoneticPr fontId="6" type="noConversion"/>
  </si>
  <si>
    <t>■ 연도별 수송실적</t>
    <phoneticPr fontId="22" type="noConversion"/>
  </si>
  <si>
    <t>(단위 : 천톤)</t>
    <phoneticPr fontId="6" type="noConversion"/>
  </si>
  <si>
    <t xml:space="preserve">구분 </t>
    <phoneticPr fontId="6" type="noConversion"/>
  </si>
  <si>
    <t>선박입출항</t>
    <phoneticPr fontId="6" type="noConversion"/>
  </si>
  <si>
    <t>화물입출항</t>
    <phoneticPr fontId="6" type="noConversion"/>
  </si>
  <si>
    <t>(단위 : TEU)</t>
    <phoneticPr fontId="6" type="noConversion"/>
  </si>
  <si>
    <t>(단위 : 명)</t>
    <phoneticPr fontId="6" type="noConversion"/>
  </si>
  <si>
    <t>컨테이너</t>
    <phoneticPr fontId="6" type="noConversion"/>
  </si>
  <si>
    <t>여    객</t>
    <phoneticPr fontId="6" type="noConversion"/>
  </si>
  <si>
    <t xml:space="preserve">  □ 연도별 추이 </t>
  </si>
  <si>
    <t>□ 부두별 컨테이너 물동량</t>
    <phoneticPr fontId="6" type="noConversion"/>
  </si>
  <si>
    <t>구     분</t>
    <phoneticPr fontId="6" type="noConversion"/>
  </si>
  <si>
    <t>단위</t>
    <phoneticPr fontId="22" type="noConversion"/>
  </si>
  <si>
    <t>전년동기대비</t>
    <phoneticPr fontId="6" type="noConversion"/>
  </si>
  <si>
    <t>연간누계</t>
    <phoneticPr fontId="6" type="noConversion"/>
  </si>
  <si>
    <t>C-A</t>
    <phoneticPr fontId="6" type="noConversion"/>
  </si>
  <si>
    <t>(%)</t>
    <phoneticPr fontId="6" type="noConversion"/>
  </si>
  <si>
    <t>D-B</t>
    <phoneticPr fontId="6" type="noConversion"/>
  </si>
  <si>
    <t>합  계</t>
    <phoneticPr fontId="6" type="noConversion"/>
  </si>
  <si>
    <t>TEU</t>
    <phoneticPr fontId="22" type="noConversion"/>
  </si>
  <si>
    <t>톤</t>
    <phoneticPr fontId="22" type="noConversion"/>
  </si>
  <si>
    <t>선박입항 및 화물수송</t>
    <phoneticPr fontId="6" type="noConversion"/>
  </si>
  <si>
    <t xml:space="preserve">     (여객)</t>
    <phoneticPr fontId="6" type="noConversion"/>
  </si>
  <si>
    <t xml:space="preserve">     (화물입출항)</t>
    <phoneticPr fontId="6" type="noConversion"/>
  </si>
  <si>
    <t xml:space="preserve">   (선박입출항)</t>
    <phoneticPr fontId="6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</si>
  <si>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</si>
  <si>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</si>
  <si>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</si>
  <si>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</si>
  <si>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6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</si>
  <si>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</si>
  <si>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</si>
  <si>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</si>
  <si>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</si>
  <si>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</si>
  <si>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</si>
  <si>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</si>
  <si>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</si>
  <si>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</si>
  <si>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6" type="noConversion"/>
  </si>
  <si>
    <t>동부두 9</t>
    <phoneticPr fontId="22" type="noConversion"/>
  </si>
  <si>
    <t>소계</t>
    <phoneticPr fontId="6" type="noConversion"/>
  </si>
  <si>
    <t>(단위 : 척)</t>
    <phoneticPr fontId="6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</si>
  <si>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6" type="noConversion"/>
  </si>
  <si>
    <t>2021년도</t>
    <phoneticPr fontId="6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</si>
  <si>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</si>
  <si>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</si>
  <si>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</si>
  <si>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</si>
  <si>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</si>
  <si>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</si>
  <si>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</si>
  <si>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</si>
  <si>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</si>
  <si>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</si>
  <si>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</si>
  <si>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</si>
  <si>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</si>
  <si>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</si>
  <si>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</si>
  <si>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</si>
  <si>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</si>
  <si>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</si>
  <si>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</si>
  <si>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</si>
  <si>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</si>
  <si>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</si>
  <si>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</si>
  <si>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</si>
  <si>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2022년도</t>
    <phoneticPr fontId="6" type="noConversion"/>
  </si>
  <si>
    <t>순증</t>
    <phoneticPr fontId="6" type="noConversion"/>
  </si>
  <si>
    <t>4월(A)</t>
    <phoneticPr fontId="6" type="noConversion"/>
  </si>
  <si>
    <t>4월누계(B)</t>
    <phoneticPr fontId="6" type="noConversion"/>
  </si>
  <si>
    <t>4월(C)</t>
    <phoneticPr fontId="6" type="noConversion"/>
  </si>
  <si>
    <t>4월누계(D)</t>
    <phoneticPr fontId="6" type="noConversion"/>
  </si>
  <si>
    <t>(2022.4월분)</t>
    <phoneticPr fontId="6" type="noConversion"/>
  </si>
  <si>
    <t>순증</t>
    <phoneticPr fontId="22" type="noConversion"/>
  </si>
  <si>
    <t>고대부두 8</t>
    <phoneticPr fontId="22" type="noConversion"/>
  </si>
  <si>
    <t>고대부두 8번선석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</si>
</sst>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38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8" fillId="0" borderId="0"/>
    <xf numFmtId="0" fontId="7" fillId="0" borderId="0"/>
    <xf numFmtId="10" fontId="8" fillId="0" borderId="0" applyFont="0" applyFill="0" applyBorder="0" applyAlignment="0" applyProtection="0"/>
    <xf numFmtId="9" fontId="9" fillId="0" borderId="2" applyNumberFormat="0" applyBorder="0"/>
    <xf numFmtId="176" fontId="4" fillId="0" borderId="0" applyFont="0" applyFill="0" applyBorder="0" applyAlignment="0" applyProtection="0"/>
    <xf numFmtId="0" fontId="4" fillId="0" borderId="0"/>
    <xf numFmtId="0" fontId="25" fillId="0" borderId="0">
      <alignment vertical="center"/>
    </xf>
    <xf numFmtId="0" fontId="2" fillId="0" borderId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1" fillId="0" borderId="0">
      <alignment vertical="center"/>
    </xf>
    <xf numFmtId="0" fontId="36" fillId="0" borderId="0">
      <alignment vertical="center"/>
    </xf>
  </cellStyleXfs>
  <cellXfs count="225">
    <xf numFmtId="0" fontId="0" fillId="0" borderId="0" xfId="0"/>
    <xf numFmtId="176" fontId="12" fillId="0" borderId="0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right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5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6" fontId="13" fillId="4" borderId="3" xfId="0" applyNumberFormat="1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horizontal="right" vertical="center"/>
    </xf>
    <xf numFmtId="9" fontId="13" fillId="4" borderId="5" xfId="0" quotePrefix="1" applyNumberFormat="1" applyFont="1" applyFill="1" applyBorder="1" applyAlignment="1">
      <alignment horizontal="right" vertical="center"/>
    </xf>
    <xf numFmtId="176" fontId="13" fillId="5" borderId="6" xfId="0" applyNumberFormat="1" applyFont="1" applyFill="1" applyBorder="1" applyAlignment="1">
      <alignment horizontal="right" vertical="center"/>
    </xf>
    <xf numFmtId="9" fontId="12" fillId="5" borderId="5" xfId="0" quotePrefix="1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9" fontId="12" fillId="0" borderId="5" xfId="0" quotePrefix="1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9" fontId="16" fillId="4" borderId="7" xfId="0" applyNumberFormat="1" applyFont="1" applyFill="1" applyBorder="1" applyAlignment="1">
      <alignment horizontal="right" vertical="center"/>
    </xf>
    <xf numFmtId="9" fontId="5" fillId="5" borderId="7" xfId="0" applyNumberFormat="1" applyFont="1" applyFill="1" applyBorder="1" applyAlignment="1">
      <alignment horizontal="right" vertical="center"/>
    </xf>
    <xf numFmtId="9" fontId="5" fillId="0" borderId="7" xfId="0" applyNumberFormat="1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176" fontId="13" fillId="6" borderId="15" xfId="0" quotePrefix="1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13" fillId="6" borderId="7" xfId="0" applyNumberFormat="1" applyFont="1" applyFill="1" applyBorder="1" applyAlignment="1">
      <alignment horizontal="center" vertical="center"/>
    </xf>
    <xf numFmtId="182" fontId="13" fillId="4" borderId="3" xfId="0" applyNumberFormat="1" applyFont="1" applyFill="1" applyBorder="1" applyAlignment="1">
      <alignment horizontal="right" vertical="center"/>
    </xf>
    <xf numFmtId="182" fontId="12" fillId="0" borderId="4" xfId="0" applyNumberFormat="1" applyFont="1" applyBorder="1" applyAlignment="1">
      <alignment horizontal="right" vertical="center"/>
    </xf>
    <xf numFmtId="182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5" fillId="5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41" fontId="12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0" borderId="0" xfId="16"/>
    <xf numFmtId="0" fontId="23" fillId="6" borderId="19" xfId="0" applyFont="1" applyFill="1" applyBorder="1" applyAlignment="1">
      <alignment horizontal="center" vertical="center"/>
    </xf>
    <xf numFmtId="180" fontId="23" fillId="6" borderId="20" xfId="0" quotePrefix="1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4" fillId="0" borderId="0" xfId="16" applyAlignment="1">
      <alignment horizontal="right"/>
    </xf>
    <xf numFmtId="180" fontId="4" fillId="0" borderId="0" xfId="16" applyNumberFormat="1" applyAlignment="1">
      <alignment horizontal="right"/>
    </xf>
    <xf numFmtId="0" fontId="5" fillId="0" borderId="0" xfId="16" applyFont="1" applyAlignment="1">
      <alignment horizontal="right" vertical="center"/>
    </xf>
    <xf numFmtId="180" fontId="5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5" fillId="0" borderId="0" xfId="17" applyFont="1" applyAlignment="1">
      <alignment horizontal="right" vertical="center"/>
    </xf>
    <xf numFmtId="180" fontId="5" fillId="0" borderId="0" xfId="17" applyNumberFormat="1" applyFont="1" applyAlignment="1">
      <alignment horizontal="right" vertical="center"/>
    </xf>
    <xf numFmtId="176" fontId="13" fillId="6" borderId="20" xfId="17" quotePrefix="1" applyNumberFormat="1" applyFont="1" applyFill="1" applyBorder="1" applyAlignment="1">
      <alignment horizontal="center" vertical="center"/>
    </xf>
    <xf numFmtId="176" fontId="13" fillId="6" borderId="1" xfId="17" applyNumberFormat="1" applyFont="1" applyFill="1" applyBorder="1" applyAlignment="1">
      <alignment horizontal="center" vertical="center"/>
    </xf>
    <xf numFmtId="9" fontId="13" fillId="6" borderId="1" xfId="17" applyNumberFormat="1" applyFont="1" applyFill="1" applyBorder="1" applyAlignment="1">
      <alignment horizontal="center" vertical="center"/>
    </xf>
    <xf numFmtId="0" fontId="16" fillId="6" borderId="1" xfId="17" applyFont="1" applyFill="1" applyBorder="1" applyAlignment="1">
      <alignment horizontal="center" vertical="center"/>
    </xf>
    <xf numFmtId="0" fontId="23" fillId="5" borderId="1" xfId="17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0" xfId="17" applyFont="1">
      <alignment vertical="center"/>
    </xf>
    <xf numFmtId="182" fontId="29" fillId="0" borderId="4" xfId="0" applyNumberFormat="1" applyFont="1" applyFill="1" applyBorder="1" applyAlignment="1">
      <alignment horizontal="right" vertical="center"/>
    </xf>
    <xf numFmtId="9" fontId="29" fillId="0" borderId="5" xfId="0" quotePrefix="1" applyNumberFormat="1" applyFont="1" applyFill="1" applyBorder="1" applyAlignment="1">
      <alignment horizontal="right" vertical="center"/>
    </xf>
    <xf numFmtId="9" fontId="30" fillId="0" borderId="7" xfId="0" applyNumberFormat="1" applyFont="1" applyFill="1" applyBorder="1" applyAlignment="1">
      <alignment horizontal="right" vertical="center"/>
    </xf>
    <xf numFmtId="182" fontId="29" fillId="5" borderId="4" xfId="0" applyNumberFormat="1" applyFont="1" applyFill="1" applyBorder="1" applyAlignment="1">
      <alignment horizontal="right" vertical="center"/>
    </xf>
    <xf numFmtId="9" fontId="29" fillId="5" borderId="5" xfId="0" quotePrefix="1" applyNumberFormat="1" applyFont="1" applyFill="1" applyBorder="1" applyAlignment="1">
      <alignment horizontal="right" vertical="center"/>
    </xf>
    <xf numFmtId="9" fontId="30" fillId="5" borderId="7" xfId="0" applyNumberFormat="1" applyFont="1" applyFill="1" applyBorder="1" applyAlignment="1">
      <alignment horizontal="right" vertical="center"/>
    </xf>
    <xf numFmtId="176" fontId="31" fillId="0" borderId="4" xfId="0" applyNumberFormat="1" applyFont="1" applyFill="1" applyBorder="1" applyAlignment="1">
      <alignment horizontal="center" vertical="center"/>
    </xf>
    <xf numFmtId="176" fontId="31" fillId="5" borderId="4" xfId="0" applyNumberFormat="1" applyFont="1" applyFill="1" applyBorder="1" applyAlignment="1">
      <alignment horizontal="center" vertical="center"/>
    </xf>
    <xf numFmtId="176" fontId="31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right" vertical="center"/>
    </xf>
    <xf numFmtId="9" fontId="30" fillId="5" borderId="1" xfId="0" applyNumberFormat="1" applyFont="1" applyFill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right" vertical="center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9" fontId="13" fillId="4" borderId="5" xfId="0" quotePrefix="1" applyNumberFormat="1" applyFont="1" applyFill="1" applyBorder="1" applyAlignment="1">
      <alignment horizontal="right" vertical="center" shrinkToFit="1"/>
    </xf>
    <xf numFmtId="176" fontId="16" fillId="4" borderId="1" xfId="0" applyNumberFormat="1" applyFont="1" applyFill="1" applyBorder="1" applyAlignment="1">
      <alignment horizontal="right" vertical="center" shrinkToFit="1"/>
    </xf>
    <xf numFmtId="185" fontId="13" fillId="4" borderId="1" xfId="17" applyNumberFormat="1" applyFont="1" applyFill="1" applyBorder="1" applyAlignment="1">
      <alignment horizontal="right" vertical="center" shrinkToFit="1"/>
    </xf>
    <xf numFmtId="184" fontId="13" fillId="4" borderId="1" xfId="17" quotePrefix="1" applyNumberFormat="1" applyFont="1" applyFill="1" applyBorder="1" applyAlignment="1">
      <alignment horizontal="right" vertical="center" shrinkToFit="1"/>
    </xf>
    <xf numFmtId="176" fontId="16" fillId="4" borderId="1" xfId="17" applyNumberFormat="1" applyFont="1" applyFill="1" applyBorder="1" applyAlignment="1">
      <alignment horizontal="right" vertical="center" shrinkToFit="1"/>
    </xf>
    <xf numFmtId="185" fontId="13" fillId="5" borderId="1" xfId="17" applyNumberFormat="1" applyFont="1" applyFill="1" applyBorder="1" applyAlignment="1">
      <alignment horizontal="right" vertical="center" shrinkToFit="1"/>
    </xf>
    <xf numFmtId="184" fontId="13" fillId="5" borderId="1" xfId="17" quotePrefix="1" applyNumberFormat="1" applyFont="1" applyFill="1" applyBorder="1" applyAlignment="1">
      <alignment horizontal="right" vertical="center" shrinkToFit="1"/>
    </xf>
    <xf numFmtId="176" fontId="16" fillId="5" borderId="1" xfId="17" applyNumberFormat="1" applyFont="1" applyFill="1" applyBorder="1" applyAlignment="1">
      <alignment horizontal="right" vertical="center" shrinkToFit="1"/>
    </xf>
    <xf numFmtId="183" fontId="23" fillId="4" borderId="1" xfId="17" applyNumberFormat="1" applyFont="1" applyFill="1" applyBorder="1" applyAlignment="1">
      <alignment vertical="center" shrinkToFit="1"/>
    </xf>
    <xf numFmtId="0" fontId="17" fillId="0" borderId="0" xfId="16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3" fillId="4" borderId="12" xfId="0" applyNumberFormat="1" applyFont="1" applyFill="1" applyBorder="1" applyAlignment="1">
      <alignment horizontal="right" vertical="center"/>
    </xf>
    <xf numFmtId="176" fontId="13" fillId="4" borderId="24" xfId="0" applyNumberFormat="1" applyFont="1" applyFill="1" applyBorder="1" applyAlignment="1">
      <alignment horizontal="right" vertical="center" shrinkToFit="1"/>
    </xf>
    <xf numFmtId="9" fontId="13" fillId="4" borderId="13" xfId="0" quotePrefix="1" applyNumberFormat="1" applyFont="1" applyFill="1" applyBorder="1" applyAlignment="1">
      <alignment horizontal="right" vertical="center"/>
    </xf>
    <xf numFmtId="176" fontId="16" fillId="4" borderId="12" xfId="0" applyNumberFormat="1" applyFont="1" applyFill="1" applyBorder="1" applyAlignment="1">
      <alignment horizontal="right" vertical="center"/>
    </xf>
    <xf numFmtId="9" fontId="16" fillId="4" borderId="14" xfId="0" applyNumberFormat="1" applyFont="1" applyFill="1" applyBorder="1" applyAlignment="1">
      <alignment horizontal="right" vertical="center"/>
    </xf>
    <xf numFmtId="0" fontId="23" fillId="0" borderId="1" xfId="17" applyFont="1" applyFill="1" applyBorder="1" applyAlignment="1">
      <alignment horizontal="center" vertical="center"/>
    </xf>
    <xf numFmtId="185" fontId="13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5" fillId="6" borderId="1" xfId="17" applyNumberFormat="1" applyFont="1" applyFill="1" applyBorder="1" applyAlignment="1">
      <alignment horizontal="center" vertical="center"/>
    </xf>
    <xf numFmtId="183" fontId="24" fillId="0" borderId="12" xfId="0" applyNumberFormat="1" applyFont="1" applyBorder="1" applyAlignment="1">
      <alignment horizontal="right" vertical="center"/>
    </xf>
    <xf numFmtId="183" fontId="32" fillId="0" borderId="23" xfId="0" applyNumberFormat="1" applyFont="1" applyBorder="1" applyAlignment="1">
      <alignment horizontal="right" vertical="center"/>
    </xf>
    <xf numFmtId="183" fontId="24" fillId="0" borderId="12" xfId="0" applyNumberFormat="1" applyFont="1" applyBorder="1" applyAlignment="1">
      <alignment horizontal="right" vertical="center" shrinkToFit="1"/>
    </xf>
    <xf numFmtId="183" fontId="32" fillId="0" borderId="23" xfId="0" applyNumberFormat="1" applyFont="1" applyBorder="1" applyAlignment="1">
      <alignment horizontal="right" vertical="center" shrinkToFit="1"/>
    </xf>
    <xf numFmtId="176" fontId="34" fillId="0" borderId="23" xfId="15" applyFont="1" applyBorder="1" applyAlignment="1">
      <alignment horizontal="right" vertical="center" shrinkToFit="1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5" xfId="0" applyNumberFormat="1" applyFont="1" applyFill="1" applyBorder="1" applyAlignment="1">
      <alignment horizontal="center" vertical="center"/>
    </xf>
    <xf numFmtId="0" fontId="25" fillId="0" borderId="0" xfId="17" applyFont="1">
      <alignment vertical="center"/>
    </xf>
    <xf numFmtId="186" fontId="23" fillId="6" borderId="21" xfId="0" applyNumberFormat="1" applyFont="1" applyFill="1" applyBorder="1" applyAlignment="1">
      <alignment horizontal="center" vertical="center"/>
    </xf>
    <xf numFmtId="187" fontId="23" fillId="6" borderId="21" xfId="0" quotePrefix="1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183" fontId="24" fillId="0" borderId="1" xfId="17" applyNumberFormat="1" applyFont="1" applyBorder="1" applyAlignment="1">
      <alignment vertical="center" shrinkToFit="1"/>
    </xf>
    <xf numFmtId="41" fontId="24" fillId="0" borderId="1" xfId="17" applyNumberFormat="1" applyFont="1" applyBorder="1" applyAlignment="1">
      <alignment vertical="center" shrinkToFit="1"/>
    </xf>
    <xf numFmtId="180" fontId="13" fillId="6" borderId="7" xfId="17" applyNumberFormat="1" applyFont="1" applyFill="1" applyBorder="1" applyAlignment="1">
      <alignment horizontal="center" vertical="center"/>
    </xf>
    <xf numFmtId="184" fontId="13" fillId="4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/>
    </xf>
    <xf numFmtId="0" fontId="23" fillId="5" borderId="12" xfId="17" applyFont="1" applyFill="1" applyBorder="1" applyAlignment="1">
      <alignment horizontal="center" vertical="center"/>
    </xf>
    <xf numFmtId="183" fontId="24" fillId="0" borderId="12" xfId="17" applyNumberFormat="1" applyFont="1" applyBorder="1" applyAlignment="1">
      <alignment vertical="center" shrinkToFit="1"/>
    </xf>
    <xf numFmtId="185" fontId="13" fillId="5" borderId="12" xfId="17" applyNumberFormat="1" applyFont="1" applyFill="1" applyBorder="1" applyAlignment="1">
      <alignment horizontal="right" vertical="center" shrinkToFit="1"/>
    </xf>
    <xf numFmtId="176" fontId="16" fillId="5" borderId="12" xfId="17" applyNumberFormat="1" applyFont="1" applyFill="1" applyBorder="1" applyAlignment="1">
      <alignment horizontal="right" vertical="center" shrinkToFit="1"/>
    </xf>
    <xf numFmtId="176" fontId="12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2" fillId="0" borderId="4" xfId="0" applyNumberFormat="1" applyFont="1" applyBorder="1" applyAlignment="1">
      <alignment horizontal="right" vertical="center"/>
    </xf>
    <xf numFmtId="182" fontId="12" fillId="5" borderId="3" xfId="0" applyNumberFormat="1" applyFont="1" applyFill="1" applyBorder="1" applyAlignment="1">
      <alignment horizontal="right" vertical="center"/>
    </xf>
    <xf numFmtId="182" fontId="12" fillId="0" borderId="3" xfId="0" applyNumberFormat="1" applyFont="1" applyFill="1" applyBorder="1" applyAlignment="1">
      <alignment horizontal="right" vertical="center"/>
    </xf>
    <xf numFmtId="182" fontId="29" fillId="5" borderId="3" xfId="0" applyNumberFormat="1" applyFont="1" applyFill="1" applyBorder="1" applyAlignment="1">
      <alignment horizontal="right" vertical="center"/>
    </xf>
    <xf numFmtId="182" fontId="29" fillId="0" borderId="3" xfId="0" applyNumberFormat="1" applyFont="1" applyFill="1" applyBorder="1" applyAlignment="1">
      <alignment horizontal="right" vertical="center"/>
    </xf>
    <xf numFmtId="182" fontId="30" fillId="5" borderId="1" xfId="0" applyNumberFormat="1" applyFont="1" applyFill="1" applyBorder="1" applyAlignment="1">
      <alignment horizontal="right" vertical="center"/>
    </xf>
    <xf numFmtId="182" fontId="5" fillId="5" borderId="1" xfId="0" applyNumberFormat="1" applyFont="1" applyFill="1" applyBorder="1" applyAlignment="1">
      <alignment horizontal="right" vertical="center"/>
    </xf>
    <xf numFmtId="182" fontId="30" fillId="0" borderId="1" xfId="0" applyNumberFormat="1" applyFont="1" applyFill="1" applyBorder="1" applyAlignment="1">
      <alignment horizontal="right" vertical="center"/>
    </xf>
    <xf numFmtId="182" fontId="16" fillId="4" borderId="1" xfId="0" applyNumberFormat="1" applyFont="1" applyFill="1" applyBorder="1" applyAlignment="1">
      <alignment horizontal="right" vertical="center"/>
    </xf>
    <xf numFmtId="41" fontId="24" fillId="0" borderId="7" xfId="17" applyNumberFormat="1" applyFont="1" applyBorder="1" applyAlignment="1">
      <alignment vertical="center" shrinkToFit="1"/>
    </xf>
    <xf numFmtId="176" fontId="12" fillId="7" borderId="9" xfId="0" applyNumberFormat="1" applyFont="1" applyFill="1" applyBorder="1" applyAlignment="1">
      <alignment horizontal="center" vertical="center"/>
    </xf>
    <xf numFmtId="176" fontId="12" fillId="7" borderId="8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2" fillId="7" borderId="8" xfId="0" applyNumberFormat="1" applyFont="1" applyFill="1" applyBorder="1" applyAlignment="1">
      <alignment horizontal="left" vertical="center"/>
    </xf>
    <xf numFmtId="176" fontId="12" fillId="7" borderId="11" xfId="0" applyNumberFormat="1" applyFont="1" applyFill="1" applyBorder="1" applyAlignment="1">
      <alignment vertical="center"/>
    </xf>
    <xf numFmtId="0" fontId="23" fillId="5" borderId="16" xfId="17" applyFont="1" applyFill="1" applyBorder="1" applyAlignment="1">
      <alignment horizontal="center" vertical="center"/>
    </xf>
    <xf numFmtId="183" fontId="24" fillId="0" borderId="16" xfId="17" applyNumberFormat="1" applyFont="1" applyBorder="1" applyAlignment="1">
      <alignment vertical="center" shrinkToFit="1"/>
    </xf>
    <xf numFmtId="185" fontId="13" fillId="5" borderId="16" xfId="17" applyNumberFormat="1" applyFont="1" applyFill="1" applyBorder="1" applyAlignment="1">
      <alignment horizontal="right" vertical="center" shrinkToFit="1"/>
    </xf>
    <xf numFmtId="176" fontId="16" fillId="5" borderId="16" xfId="17" applyNumberFormat="1" applyFont="1" applyFill="1" applyBorder="1" applyAlignment="1">
      <alignment horizontal="right" vertical="center" shrinkToFit="1"/>
    </xf>
    <xf numFmtId="41" fontId="24" fillId="0" borderId="12" xfId="17" applyNumberFormat="1" applyFont="1" applyBorder="1" applyAlignment="1">
      <alignment vertical="center" shrinkToFit="1"/>
    </xf>
    <xf numFmtId="0" fontId="23" fillId="4" borderId="1" xfId="17" applyFont="1" applyFill="1" applyBorder="1" applyAlignment="1">
      <alignment horizontal="center" vertical="center"/>
    </xf>
    <xf numFmtId="182" fontId="34" fillId="0" borderId="12" xfId="0" applyNumberFormat="1" applyFont="1" applyBorder="1" applyAlignment="1">
      <alignment horizontal="right" vertical="center"/>
    </xf>
    <xf numFmtId="41" fontId="23" fillId="0" borderId="7" xfId="17" applyNumberFormat="1" applyFont="1" applyBorder="1" applyAlignment="1">
      <alignment horizontal="right" vertical="center" shrinkToFit="1"/>
    </xf>
    <xf numFmtId="41" fontId="23" fillId="0" borderId="14" xfId="17" applyNumberFormat="1" applyFont="1" applyBorder="1" applyAlignment="1">
      <alignment horizontal="right" vertical="center" shrinkToFit="1"/>
    </xf>
    <xf numFmtId="176" fontId="12" fillId="0" borderId="1" xfId="0" applyNumberFormat="1" applyFont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6" fontId="12" fillId="5" borderId="4" xfId="0" applyNumberFormat="1" applyFont="1" applyFill="1" applyBorder="1" applyAlignment="1">
      <alignment horizontal="center" vertical="center"/>
    </xf>
    <xf numFmtId="176" fontId="12" fillId="5" borderId="25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11" xfId="0" applyNumberFormat="1" applyFont="1" applyFill="1" applyBorder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9" fontId="13" fillId="5" borderId="6" xfId="0" applyNumberFormat="1" applyFont="1" applyFill="1" applyBorder="1" applyAlignment="1">
      <alignment horizontal="right"/>
    </xf>
    <xf numFmtId="9" fontId="13" fillId="5" borderId="6" xfId="0" quotePrefix="1" applyNumberFormat="1" applyFont="1" applyFill="1" applyBorder="1" applyAlignment="1">
      <alignment horizontal="right"/>
    </xf>
    <xf numFmtId="9" fontId="13" fillId="5" borderId="26" xfId="0" quotePrefix="1" applyNumberFormat="1" applyFont="1" applyFill="1" applyBorder="1" applyAlignment="1">
      <alignment horizontal="right"/>
    </xf>
    <xf numFmtId="176" fontId="13" fillId="6" borderId="20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25" xfId="0" applyNumberFormat="1" applyFont="1" applyFill="1" applyBorder="1" applyAlignment="1">
      <alignment horizontal="center" vertical="center"/>
    </xf>
    <xf numFmtId="176" fontId="12" fillId="2" borderId="16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1" fillId="0" borderId="0" xfId="0" applyNumberFormat="1" applyFont="1" applyAlignment="1">
      <alignment horizontal="center" wrapText="1"/>
    </xf>
    <xf numFmtId="176" fontId="11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top" wrapText="1"/>
    </xf>
    <xf numFmtId="176" fontId="13" fillId="6" borderId="37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6" borderId="33" xfId="0" applyNumberFormat="1" applyFont="1" applyFill="1" applyBorder="1" applyAlignment="1">
      <alignment horizontal="center" vertical="center"/>
    </xf>
    <xf numFmtId="176" fontId="13" fillId="6" borderId="34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4" fillId="0" borderId="11" xfId="17" applyFont="1" applyBorder="1" applyAlignment="1">
      <alignment horizontal="center" vertical="center"/>
    </xf>
    <xf numFmtId="0" fontId="24" fillId="0" borderId="16" xfId="17" applyFont="1" applyBorder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4" fillId="0" borderId="12" xfId="17" applyFont="1" applyBorder="1" applyAlignment="1">
      <alignment horizontal="center" vertical="center"/>
    </xf>
    <xf numFmtId="176" fontId="13" fillId="6" borderId="20" xfId="17" applyNumberFormat="1" applyFont="1" applyFill="1" applyBorder="1" applyAlignment="1">
      <alignment horizontal="center" vertical="center"/>
    </xf>
    <xf numFmtId="176" fontId="13" fillId="6" borderId="38" xfId="17" applyNumberFormat="1" applyFont="1" applyFill="1" applyBorder="1" applyAlignment="1">
      <alignment horizontal="center" vertical="center"/>
    </xf>
    <xf numFmtId="0" fontId="23" fillId="4" borderId="36" xfId="17" applyFont="1" applyFill="1" applyBorder="1" applyAlignment="1">
      <alignment horizontal="center" vertical="center"/>
    </xf>
    <xf numFmtId="0" fontId="23" fillId="4" borderId="1" xfId="17" applyFont="1" applyFill="1" applyBorder="1" applyAlignment="1">
      <alignment horizontal="center" vertical="center"/>
    </xf>
    <xf numFmtId="0" fontId="24" fillId="0" borderId="36" xfId="17" applyFont="1" applyBorder="1" applyAlignment="1">
      <alignment horizontal="center" vertical="center"/>
    </xf>
    <xf numFmtId="0" fontId="24" fillId="0" borderId="1" xfId="17" applyFont="1" applyBorder="1" applyAlignment="1">
      <alignment horizontal="center" vertical="center"/>
    </xf>
    <xf numFmtId="176" fontId="13" fillId="6" borderId="19" xfId="17" applyNumberFormat="1" applyFont="1" applyFill="1" applyBorder="1" applyAlignment="1">
      <alignment horizontal="center" vertical="center"/>
    </xf>
    <xf numFmtId="0" fontId="25" fillId="6" borderId="20" xfId="17" applyFill="1" applyBorder="1">
      <alignment vertical="center"/>
    </xf>
    <xf numFmtId="0" fontId="25" fillId="6" borderId="36" xfId="17" applyFill="1" applyBorder="1">
      <alignment vertical="center"/>
    </xf>
    <xf numFmtId="0" fontId="25" fillId="6" borderId="1" xfId="17" applyFill="1" applyBorder="1">
      <alignment vertical="center"/>
    </xf>
    <xf numFmtId="0" fontId="26" fillId="6" borderId="20" xfId="17" applyFont="1" applyFill="1" applyBorder="1" applyAlignment="1">
      <alignment horizontal="center" vertical="center"/>
    </xf>
    <xf numFmtId="0" fontId="26" fillId="6" borderId="1" xfId="17" applyFont="1" applyFill="1" applyBorder="1" applyAlignment="1">
      <alignment horizontal="center" vertical="center"/>
    </xf>
    <xf numFmtId="0" fontId="24" fillId="0" borderId="36" xfId="17" applyFont="1" applyFill="1" applyBorder="1" applyAlignment="1">
      <alignment horizontal="center" vertical="center"/>
    </xf>
    <xf numFmtId="0" fontId="24" fillId="0" borderId="1" xfId="17" applyFont="1" applyFill="1" applyBorder="1" applyAlignment="1">
      <alignment horizontal="center" vertical="center"/>
    </xf>
  </cellXfs>
  <cellStyles count="2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39515714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39194589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75950848"/>
        <c:axId val="181284864"/>
        <c:axId val="0"/>
      </c:bar3DChart>
      <c:catAx>
        <c:axId val="175950848"/>
        <c:scaling>
          <c:orientation val="minMax"/>
        </c:scaling>
        <c:delete val="1"/>
        <c:axPos val="b"/>
        <c:majorTickMark val="out"/>
        <c:minorTickMark val="none"/>
        <c:tickLblPos val="none"/>
        <c:crossAx val="181284864"/>
        <c:crosses val="autoZero"/>
        <c:auto val="1"/>
        <c:lblAlgn val="ctr"/>
        <c:lblOffset val="100"/>
        <c:noMultiLvlLbl val="0"/>
      </c:catAx>
      <c:valAx>
        <c:axId val="18128486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595084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288959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273183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37866496"/>
        <c:axId val="37868288"/>
        <c:axId val="0"/>
      </c:bar3DChart>
      <c:catAx>
        <c:axId val="37866496"/>
        <c:scaling>
          <c:orientation val="minMax"/>
        </c:scaling>
        <c:delete val="1"/>
        <c:axPos val="b"/>
        <c:majorTickMark val="out"/>
        <c:minorTickMark val="none"/>
        <c:tickLblPos val="none"/>
        <c:crossAx val="37868288"/>
        <c:crosses val="autoZero"/>
        <c:auto val="1"/>
        <c:lblAlgn val="ctr"/>
        <c:lblOffset val="100"/>
        <c:noMultiLvlLbl val="0"/>
      </c:catAx>
      <c:valAx>
        <c:axId val="3786828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37866496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22.04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39194589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8208"/>
        <c:axId val="37920128"/>
      </c:lineChart>
      <c:catAx>
        <c:axId val="3791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3792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79201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379182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22.04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273183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49536"/>
        <c:axId val="133651456"/>
      </c:lineChart>
      <c:catAx>
        <c:axId val="133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651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36514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6495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22.04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59648"/>
        <c:axId val="133665920"/>
      </c:lineChart>
      <c:catAx>
        <c:axId val="13365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665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36659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6596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22.04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5642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74496"/>
        <c:axId val="133676416"/>
      </c:lineChart>
      <c:catAx>
        <c:axId val="13367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676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3676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6744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22.04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5642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26272"/>
        <c:axId val="168969728"/>
      </c:lineChart>
      <c:catAx>
        <c:axId val="14672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8969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89697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67262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=""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=""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82"/>
      <c r="M1" s="182"/>
    </row>
    <row r="2" spans="2:15" ht="33" customHeight="1">
      <c r="B2" s="192" t="s">
        <v>49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</row>
    <row r="3" spans="2:15" ht="27.75" customHeight="1">
      <c r="B3" s="194" t="s">
        <v>103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</row>
    <row r="4" spans="2:15" ht="21.2" customHeight="1" thickBot="1">
      <c r="B4" s="165" t="s">
        <v>71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</row>
    <row r="5" spans="2:15" ht="21.2" customHeight="1">
      <c r="B5" s="186" t="s">
        <v>7</v>
      </c>
      <c r="C5" s="187"/>
      <c r="D5" s="188"/>
      <c r="E5" s="35"/>
      <c r="F5" s="184" t="s">
        <v>72</v>
      </c>
      <c r="G5" s="195"/>
      <c r="H5" s="178" t="s">
        <v>97</v>
      </c>
      <c r="I5" s="178"/>
      <c r="J5" s="183" t="s">
        <v>15</v>
      </c>
      <c r="K5" s="184"/>
      <c r="L5" s="184"/>
      <c r="M5" s="185"/>
    </row>
    <row r="6" spans="2:15" ht="20.25" customHeight="1">
      <c r="B6" s="189"/>
      <c r="C6" s="190"/>
      <c r="D6" s="191"/>
      <c r="E6" s="36" t="s">
        <v>11</v>
      </c>
      <c r="F6" s="118" t="s">
        <v>99</v>
      </c>
      <c r="G6" s="37" t="s">
        <v>100</v>
      </c>
      <c r="H6" s="118" t="s">
        <v>101</v>
      </c>
      <c r="I6" s="119" t="s">
        <v>102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70" t="s">
        <v>21</v>
      </c>
      <c r="C7" s="173" t="s">
        <v>12</v>
      </c>
      <c r="D7" s="174"/>
      <c r="E7" s="13">
        <f>SUM(E8:E9)</f>
        <v>16470</v>
      </c>
      <c r="F7" s="13">
        <f>SUM(F8:F9)</f>
        <v>1397</v>
      </c>
      <c r="G7" s="13">
        <f>SUM(G8:G9)</f>
        <v>5556</v>
      </c>
      <c r="H7" s="13">
        <f>SUM(H8:H9)</f>
        <v>1412</v>
      </c>
      <c r="I7" s="13">
        <f>SUM(I8:I9)</f>
        <v>5642</v>
      </c>
      <c r="J7" s="13">
        <f>H7-F7</f>
        <v>15</v>
      </c>
      <c r="K7" s="16">
        <f>H7/F7</f>
        <v>1.0107372942018611</v>
      </c>
      <c r="L7" s="14">
        <f>I7-G7</f>
        <v>86</v>
      </c>
      <c r="M7" s="24">
        <f>I7/G7</f>
        <v>1.0154787616990641</v>
      </c>
    </row>
    <row r="8" spans="2:15" ht="19.5" customHeight="1">
      <c r="B8" s="171"/>
      <c r="C8" s="161" t="s">
        <v>9</v>
      </c>
      <c r="D8" s="162"/>
      <c r="E8" s="20">
        <v>10091</v>
      </c>
      <c r="F8" s="20">
        <v>858</v>
      </c>
      <c r="G8" s="21">
        <v>3358</v>
      </c>
      <c r="H8" s="20">
        <v>838</v>
      </c>
      <c r="I8" s="20">
        <v>3334</v>
      </c>
      <c r="J8" s="4">
        <f t="shared" ref="J8:J28" si="0">H8-F8</f>
        <v>-20</v>
      </c>
      <c r="K8" s="18">
        <f t="shared" ref="K8:K28" si="1">H8/F8</f>
        <v>0.9766899766899767</v>
      </c>
      <c r="L8" s="19">
        <f t="shared" ref="L8:L28" si="2">I8-G8</f>
        <v>-24</v>
      </c>
      <c r="M8" s="25">
        <f t="shared" ref="M8:M28" si="3">I8/G8</f>
        <v>0.99285288862418108</v>
      </c>
    </row>
    <row r="9" spans="2:15" ht="19.5" customHeight="1">
      <c r="B9" s="172"/>
      <c r="C9" s="163" t="s">
        <v>10</v>
      </c>
      <c r="D9" s="164"/>
      <c r="E9" s="21">
        <v>6379</v>
      </c>
      <c r="F9" s="21">
        <v>539</v>
      </c>
      <c r="G9" s="21">
        <v>2198</v>
      </c>
      <c r="H9" s="21">
        <v>574</v>
      </c>
      <c r="I9" s="21">
        <v>2308</v>
      </c>
      <c r="J9" s="21">
        <f t="shared" si="0"/>
        <v>35</v>
      </c>
      <c r="K9" s="22">
        <f t="shared" si="1"/>
        <v>1.0649350649350648</v>
      </c>
      <c r="L9" s="23">
        <f t="shared" si="2"/>
        <v>110</v>
      </c>
      <c r="M9" s="26">
        <f t="shared" si="3"/>
        <v>1.0500454959053684</v>
      </c>
    </row>
    <row r="10" spans="2:15" ht="21.2" customHeight="1">
      <c r="B10" s="170" t="s">
        <v>22</v>
      </c>
      <c r="C10" s="173" t="s">
        <v>8</v>
      </c>
      <c r="D10" s="174"/>
      <c r="E10" s="41">
        <f>E11+E15</f>
        <v>116876152</v>
      </c>
      <c r="F10" s="41">
        <f>F11+F15</f>
        <v>9386284</v>
      </c>
      <c r="G10" s="41">
        <f>G11+G15</f>
        <v>39515714</v>
      </c>
      <c r="H10" s="41">
        <f>H11+H15</f>
        <v>9410583</v>
      </c>
      <c r="I10" s="41">
        <f>I11+I15</f>
        <v>39194589</v>
      </c>
      <c r="J10" s="41">
        <f t="shared" si="0"/>
        <v>24299</v>
      </c>
      <c r="K10" s="16">
        <f t="shared" si="1"/>
        <v>1.0025887774118065</v>
      </c>
      <c r="L10" s="144">
        <f>I10-G10</f>
        <v>-321125</v>
      </c>
      <c r="M10" s="24">
        <f t="shared" si="3"/>
        <v>0.99187348607695658</v>
      </c>
    </row>
    <row r="11" spans="2:15" ht="19.5" customHeight="1">
      <c r="B11" s="171"/>
      <c r="C11" s="167" t="s">
        <v>1</v>
      </c>
      <c r="D11" s="83" t="s">
        <v>0</v>
      </c>
      <c r="E11" s="79">
        <f>SUM(E12:E14)</f>
        <v>104967519</v>
      </c>
      <c r="F11" s="79">
        <f>SUM(F12:F14)</f>
        <v>8500026</v>
      </c>
      <c r="G11" s="79">
        <f>SUM(G12:G14)</f>
        <v>35617784</v>
      </c>
      <c r="H11" s="79">
        <f>SUM(H12:H14)</f>
        <v>8406930</v>
      </c>
      <c r="I11" s="79">
        <f>SUM(I12:I14)</f>
        <v>35002737</v>
      </c>
      <c r="J11" s="139">
        <f>H11-F11</f>
        <v>-93096</v>
      </c>
      <c r="K11" s="80">
        <f t="shared" si="1"/>
        <v>0.98904756291333695</v>
      </c>
      <c r="L11" s="141">
        <f>I11-G11</f>
        <v>-615047</v>
      </c>
      <c r="M11" s="81">
        <f t="shared" si="3"/>
        <v>0.98273202510296542</v>
      </c>
    </row>
    <row r="12" spans="2:15" ht="19.5" customHeight="1">
      <c r="B12" s="171"/>
      <c r="C12" s="168"/>
      <c r="D12" s="5" t="s">
        <v>5</v>
      </c>
      <c r="E12" s="42">
        <v>84583157</v>
      </c>
      <c r="F12" s="42">
        <v>6607766</v>
      </c>
      <c r="G12" s="42">
        <v>28414822</v>
      </c>
      <c r="H12" s="42">
        <v>6712848</v>
      </c>
      <c r="I12" s="42">
        <v>28404927</v>
      </c>
      <c r="J12" s="137">
        <f t="shared" si="0"/>
        <v>105082</v>
      </c>
      <c r="K12" s="18">
        <f t="shared" si="1"/>
        <v>1.0159028028534909</v>
      </c>
      <c r="L12" s="142">
        <f t="shared" si="2"/>
        <v>-9895</v>
      </c>
      <c r="M12" s="25">
        <f t="shared" si="3"/>
        <v>0.99965176625072649</v>
      </c>
      <c r="O12" s="135"/>
    </row>
    <row r="13" spans="2:15" ht="19.5" customHeight="1">
      <c r="B13" s="171"/>
      <c r="C13" s="168"/>
      <c r="D13" s="5" t="s">
        <v>6</v>
      </c>
      <c r="E13" s="42">
        <v>15412892</v>
      </c>
      <c r="F13" s="42">
        <v>1439165</v>
      </c>
      <c r="G13" s="42">
        <v>5432897</v>
      </c>
      <c r="H13" s="42">
        <v>1394491</v>
      </c>
      <c r="I13" s="42">
        <v>5384178</v>
      </c>
      <c r="J13" s="137">
        <f t="shared" si="0"/>
        <v>-44674</v>
      </c>
      <c r="K13" s="18">
        <f t="shared" si="1"/>
        <v>0.96895838906588194</v>
      </c>
      <c r="L13" s="142">
        <f t="shared" si="2"/>
        <v>-48719</v>
      </c>
      <c r="M13" s="25">
        <f t="shared" si="3"/>
        <v>0.99103259274011635</v>
      </c>
    </row>
    <row r="14" spans="2:15" ht="19.5" customHeight="1">
      <c r="B14" s="171"/>
      <c r="C14" s="169"/>
      <c r="D14" s="5" t="s">
        <v>13</v>
      </c>
      <c r="E14" s="42">
        <v>4971470</v>
      </c>
      <c r="F14" s="42">
        <v>453095</v>
      </c>
      <c r="G14" s="42">
        <v>1770065</v>
      </c>
      <c r="H14" s="136">
        <v>299591</v>
      </c>
      <c r="I14" s="42">
        <v>1213632</v>
      </c>
      <c r="J14" s="137">
        <f t="shared" si="0"/>
        <v>-153504</v>
      </c>
      <c r="K14" s="18">
        <f>H14/F14</f>
        <v>0.6612101214976992</v>
      </c>
      <c r="L14" s="142">
        <f t="shared" si="2"/>
        <v>-556433</v>
      </c>
      <c r="M14" s="25">
        <f t="shared" si="3"/>
        <v>0.68564261764398482</v>
      </c>
    </row>
    <row r="15" spans="2:15" ht="19.5" customHeight="1">
      <c r="B15" s="171"/>
      <c r="C15" s="179" t="s">
        <v>2</v>
      </c>
      <c r="D15" s="82" t="s">
        <v>0</v>
      </c>
      <c r="E15" s="76">
        <f>SUM(E16:E18)</f>
        <v>11908633</v>
      </c>
      <c r="F15" s="76">
        <f>SUM(F16:F18)</f>
        <v>886258</v>
      </c>
      <c r="G15" s="76">
        <f>SUM(G16:G18)</f>
        <v>3897930</v>
      </c>
      <c r="H15" s="76">
        <f>SUM(H16:H18)</f>
        <v>1003653</v>
      </c>
      <c r="I15" s="76">
        <f>SUM(I16:I18)</f>
        <v>4191852</v>
      </c>
      <c r="J15" s="140">
        <f t="shared" si="0"/>
        <v>117395</v>
      </c>
      <c r="K15" s="77">
        <f t="shared" si="1"/>
        <v>1.1324614277106666</v>
      </c>
      <c r="L15" s="143">
        <f t="shared" si="2"/>
        <v>293922</v>
      </c>
      <c r="M15" s="78">
        <f t="shared" si="3"/>
        <v>1.0754046378462414</v>
      </c>
    </row>
    <row r="16" spans="2:15" ht="19.5" customHeight="1">
      <c r="B16" s="171"/>
      <c r="C16" s="180"/>
      <c r="D16" s="5" t="s">
        <v>3</v>
      </c>
      <c r="E16" s="42">
        <v>8645260</v>
      </c>
      <c r="F16" s="42">
        <v>628888</v>
      </c>
      <c r="G16" s="42">
        <v>2779162</v>
      </c>
      <c r="H16" s="42">
        <v>741454</v>
      </c>
      <c r="I16" s="42">
        <v>2802352</v>
      </c>
      <c r="J16" s="138">
        <f t="shared" si="0"/>
        <v>112566</v>
      </c>
      <c r="K16" s="18">
        <f t="shared" si="1"/>
        <v>1.1789921257839233</v>
      </c>
      <c r="L16" s="142">
        <f t="shared" si="2"/>
        <v>23190</v>
      </c>
      <c r="M16" s="25">
        <f t="shared" si="3"/>
        <v>1.0083442418973776</v>
      </c>
    </row>
    <row r="17" spans="1:13" ht="19.5" customHeight="1">
      <c r="B17" s="171"/>
      <c r="C17" s="180"/>
      <c r="D17" s="6" t="s">
        <v>4</v>
      </c>
      <c r="E17" s="43">
        <v>3263373</v>
      </c>
      <c r="F17" s="43">
        <v>257370</v>
      </c>
      <c r="G17" s="43">
        <v>1118768</v>
      </c>
      <c r="H17" s="43">
        <v>262199</v>
      </c>
      <c r="I17" s="43">
        <v>1329503</v>
      </c>
      <c r="J17" s="138">
        <f t="shared" si="0"/>
        <v>4829</v>
      </c>
      <c r="K17" s="18">
        <f t="shared" si="1"/>
        <v>1.0187628705754361</v>
      </c>
      <c r="L17" s="142">
        <f t="shared" si="2"/>
        <v>210735</v>
      </c>
      <c r="M17" s="25">
        <f t="shared" si="3"/>
        <v>1.1883634497947742</v>
      </c>
    </row>
    <row r="18" spans="1:13" ht="19.5" customHeight="1">
      <c r="B18" s="172"/>
      <c r="C18" s="181"/>
      <c r="D18" s="6" t="s">
        <v>17</v>
      </c>
      <c r="E18" s="85">
        <v>0</v>
      </c>
      <c r="F18" s="85">
        <v>0</v>
      </c>
      <c r="G18" s="85">
        <v>0</v>
      </c>
      <c r="H18" s="85">
        <v>0</v>
      </c>
      <c r="I18" s="43">
        <v>59997</v>
      </c>
      <c r="J18" s="85">
        <v>0</v>
      </c>
      <c r="K18" s="85">
        <v>0</v>
      </c>
      <c r="L18" s="142">
        <f t="shared" si="2"/>
        <v>59997</v>
      </c>
      <c r="M18" s="25" t="s">
        <v>98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75" t="s">
        <v>23</v>
      </c>
      <c r="L19" s="176"/>
      <c r="M19" s="177"/>
    </row>
    <row r="20" spans="1:13" ht="21.2" customHeight="1">
      <c r="B20" s="146"/>
      <c r="C20" s="173" t="s">
        <v>8</v>
      </c>
      <c r="D20" s="174"/>
      <c r="E20" s="89">
        <f>SUM(E21,E25)</f>
        <v>936246</v>
      </c>
      <c r="F20" s="3">
        <f>SUM(F21,F25)</f>
        <v>81007</v>
      </c>
      <c r="G20" s="3">
        <f>SUM(G21,G25)</f>
        <v>288959</v>
      </c>
      <c r="H20" s="89">
        <f>SUM(H21,H25)</f>
        <v>69468</v>
      </c>
      <c r="I20" s="89">
        <f>SUM(I21,I25)</f>
        <v>273183</v>
      </c>
      <c r="J20" s="90">
        <f t="shared" si="0"/>
        <v>-11539</v>
      </c>
      <c r="K20" s="91">
        <f t="shared" si="1"/>
        <v>0.85755551989334255</v>
      </c>
      <c r="L20" s="92">
        <f t="shared" si="2"/>
        <v>-15776</v>
      </c>
      <c r="M20" s="24">
        <f>I20/G20</f>
        <v>0.94540401925532691</v>
      </c>
    </row>
    <row r="21" spans="1:13" ht="19.5" customHeight="1">
      <c r="B21" s="147"/>
      <c r="C21" s="160" t="s">
        <v>1</v>
      </c>
      <c r="D21" s="84" t="s">
        <v>0</v>
      </c>
      <c r="E21" s="85">
        <f>SUM(E22:E24)</f>
        <v>936246</v>
      </c>
      <c r="F21" s="85">
        <f>SUM(F22:F24)</f>
        <v>81007</v>
      </c>
      <c r="G21" s="85">
        <f>SUM(G22:G24)</f>
        <v>288959</v>
      </c>
      <c r="H21" s="85">
        <f>SUM(H22:H24)</f>
        <v>69468</v>
      </c>
      <c r="I21" s="85">
        <f>SUM(I22:I24)</f>
        <v>273183</v>
      </c>
      <c r="J21" s="86">
        <f t="shared" si="0"/>
        <v>-11539</v>
      </c>
      <c r="K21" s="87">
        <f t="shared" si="1"/>
        <v>0.85755551989334255</v>
      </c>
      <c r="L21" s="88">
        <f t="shared" si="2"/>
        <v>-15776</v>
      </c>
      <c r="M21" s="81">
        <f t="shared" si="3"/>
        <v>0.94540401925532691</v>
      </c>
    </row>
    <row r="22" spans="1:13" ht="19.5" customHeight="1">
      <c r="B22" s="148" t="s">
        <v>19</v>
      </c>
      <c r="C22" s="160"/>
      <c r="D22" s="46" t="s">
        <v>5</v>
      </c>
      <c r="E22" s="123">
        <v>467367</v>
      </c>
      <c r="F22" s="48">
        <v>41777</v>
      </c>
      <c r="G22" s="48">
        <v>143448</v>
      </c>
      <c r="H22" s="48">
        <v>34796</v>
      </c>
      <c r="I22" s="48">
        <v>132700</v>
      </c>
      <c r="J22" s="134">
        <f t="shared" si="0"/>
        <v>-6981</v>
      </c>
      <c r="K22" s="45">
        <f t="shared" si="1"/>
        <v>0.83289848481221729</v>
      </c>
      <c r="L22" s="23">
        <f t="shared" si="2"/>
        <v>-10748</v>
      </c>
      <c r="M22" s="25">
        <f t="shared" si="3"/>
        <v>0.9250738943728738</v>
      </c>
    </row>
    <row r="23" spans="1:13" ht="19.5" customHeight="1">
      <c r="B23" s="148" t="s">
        <v>20</v>
      </c>
      <c r="C23" s="160"/>
      <c r="D23" s="2" t="s">
        <v>14</v>
      </c>
      <c r="E23" s="123">
        <v>457531</v>
      </c>
      <c r="F23" s="48">
        <v>38541</v>
      </c>
      <c r="G23" s="48">
        <v>141075</v>
      </c>
      <c r="H23" s="48">
        <v>32398</v>
      </c>
      <c r="I23" s="48">
        <v>133392</v>
      </c>
      <c r="J23" s="134">
        <f t="shared" si="0"/>
        <v>-6143</v>
      </c>
      <c r="K23" s="45">
        <f t="shared" si="1"/>
        <v>0.84061129706027349</v>
      </c>
      <c r="L23" s="19">
        <f t="shared" si="2"/>
        <v>-7683</v>
      </c>
      <c r="M23" s="25">
        <f t="shared" si="3"/>
        <v>0.94553960659223812</v>
      </c>
    </row>
    <row r="24" spans="1:13" ht="19.5" customHeight="1">
      <c r="B24" s="149"/>
      <c r="C24" s="160"/>
      <c r="D24" s="2" t="s">
        <v>13</v>
      </c>
      <c r="E24" s="123">
        <v>11348</v>
      </c>
      <c r="F24" s="48">
        <v>689</v>
      </c>
      <c r="G24" s="48">
        <v>4436</v>
      </c>
      <c r="H24" s="48">
        <v>2274</v>
      </c>
      <c r="I24" s="48">
        <v>7091</v>
      </c>
      <c r="J24" s="134">
        <f t="shared" si="0"/>
        <v>1585</v>
      </c>
      <c r="K24" s="45">
        <f t="shared" si="1"/>
        <v>3.300435413642961</v>
      </c>
      <c r="L24" s="19">
        <f t="shared" si="2"/>
        <v>2655</v>
      </c>
      <c r="M24" s="25">
        <f t="shared" si="3"/>
        <v>1.5985121731289449</v>
      </c>
    </row>
    <row r="25" spans="1:13" ht="19.5" customHeight="1">
      <c r="B25" s="147"/>
      <c r="C25" s="198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47"/>
      <c r="C26" s="198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50"/>
      <c r="C27" s="198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99" t="s">
        <v>67</v>
      </c>
      <c r="C28" s="200"/>
      <c r="D28" s="201"/>
      <c r="E28" s="104">
        <v>1429401</v>
      </c>
      <c r="F28" s="104">
        <v>143246</v>
      </c>
      <c r="G28" s="104">
        <v>496041</v>
      </c>
      <c r="H28" s="104">
        <v>132600</v>
      </c>
      <c r="I28" s="104">
        <v>525512</v>
      </c>
      <c r="J28" s="105">
        <f t="shared" si="0"/>
        <v>-10646</v>
      </c>
      <c r="K28" s="106">
        <f t="shared" si="1"/>
        <v>0.92568029822822273</v>
      </c>
      <c r="L28" s="107">
        <f t="shared" si="2"/>
        <v>29471</v>
      </c>
      <c r="M28" s="108">
        <f t="shared" si="3"/>
        <v>1.0594124276017507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204" customFormat="1" ht="18.75" customHeight="1">
      <c r="A30" s="204" t="s">
        <v>27</v>
      </c>
    </row>
    <row r="31" spans="1:13" s="47" customFormat="1" ht="21.2" customHeight="1">
      <c r="B31" s="203" t="s">
        <v>24</v>
      </c>
      <c r="C31" s="203"/>
      <c r="D31" s="101"/>
      <c r="E31" s="101"/>
      <c r="F31" s="101"/>
      <c r="G31" s="101"/>
      <c r="H31" s="203" t="s">
        <v>25</v>
      </c>
      <c r="I31" s="203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02" customFormat="1" ht="24" customHeight="1"/>
    <row r="41" spans="2:13" ht="19.5" customHeight="1"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</row>
    <row r="42" spans="2:13" ht="19.5" customHeight="1">
      <c r="B42" s="196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6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7" sqref="G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05" t="s">
        <v>70</v>
      </c>
      <c r="G2" s="205"/>
      <c r="H2"/>
      <c r="I2"/>
      <c r="J2"/>
      <c r="K2" s="111"/>
      <c r="L2" s="111"/>
      <c r="M2" s="205" t="s">
        <v>29</v>
      </c>
      <c r="N2" s="205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22.04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22.04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5642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116876</v>
      </c>
      <c r="N4" s="157">
        <f>통계요약!I10</f>
        <v>39194589</v>
      </c>
    </row>
    <row r="5" spans="1:27" s="52" customFormat="1" ht="30.2" customHeight="1" thickBot="1">
      <c r="A5"/>
      <c r="B5"/>
      <c r="C5"/>
      <c r="D5" s="111"/>
      <c r="E5" s="111"/>
      <c r="F5" s="206" t="s">
        <v>33</v>
      </c>
      <c r="G5" s="206"/>
      <c r="H5" s="56"/>
      <c r="I5" s="57"/>
      <c r="J5" s="57"/>
      <c r="K5" s="111"/>
      <c r="L5" s="111"/>
      <c r="M5" s="206" t="s">
        <v>34</v>
      </c>
      <c r="N5" s="206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22.04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22.04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936246</v>
      </c>
      <c r="G7" s="116">
        <f>통계요약!I20</f>
        <v>273183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39" sqref="O39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17" t="s">
        <v>39</v>
      </c>
      <c r="B2" s="218"/>
      <c r="C2" s="218"/>
      <c r="D2" s="221" t="s">
        <v>40</v>
      </c>
      <c r="E2" s="69"/>
      <c r="F2" s="211" t="s">
        <v>72</v>
      </c>
      <c r="G2" s="211"/>
      <c r="H2" s="211" t="s">
        <v>97</v>
      </c>
      <c r="I2" s="211"/>
      <c r="J2" s="211" t="s">
        <v>41</v>
      </c>
      <c r="K2" s="211"/>
      <c r="L2" s="211"/>
      <c r="M2" s="212"/>
    </row>
    <row r="3" spans="1:16" ht="21.95" customHeight="1">
      <c r="A3" s="219"/>
      <c r="B3" s="220"/>
      <c r="C3" s="220"/>
      <c r="D3" s="222"/>
      <c r="E3" s="70" t="s">
        <v>42</v>
      </c>
      <c r="F3" s="70" t="str">
        <f>통계요약!F6</f>
        <v>4월(A)</v>
      </c>
      <c r="G3" s="70" t="str">
        <f>통계요약!G6</f>
        <v>4월누계(B)</v>
      </c>
      <c r="H3" s="112" t="str">
        <f>통계요약!H6</f>
        <v>4월(C)</v>
      </c>
      <c r="I3" s="70" t="str">
        <f>통계요약!I6</f>
        <v>4월누계(D)</v>
      </c>
      <c r="J3" s="70" t="s">
        <v>43</v>
      </c>
      <c r="K3" s="71" t="s">
        <v>44</v>
      </c>
      <c r="L3" s="72" t="s">
        <v>45</v>
      </c>
      <c r="M3" s="126" t="s">
        <v>44</v>
      </c>
    </row>
    <row r="4" spans="1:16" ht="21.95" customHeight="1">
      <c r="A4" s="213" t="s">
        <v>46</v>
      </c>
      <c r="B4" s="214"/>
      <c r="C4" s="214"/>
      <c r="D4" s="156" t="s">
        <v>47</v>
      </c>
      <c r="E4" s="99">
        <f>SUM(E6,E8,E10,E12,E14,E16,E18,E22,E20,E26,E28,E30,E32,E24,E34)</f>
        <v>936246</v>
      </c>
      <c r="F4" s="99">
        <f>SUM(F6,F8,F10,F12,F14,F16,F18,F22,F20,F26,F28,F30,F32,F24,F34)</f>
        <v>81007</v>
      </c>
      <c r="G4" s="99">
        <f>SUM(G6,G8,G10,G12,G14,G16,G18,G22,G20,G26,G28,G30,G32,G24,G34)</f>
        <v>288959</v>
      </c>
      <c r="H4" s="99">
        <f>SUM(H6,H8,H10,H12,H14,H16,H18,H22,H20,H26,H28,H30,H32,H24,H34)</f>
        <v>69468</v>
      </c>
      <c r="I4" s="99">
        <f>SUM(I6,I8,I10,I12,I14,I16,I18,I22,I20,I26,I28,I30,I32,I24,I34)</f>
        <v>273183</v>
      </c>
      <c r="J4" s="93">
        <f t="shared" ref="J4:J31" si="0">H4-F4</f>
        <v>-11539</v>
      </c>
      <c r="K4" s="94">
        <f t="shared" ref="K4:K33" si="1">(H4/F4*100)-100</f>
        <v>-14.244448010665749</v>
      </c>
      <c r="L4" s="95">
        <f t="shared" ref="L4:L31" si="2">I4-G4</f>
        <v>-15776</v>
      </c>
      <c r="M4" s="127">
        <f t="shared" ref="M4:M33" si="3">(I4/G4*100)-100</f>
        <v>-5.4595980744673085</v>
      </c>
    </row>
    <row r="5" spans="1:16" ht="21.95" customHeight="1">
      <c r="A5" s="213"/>
      <c r="B5" s="214"/>
      <c r="C5" s="214"/>
      <c r="D5" s="156" t="s">
        <v>48</v>
      </c>
      <c r="E5" s="99">
        <f>SUM(E7,E9,E11,E13,E15,E17,E19,E21,E23,E27,E29,E31,E33,E25)</f>
        <v>14361448</v>
      </c>
      <c r="F5" s="99">
        <f>SUM(F7,F9,F11,F13,F15,F17,F19,F21,F23,F27,F29,F31,F33,F25,F35)</f>
        <v>1296371</v>
      </c>
      <c r="G5" s="99">
        <f>SUM(G7,G9,G11,G13,G15,G17,G19,G21,G23,G27,G29,G31,G33,G25,G35)</f>
        <v>4446177</v>
      </c>
      <c r="H5" s="99">
        <f>SUM(H7,H9,H11,H13,H15,H17,H19,H21,H23,H27,H29,H31,H33,H25,H35)</f>
        <v>1122704</v>
      </c>
      <c r="I5" s="99">
        <f>SUM(I7,I9,I11,I13,I15,I17,I19,I21,I23,I27,I29,I31,I33,I25,I35)</f>
        <v>4287320</v>
      </c>
      <c r="J5" s="93">
        <f t="shared" si="0"/>
        <v>-173667</v>
      </c>
      <c r="K5" s="94">
        <f t="shared" si="1"/>
        <v>-13.396396556232745</v>
      </c>
      <c r="L5" s="95">
        <f t="shared" si="2"/>
        <v>-158857</v>
      </c>
      <c r="M5" s="127">
        <f t="shared" si="3"/>
        <v>-3.5728896982733716</v>
      </c>
    </row>
    <row r="6" spans="1:16" ht="21.2" customHeight="1">
      <c r="A6" s="215" t="s">
        <v>53</v>
      </c>
      <c r="B6" s="216"/>
      <c r="C6" s="216"/>
      <c r="D6" s="73" t="s">
        <v>47</v>
      </c>
      <c r="E6" s="124">
        <v>54806</v>
      </c>
      <c r="F6" s="124">
        <v>4886</v>
      </c>
      <c r="G6" s="124">
        <v>16597</v>
      </c>
      <c r="H6" s="124">
        <v>5079</v>
      </c>
      <c r="I6" s="124">
        <v>18537</v>
      </c>
      <c r="J6" s="96">
        <f t="shared" ref="J6:J20" si="4">H6-F6</f>
        <v>193</v>
      </c>
      <c r="K6" s="97">
        <f t="shared" ref="K6:K19" si="5">(H6/F6*100)-100</f>
        <v>3.9500613999181411</v>
      </c>
      <c r="L6" s="98">
        <f>I6-G6</f>
        <v>1940</v>
      </c>
      <c r="M6" s="128">
        <f>(I6/G6*100)-100</f>
        <v>11.688859432427549</v>
      </c>
      <c r="P6" s="64" t="s">
        <v>73</v>
      </c>
    </row>
    <row r="7" spans="1:16" ht="21.2" customHeight="1">
      <c r="A7" s="215"/>
      <c r="B7" s="216"/>
      <c r="C7" s="216"/>
      <c r="D7" s="73" t="s">
        <v>48</v>
      </c>
      <c r="E7" s="124">
        <v>1010788</v>
      </c>
      <c r="F7" s="124">
        <v>91885</v>
      </c>
      <c r="G7" s="124">
        <v>302766</v>
      </c>
      <c r="H7" s="124">
        <v>97335</v>
      </c>
      <c r="I7" s="124">
        <v>349744</v>
      </c>
      <c r="J7" s="96">
        <f t="shared" si="4"/>
        <v>5450</v>
      </c>
      <c r="K7" s="97">
        <f t="shared" si="5"/>
        <v>5.9313272024813699</v>
      </c>
      <c r="L7" s="98">
        <f t="shared" si="2"/>
        <v>46978</v>
      </c>
      <c r="M7" s="128">
        <f t="shared" si="3"/>
        <v>15.516273293566641</v>
      </c>
      <c r="P7" s="64" t="s">
        <v>73</v>
      </c>
    </row>
    <row r="8" spans="1:16" ht="21.2" customHeight="1">
      <c r="A8" s="215" t="s">
        <v>54</v>
      </c>
      <c r="B8" s="216"/>
      <c r="C8" s="216"/>
      <c r="D8" s="73" t="s">
        <v>47</v>
      </c>
      <c r="E8" s="124">
        <v>73319</v>
      </c>
      <c r="F8" s="124">
        <v>5495</v>
      </c>
      <c r="G8" s="124">
        <v>23687</v>
      </c>
      <c r="H8" s="124">
        <v>5936</v>
      </c>
      <c r="I8" s="124">
        <v>22841</v>
      </c>
      <c r="J8" s="96">
        <f t="shared" si="4"/>
        <v>441</v>
      </c>
      <c r="K8" s="97">
        <f t="shared" si="5"/>
        <v>8.0254777070063739</v>
      </c>
      <c r="L8" s="98">
        <f>I8-G8</f>
        <v>-846</v>
      </c>
      <c r="M8" s="128">
        <f>(I8/G8*100)-100</f>
        <v>-3.5715793473213182</v>
      </c>
      <c r="P8" s="64" t="s">
        <v>74</v>
      </c>
    </row>
    <row r="9" spans="1:16" ht="21.2" customHeight="1">
      <c r="A9" s="215"/>
      <c r="B9" s="216"/>
      <c r="C9" s="216"/>
      <c r="D9" s="73" t="s">
        <v>48</v>
      </c>
      <c r="E9" s="124">
        <v>1108270</v>
      </c>
      <c r="F9" s="124">
        <v>87295</v>
      </c>
      <c r="G9" s="124">
        <v>372977</v>
      </c>
      <c r="H9" s="124">
        <v>93201</v>
      </c>
      <c r="I9" s="124">
        <v>351706</v>
      </c>
      <c r="J9" s="96">
        <f t="shared" si="4"/>
        <v>5906</v>
      </c>
      <c r="K9" s="97">
        <f t="shared" si="5"/>
        <v>6.7655650380892212</v>
      </c>
      <c r="L9" s="98">
        <f t="shared" si="2"/>
        <v>-21271</v>
      </c>
      <c r="M9" s="128">
        <f t="shared" si="3"/>
        <v>-5.703032626676702</v>
      </c>
      <c r="P9" s="64" t="s">
        <v>74</v>
      </c>
    </row>
    <row r="10" spans="1:16" ht="21.2" customHeight="1">
      <c r="A10" s="215" t="s">
        <v>94</v>
      </c>
      <c r="B10" s="216"/>
      <c r="C10" s="216"/>
      <c r="D10" s="73" t="s">
        <v>47</v>
      </c>
      <c r="E10" s="124">
        <v>32</v>
      </c>
      <c r="F10" s="125">
        <v>0</v>
      </c>
      <c r="G10" s="125">
        <v>12</v>
      </c>
      <c r="H10" s="125">
        <v>0</v>
      </c>
      <c r="I10" s="125">
        <v>11</v>
      </c>
      <c r="J10" s="96">
        <f t="shared" si="4"/>
        <v>0</v>
      </c>
      <c r="K10" s="125">
        <v>0</v>
      </c>
      <c r="L10" s="98">
        <f t="shared" si="2"/>
        <v>-1</v>
      </c>
      <c r="M10" s="145">
        <v>0</v>
      </c>
      <c r="P10" s="64" t="s">
        <v>95</v>
      </c>
    </row>
    <row r="11" spans="1:16" ht="21.2" customHeight="1">
      <c r="A11" s="215"/>
      <c r="B11" s="216"/>
      <c r="C11" s="216"/>
      <c r="D11" s="73" t="s">
        <v>48</v>
      </c>
      <c r="E11" s="124">
        <v>760</v>
      </c>
      <c r="F11" s="125">
        <v>0</v>
      </c>
      <c r="G11" s="125">
        <v>310</v>
      </c>
      <c r="H11" s="125">
        <v>0</v>
      </c>
      <c r="I11" s="125">
        <v>39</v>
      </c>
      <c r="J11" s="96">
        <f t="shared" si="4"/>
        <v>0</v>
      </c>
      <c r="K11" s="125">
        <v>0</v>
      </c>
      <c r="L11" s="98">
        <f t="shared" si="2"/>
        <v>-271</v>
      </c>
      <c r="M11" s="145">
        <v>0</v>
      </c>
      <c r="P11" s="64" t="s">
        <v>95</v>
      </c>
    </row>
    <row r="12" spans="1:16" ht="21.2" customHeight="1">
      <c r="A12" s="215" t="s">
        <v>66</v>
      </c>
      <c r="B12" s="216"/>
      <c r="C12" s="216"/>
      <c r="D12" s="73" t="s">
        <v>47</v>
      </c>
      <c r="E12" s="125">
        <v>0</v>
      </c>
      <c r="F12" s="125">
        <v>0</v>
      </c>
      <c r="G12" s="125">
        <v>0</v>
      </c>
      <c r="H12" s="125">
        <v>0</v>
      </c>
      <c r="I12" s="125">
        <v>0</v>
      </c>
      <c r="J12" s="96">
        <f t="shared" si="4"/>
        <v>0</v>
      </c>
      <c r="K12" s="125">
        <v>0</v>
      </c>
      <c r="L12" s="98">
        <f t="shared" si="2"/>
        <v>0</v>
      </c>
      <c r="M12" s="145">
        <v>0</v>
      </c>
      <c r="P12" s="64" t="s">
        <v>75</v>
      </c>
    </row>
    <row r="13" spans="1:16" ht="21.2" customHeight="1">
      <c r="A13" s="215"/>
      <c r="B13" s="216"/>
      <c r="C13" s="216"/>
      <c r="D13" s="73" t="s">
        <v>65</v>
      </c>
      <c r="E13" s="125">
        <v>0</v>
      </c>
      <c r="F13" s="125">
        <v>0</v>
      </c>
      <c r="G13" s="125">
        <v>0</v>
      </c>
      <c r="H13" s="125">
        <v>0</v>
      </c>
      <c r="I13" s="125">
        <v>0</v>
      </c>
      <c r="J13" s="96">
        <f t="shared" si="4"/>
        <v>0</v>
      </c>
      <c r="K13" s="125">
        <v>0</v>
      </c>
      <c r="L13" s="98">
        <f t="shared" si="2"/>
        <v>0</v>
      </c>
      <c r="M13" s="145">
        <v>0</v>
      </c>
      <c r="P13" s="64" t="s">
        <v>75</v>
      </c>
    </row>
    <row r="14" spans="1:16" ht="21.2" customHeight="1">
      <c r="A14" s="215" t="s">
        <v>55</v>
      </c>
      <c r="B14" s="216"/>
      <c r="C14" s="216"/>
      <c r="D14" s="73" t="s">
        <v>47</v>
      </c>
      <c r="E14" s="124">
        <v>113070</v>
      </c>
      <c r="F14" s="124">
        <v>9864</v>
      </c>
      <c r="G14" s="124">
        <v>32499</v>
      </c>
      <c r="H14" s="124">
        <v>7360</v>
      </c>
      <c r="I14" s="124">
        <v>40333</v>
      </c>
      <c r="J14" s="96">
        <f t="shared" si="4"/>
        <v>-2504</v>
      </c>
      <c r="K14" s="97">
        <f t="shared" si="5"/>
        <v>-25.38523925385239</v>
      </c>
      <c r="L14" s="98">
        <f t="shared" si="2"/>
        <v>7834</v>
      </c>
      <c r="M14" s="128">
        <f>(I14/G14*100)-100</f>
        <v>24.105357087910392</v>
      </c>
      <c r="P14" s="64" t="s">
        <v>76</v>
      </c>
    </row>
    <row r="15" spans="1:16" ht="21.2" customHeight="1">
      <c r="A15" s="215"/>
      <c r="B15" s="216"/>
      <c r="C15" s="216"/>
      <c r="D15" s="73" t="s">
        <v>48</v>
      </c>
      <c r="E15" s="124">
        <v>1740430</v>
      </c>
      <c r="F15" s="124">
        <v>145721</v>
      </c>
      <c r="G15" s="124">
        <v>482424</v>
      </c>
      <c r="H15" s="124">
        <v>121922</v>
      </c>
      <c r="I15" s="124">
        <v>622131</v>
      </c>
      <c r="J15" s="96">
        <f t="shared" si="4"/>
        <v>-23799</v>
      </c>
      <c r="K15" s="97">
        <f t="shared" si="5"/>
        <v>-16.331894510743126</v>
      </c>
      <c r="L15" s="98">
        <f t="shared" si="2"/>
        <v>139707</v>
      </c>
      <c r="M15" s="128">
        <f t="shared" si="3"/>
        <v>28.959380130341771</v>
      </c>
      <c r="P15" s="64" t="s">
        <v>77</v>
      </c>
    </row>
    <row r="16" spans="1:16" ht="21.2" customHeight="1">
      <c r="A16" s="215" t="s">
        <v>62</v>
      </c>
      <c r="B16" s="216"/>
      <c r="C16" s="216"/>
      <c r="D16" s="73" t="s">
        <v>47</v>
      </c>
      <c r="E16" s="124">
        <v>257133</v>
      </c>
      <c r="F16" s="124">
        <v>25725</v>
      </c>
      <c r="G16" s="124">
        <v>88517</v>
      </c>
      <c r="H16" s="124">
        <v>17395</v>
      </c>
      <c r="I16" s="124">
        <v>67049</v>
      </c>
      <c r="J16" s="96">
        <f t="shared" si="4"/>
        <v>-8330</v>
      </c>
      <c r="K16" s="97">
        <f t="shared" si="5"/>
        <v>-32.38095238095238</v>
      </c>
      <c r="L16" s="98">
        <f t="shared" si="2"/>
        <v>-21468</v>
      </c>
      <c r="M16" s="128">
        <f t="shared" si="3"/>
        <v>-24.252968356360924</v>
      </c>
      <c r="P16" s="64" t="s">
        <v>78</v>
      </c>
    </row>
    <row r="17" spans="1:16" ht="21.2" customHeight="1">
      <c r="A17" s="215"/>
      <c r="B17" s="216"/>
      <c r="C17" s="216"/>
      <c r="D17" s="73" t="s">
        <v>48</v>
      </c>
      <c r="E17" s="124">
        <v>3567347</v>
      </c>
      <c r="F17" s="124">
        <v>377596</v>
      </c>
      <c r="G17" s="124">
        <v>1242159</v>
      </c>
      <c r="H17" s="124">
        <v>259826</v>
      </c>
      <c r="I17" s="124">
        <v>943759</v>
      </c>
      <c r="J17" s="96">
        <f t="shared" si="4"/>
        <v>-117770</v>
      </c>
      <c r="K17" s="97">
        <f t="shared" si="5"/>
        <v>-31.189419379442569</v>
      </c>
      <c r="L17" s="98">
        <f t="shared" si="2"/>
        <v>-298400</v>
      </c>
      <c r="M17" s="128">
        <f t="shared" si="3"/>
        <v>-24.022689526864113</v>
      </c>
      <c r="P17" s="64" t="s">
        <v>79</v>
      </c>
    </row>
    <row r="18" spans="1:16" ht="21.2" customHeight="1">
      <c r="A18" s="215" t="s">
        <v>56</v>
      </c>
      <c r="B18" s="216"/>
      <c r="C18" s="216"/>
      <c r="D18" s="73" t="s">
        <v>47</v>
      </c>
      <c r="E18" s="124">
        <v>148930</v>
      </c>
      <c r="F18" s="124">
        <v>12662</v>
      </c>
      <c r="G18" s="124">
        <v>46212</v>
      </c>
      <c r="H18" s="124">
        <v>9426</v>
      </c>
      <c r="I18" s="124">
        <v>40120</v>
      </c>
      <c r="J18" s="96">
        <f t="shared" si="4"/>
        <v>-3236</v>
      </c>
      <c r="K18" s="97">
        <f t="shared" si="5"/>
        <v>-25.556784078344648</v>
      </c>
      <c r="L18" s="98">
        <f t="shared" si="2"/>
        <v>-6092</v>
      </c>
      <c r="M18" s="129">
        <f t="shared" si="3"/>
        <v>-13.182723102224529</v>
      </c>
      <c r="P18" s="64" t="s">
        <v>80</v>
      </c>
    </row>
    <row r="19" spans="1:16" ht="21.2" customHeight="1">
      <c r="A19" s="215"/>
      <c r="B19" s="216"/>
      <c r="C19" s="216"/>
      <c r="D19" s="73" t="s">
        <v>48</v>
      </c>
      <c r="E19" s="124">
        <v>2355281</v>
      </c>
      <c r="F19" s="124">
        <v>225581</v>
      </c>
      <c r="G19" s="124">
        <v>759466</v>
      </c>
      <c r="H19" s="124">
        <v>148767</v>
      </c>
      <c r="I19" s="124">
        <v>652463</v>
      </c>
      <c r="J19" s="96">
        <f t="shared" si="4"/>
        <v>-76814</v>
      </c>
      <c r="K19" s="97">
        <f t="shared" si="5"/>
        <v>-34.051626688417912</v>
      </c>
      <c r="L19" s="98">
        <f t="shared" si="2"/>
        <v>-107003</v>
      </c>
      <c r="M19" s="129">
        <f t="shared" si="3"/>
        <v>-14.089241651370827</v>
      </c>
      <c r="P19" s="64" t="s">
        <v>81</v>
      </c>
    </row>
    <row r="20" spans="1:16" ht="21.2" customHeight="1">
      <c r="A20" s="223" t="s">
        <v>68</v>
      </c>
      <c r="B20" s="224"/>
      <c r="C20" s="224"/>
      <c r="D20" s="109" t="s">
        <v>47</v>
      </c>
      <c r="E20" s="125">
        <v>0</v>
      </c>
      <c r="F20" s="125">
        <v>0</v>
      </c>
      <c r="G20" s="125">
        <v>0</v>
      </c>
      <c r="H20" s="125">
        <v>0</v>
      </c>
      <c r="I20" s="125">
        <v>0</v>
      </c>
      <c r="J20" s="110">
        <f t="shared" si="4"/>
        <v>0</v>
      </c>
      <c r="K20" s="125">
        <v>0</v>
      </c>
      <c r="L20" s="98">
        <f t="shared" si="2"/>
        <v>0</v>
      </c>
      <c r="M20" s="145">
        <v>0</v>
      </c>
      <c r="P20" s="64" t="s">
        <v>82</v>
      </c>
    </row>
    <row r="21" spans="1:16" ht="21.2" customHeight="1">
      <c r="A21" s="223"/>
      <c r="B21" s="224"/>
      <c r="C21" s="224"/>
      <c r="D21" s="109" t="s">
        <v>48</v>
      </c>
      <c r="E21" s="125">
        <v>0</v>
      </c>
      <c r="F21" s="125">
        <v>0</v>
      </c>
      <c r="G21" s="125">
        <v>0</v>
      </c>
      <c r="H21" s="125">
        <v>0</v>
      </c>
      <c r="I21" s="125">
        <v>0</v>
      </c>
      <c r="J21" s="110">
        <f t="shared" si="0"/>
        <v>0</v>
      </c>
      <c r="K21" s="125">
        <v>0</v>
      </c>
      <c r="L21" s="98">
        <f t="shared" si="2"/>
        <v>0</v>
      </c>
      <c r="M21" s="145">
        <v>0</v>
      </c>
      <c r="P21" s="64" t="s">
        <v>83</v>
      </c>
    </row>
    <row r="22" spans="1:16" ht="21.2" customHeight="1">
      <c r="A22" s="215" t="s">
        <v>93</v>
      </c>
      <c r="B22" s="216"/>
      <c r="C22" s="216"/>
      <c r="D22" s="73" t="s">
        <v>47</v>
      </c>
      <c r="E22" s="124">
        <v>8</v>
      </c>
      <c r="F22" s="125">
        <v>0</v>
      </c>
      <c r="G22" s="125">
        <v>0</v>
      </c>
      <c r="H22" s="125">
        <v>0</v>
      </c>
      <c r="I22" s="125">
        <v>0</v>
      </c>
      <c r="J22" s="110">
        <f t="shared" si="0"/>
        <v>0</v>
      </c>
      <c r="K22" s="125">
        <v>0</v>
      </c>
      <c r="L22" s="98">
        <f t="shared" si="2"/>
        <v>0</v>
      </c>
      <c r="M22" s="145">
        <v>0</v>
      </c>
      <c r="P22" s="64" t="s">
        <v>96</v>
      </c>
    </row>
    <row r="23" spans="1:16" ht="21.2" customHeight="1">
      <c r="A23" s="215"/>
      <c r="B23" s="216"/>
      <c r="C23" s="216"/>
      <c r="D23" s="73" t="s">
        <v>48</v>
      </c>
      <c r="E23" s="124">
        <v>43</v>
      </c>
      <c r="F23" s="125">
        <v>0</v>
      </c>
      <c r="G23" s="125">
        <v>0</v>
      </c>
      <c r="H23" s="125">
        <v>0</v>
      </c>
      <c r="I23" s="125">
        <v>0</v>
      </c>
      <c r="J23" s="110">
        <f t="shared" si="0"/>
        <v>0</v>
      </c>
      <c r="K23" s="125">
        <v>0</v>
      </c>
      <c r="L23" s="98">
        <f t="shared" si="2"/>
        <v>0</v>
      </c>
      <c r="M23" s="145">
        <v>0</v>
      </c>
      <c r="P23" s="64" t="s">
        <v>96</v>
      </c>
    </row>
    <row r="24" spans="1:16" ht="21.2" customHeight="1">
      <c r="A24" s="215" t="s">
        <v>63</v>
      </c>
      <c r="B24" s="216"/>
      <c r="C24" s="216"/>
      <c r="D24" s="73" t="s">
        <v>64</v>
      </c>
      <c r="E24" s="124">
        <v>43</v>
      </c>
      <c r="F24" s="125">
        <v>0</v>
      </c>
      <c r="G24" s="125">
        <v>16</v>
      </c>
      <c r="H24" s="125">
        <v>0</v>
      </c>
      <c r="I24" s="125">
        <v>34</v>
      </c>
      <c r="J24" s="110">
        <f t="shared" si="0"/>
        <v>0</v>
      </c>
      <c r="K24" s="125">
        <v>0</v>
      </c>
      <c r="L24" s="98">
        <f t="shared" si="2"/>
        <v>18</v>
      </c>
      <c r="M24" s="145">
        <v>0</v>
      </c>
      <c r="P24" s="64" t="s">
        <v>84</v>
      </c>
    </row>
    <row r="25" spans="1:16" ht="21.2" customHeight="1">
      <c r="A25" s="215"/>
      <c r="B25" s="216"/>
      <c r="C25" s="216"/>
      <c r="D25" s="73" t="s">
        <v>65</v>
      </c>
      <c r="E25" s="124">
        <v>492</v>
      </c>
      <c r="F25" s="125">
        <v>0</v>
      </c>
      <c r="G25" s="125">
        <v>129</v>
      </c>
      <c r="H25" s="125">
        <v>0</v>
      </c>
      <c r="I25" s="125">
        <v>244</v>
      </c>
      <c r="J25" s="110">
        <f t="shared" si="0"/>
        <v>0</v>
      </c>
      <c r="K25" s="125">
        <v>0</v>
      </c>
      <c r="L25" s="98">
        <f t="shared" si="2"/>
        <v>115</v>
      </c>
      <c r="M25" s="145">
        <v>0</v>
      </c>
      <c r="P25" s="64" t="s">
        <v>84</v>
      </c>
    </row>
    <row r="26" spans="1:16" ht="21.2" customHeight="1">
      <c r="A26" s="215" t="s">
        <v>58</v>
      </c>
      <c r="B26" s="216"/>
      <c r="C26" s="216"/>
      <c r="D26" s="73" t="s">
        <v>47</v>
      </c>
      <c r="E26" s="124">
        <v>478</v>
      </c>
      <c r="F26" s="125">
        <v>42</v>
      </c>
      <c r="G26" s="125">
        <v>98</v>
      </c>
      <c r="H26" s="124">
        <v>48</v>
      </c>
      <c r="I26" s="124">
        <v>212</v>
      </c>
      <c r="J26" s="110">
        <f t="shared" si="0"/>
        <v>6</v>
      </c>
      <c r="K26" s="97">
        <f t="shared" si="1"/>
        <v>14.285714285714278</v>
      </c>
      <c r="L26" s="98">
        <f t="shared" si="2"/>
        <v>114</v>
      </c>
      <c r="M26" s="128">
        <f t="shared" si="3"/>
        <v>116.32653061224491</v>
      </c>
      <c r="P26" s="64" t="s">
        <v>85</v>
      </c>
    </row>
    <row r="27" spans="1:16" ht="21.2" customHeight="1">
      <c r="A27" s="215"/>
      <c r="B27" s="216"/>
      <c r="C27" s="216"/>
      <c r="D27" s="73" t="s">
        <v>48</v>
      </c>
      <c r="E27" s="124">
        <v>2537</v>
      </c>
      <c r="F27" s="125">
        <v>464</v>
      </c>
      <c r="G27" s="125">
        <v>965</v>
      </c>
      <c r="H27" s="124">
        <v>463</v>
      </c>
      <c r="I27" s="124">
        <v>1888</v>
      </c>
      <c r="J27" s="110">
        <f t="shared" si="0"/>
        <v>-1</v>
      </c>
      <c r="K27" s="97">
        <f t="shared" si="1"/>
        <v>-0.21551724137931672</v>
      </c>
      <c r="L27" s="98">
        <f t="shared" si="2"/>
        <v>923</v>
      </c>
      <c r="M27" s="128">
        <f t="shared" si="3"/>
        <v>95.647668393782368</v>
      </c>
      <c r="P27" s="64" t="s">
        <v>86</v>
      </c>
    </row>
    <row r="28" spans="1:16" ht="21.2" customHeight="1">
      <c r="A28" s="215" t="s">
        <v>59</v>
      </c>
      <c r="B28" s="216"/>
      <c r="C28" s="216"/>
      <c r="D28" s="73" t="s">
        <v>47</v>
      </c>
      <c r="E28" s="124">
        <v>95587</v>
      </c>
      <c r="F28" s="124">
        <v>7680</v>
      </c>
      <c r="G28" s="124">
        <v>26802</v>
      </c>
      <c r="H28" s="124">
        <v>8812</v>
      </c>
      <c r="I28" s="124">
        <v>29486</v>
      </c>
      <c r="J28" s="110">
        <f t="shared" si="0"/>
        <v>1132</v>
      </c>
      <c r="K28" s="97">
        <f t="shared" si="1"/>
        <v>14.739583333333343</v>
      </c>
      <c r="L28" s="98">
        <f t="shared" si="2"/>
        <v>2684</v>
      </c>
      <c r="M28" s="128">
        <f t="shared" si="3"/>
        <v>10.014178046414443</v>
      </c>
      <c r="P28" s="64" t="s">
        <v>87</v>
      </c>
    </row>
    <row r="29" spans="1:16" ht="21.2" customHeight="1">
      <c r="A29" s="215"/>
      <c r="B29" s="216"/>
      <c r="C29" s="216"/>
      <c r="D29" s="73" t="s">
        <v>48</v>
      </c>
      <c r="E29" s="124">
        <v>1614394</v>
      </c>
      <c r="F29" s="124">
        <v>133197</v>
      </c>
      <c r="G29" s="124">
        <v>435661</v>
      </c>
      <c r="H29" s="124">
        <v>158037</v>
      </c>
      <c r="I29" s="124">
        <v>528627</v>
      </c>
      <c r="J29" s="110">
        <f t="shared" si="0"/>
        <v>24840</v>
      </c>
      <c r="K29" s="97">
        <f t="shared" si="1"/>
        <v>18.649068672717846</v>
      </c>
      <c r="L29" s="98">
        <f t="shared" si="2"/>
        <v>92966</v>
      </c>
      <c r="M29" s="128">
        <f t="shared" si="3"/>
        <v>21.339068679546713</v>
      </c>
      <c r="P29" s="64" t="s">
        <v>88</v>
      </c>
    </row>
    <row r="30" spans="1:16" ht="21.2" customHeight="1">
      <c r="A30" s="215" t="s">
        <v>60</v>
      </c>
      <c r="B30" s="216"/>
      <c r="C30" s="216"/>
      <c r="D30" s="73" t="s">
        <v>47</v>
      </c>
      <c r="E30" s="124">
        <v>139949</v>
      </c>
      <c r="F30" s="124">
        <v>10120</v>
      </c>
      <c r="G30" s="124">
        <v>36329</v>
      </c>
      <c r="H30" s="124">
        <v>11753</v>
      </c>
      <c r="I30" s="124">
        <v>39294</v>
      </c>
      <c r="J30" s="96">
        <f t="shared" si="0"/>
        <v>1633</v>
      </c>
      <c r="K30" s="97">
        <f t="shared" si="1"/>
        <v>16.13636363636364</v>
      </c>
      <c r="L30" s="98">
        <f t="shared" si="2"/>
        <v>2965</v>
      </c>
      <c r="M30" s="128">
        <f t="shared" si="3"/>
        <v>8.1615238514685302</v>
      </c>
      <c r="P30" s="64" t="s">
        <v>89</v>
      </c>
    </row>
    <row r="31" spans="1:16" ht="21.2" customHeight="1">
      <c r="A31" s="215"/>
      <c r="B31" s="216"/>
      <c r="C31" s="216"/>
      <c r="D31" s="73" t="s">
        <v>48</v>
      </c>
      <c r="E31" s="124">
        <v>2096293</v>
      </c>
      <c r="F31" s="124">
        <v>160333</v>
      </c>
      <c r="G31" s="124">
        <v>559660</v>
      </c>
      <c r="H31" s="124">
        <v>183611</v>
      </c>
      <c r="I31" s="124">
        <v>580096</v>
      </c>
      <c r="J31" s="96">
        <f t="shared" si="0"/>
        <v>23278</v>
      </c>
      <c r="K31" s="97">
        <f t="shared" si="1"/>
        <v>14.518533302564023</v>
      </c>
      <c r="L31" s="98">
        <f t="shared" si="2"/>
        <v>20436</v>
      </c>
      <c r="M31" s="128">
        <f t="shared" si="3"/>
        <v>3.6515026980666931</v>
      </c>
      <c r="P31" s="64" t="s">
        <v>90</v>
      </c>
    </row>
    <row r="32" spans="1:16" ht="21.2" customHeight="1">
      <c r="A32" s="215" t="s">
        <v>61</v>
      </c>
      <c r="B32" s="216"/>
      <c r="C32" s="216"/>
      <c r="D32" s="73" t="s">
        <v>47</v>
      </c>
      <c r="E32" s="124">
        <v>52891</v>
      </c>
      <c r="F32" s="124">
        <v>4533</v>
      </c>
      <c r="G32" s="124">
        <v>18190</v>
      </c>
      <c r="H32" s="124">
        <v>3659</v>
      </c>
      <c r="I32" s="124">
        <v>15186</v>
      </c>
      <c r="J32" s="96">
        <f>H32-F32</f>
        <v>-874</v>
      </c>
      <c r="K32" s="97">
        <f t="shared" si="1"/>
        <v>-19.280829472755343</v>
      </c>
      <c r="L32" s="98">
        <f>I32-G32</f>
        <v>-3004</v>
      </c>
      <c r="M32" s="128">
        <f t="shared" si="3"/>
        <v>-16.514568444200108</v>
      </c>
      <c r="P32" s="64" t="s">
        <v>91</v>
      </c>
    </row>
    <row r="33" spans="1:16" ht="21.2" customHeight="1">
      <c r="A33" s="215"/>
      <c r="B33" s="216"/>
      <c r="C33" s="216"/>
      <c r="D33" s="73" t="s">
        <v>48</v>
      </c>
      <c r="E33" s="124">
        <v>864813</v>
      </c>
      <c r="F33" s="124">
        <v>74299</v>
      </c>
      <c r="G33" s="124">
        <v>289660</v>
      </c>
      <c r="H33" s="124">
        <v>59542</v>
      </c>
      <c r="I33" s="124">
        <v>255239</v>
      </c>
      <c r="J33" s="96">
        <f>H33-F33</f>
        <v>-14757</v>
      </c>
      <c r="K33" s="97">
        <f t="shared" si="1"/>
        <v>-19.861640129746021</v>
      </c>
      <c r="L33" s="98">
        <f>I33-G33</f>
        <v>-34421</v>
      </c>
      <c r="M33" s="128">
        <f t="shared" si="3"/>
        <v>-11.883242422150104</v>
      </c>
      <c r="P33" s="64" t="s">
        <v>92</v>
      </c>
    </row>
    <row r="34" spans="1:16" ht="21.2" customHeight="1">
      <c r="A34" s="207" t="s">
        <v>105</v>
      </c>
      <c r="B34" s="208"/>
      <c r="C34" s="208"/>
      <c r="D34" s="151" t="s">
        <v>47</v>
      </c>
      <c r="E34" s="125">
        <v>0</v>
      </c>
      <c r="F34" s="125">
        <v>0</v>
      </c>
      <c r="G34" s="125">
        <v>0</v>
      </c>
      <c r="H34" s="125">
        <v>0</v>
      </c>
      <c r="I34" s="152">
        <v>80</v>
      </c>
      <c r="J34" s="153">
        <f>H34-F34</f>
        <v>0</v>
      </c>
      <c r="K34" s="125">
        <v>0</v>
      </c>
      <c r="L34" s="154">
        <f>I34-G34</f>
        <v>80</v>
      </c>
      <c r="M34" s="158" t="s">
        <v>104</v>
      </c>
      <c r="P34" s="64" t="s">
        <v>106</v>
      </c>
    </row>
    <row r="35" spans="1:16" ht="21.2" customHeight="1" thickBot="1">
      <c r="A35" s="209"/>
      <c r="B35" s="210"/>
      <c r="C35" s="210"/>
      <c r="D35" s="130" t="s">
        <v>48</v>
      </c>
      <c r="E35" s="155">
        <v>0</v>
      </c>
      <c r="F35" s="155">
        <v>0</v>
      </c>
      <c r="G35" s="155">
        <v>0</v>
      </c>
      <c r="H35" s="155">
        <v>0</v>
      </c>
      <c r="I35" s="131">
        <v>1384</v>
      </c>
      <c r="J35" s="132">
        <f>H35-F35</f>
        <v>0</v>
      </c>
      <c r="K35" s="155">
        <v>0</v>
      </c>
      <c r="L35" s="133">
        <f>I35-G35</f>
        <v>1384</v>
      </c>
      <c r="M35" s="159" t="s">
        <v>104</v>
      </c>
      <c r="P35" s="64" t="s">
        <v>106</v>
      </c>
    </row>
  </sheetData>
  <mergeCells count="21">
    <mergeCell ref="A16:C17"/>
    <mergeCell ref="A18:C19"/>
    <mergeCell ref="A26:C27"/>
    <mergeCell ref="A24:C25"/>
    <mergeCell ref="A22:C23"/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2022-05-24T02:00:31Z</dcterms:modified>
</cp:coreProperties>
</file>