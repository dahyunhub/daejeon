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I7" i="21" l="1"/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G4" i="33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<sst xmlns="http://schemas.openxmlformats.org/spreadsheetml/2006/main" count="126" uniqueCount="82">
  <si>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</si>
  <si>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</si>
  <si>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</si>
  <si>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</si>
  <si>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</si>
  <si>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</si>
  <si>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</si>
  <si>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</si>
  <si>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</si>
  <si>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</si>
  <si>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</si>
  <si>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</si>
  <si>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</si>
  <si>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</si>
  <si>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</si>
  <si>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</si>
  <si>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</si>
  <si>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</si>
  <si>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</si>
  <si>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</si>
  <si>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</si>
  <si>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</si>
  <si>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</si>
  <si>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</si>
  <si>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</si>
  <si>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</si>
  <si>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</si>
  <si>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</si>
  <si>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</si>
  <si>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</si>
  <si>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</si>
  <si>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</si>
  <si>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</si>
  <si>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</si>
  <si>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</si>
  <si>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</si>
  <si>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</si>
  <si>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</si>
  <si>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</si>
  <si>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</si>
  <si>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</si>
  <si>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</si>
  <si>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</si>
  <si>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</si>
  <si>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</si>
  <si>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</si>
  <si>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</si>
  <si>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</si>
  <si>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</si>
  <si>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</si>
  <si>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</si>
  <si>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</si>
  <si>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</si>
  <si>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</si>
  <si>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</si>
  <si>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</si>
  <si>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</si>
  <si>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</si>
  <si>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</si>
  <si>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</si>
  <si>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</si>
  <si>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</si>
  <si>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</si>
  <si>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</si>
  <si>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</si>
  <si>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</si>
  <si>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</si>
  <si>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</si>
  <si>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</si>
  <si>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</si>
  <si>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</si>
  <si>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</si>
  <si>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</si>
  <si>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</si>
  <si>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(단위 : 척)</t>
    <phoneticPr fontId="5" type="noConversion"/>
  </si>
  <si>
    <t>2020년도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</si>
  <si>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</si>
  <si>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11월(A)</t>
    <phoneticPr fontId="5" type="noConversion"/>
  </si>
  <si>
    <t>11월누계(B)</t>
    <phoneticPr fontId="5" type="noConversion"/>
  </si>
  <si>
    <t>11월(C)</t>
    <phoneticPr fontId="5" type="noConversion"/>
  </si>
  <si>
    <t>11월누계(D)</t>
    <phoneticPr fontId="5" type="noConversion"/>
  </si>
  <si>
    <t>(2020. 11월분)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</si>
</sst>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176" fontId="34" fillId="6" borderId="5" xfId="0" applyNumberFormat="1" applyFont="1" applyFill="1" applyBorder="1" applyAlignment="1">
      <alignment horizontal="center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43" xfId="0" applyNumberFormat="1" applyFont="1" applyFill="1" applyBorder="1" applyAlignment="1">
      <alignment horizontal="center" vertical="center"/>
    </xf>
    <xf numFmtId="176" fontId="12" fillId="6" borderId="20" xfId="0" applyNumberFormat="1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11월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103444543</c:v>
                </c:pt>
              </c:numCache>
            </c:numRef>
          </c:val>
        </c:ser>
        <c:ser>
          <c:idx val="1"/>
          <c:order val="1"/>
          <c:tx>
            <c:v>'20년 11월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97390919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526144"/>
        <c:axId val="203527680"/>
        <c:axId val="0"/>
      </c:bar3DChart>
      <c:catAx>
        <c:axId val="203526144"/>
        <c:scaling>
          <c:orientation val="minMax"/>
        </c:scaling>
        <c:delete val="1"/>
        <c:axPos val="b"/>
        <c:majorTickMark val="out"/>
        <c:minorTickMark val="none"/>
        <c:tickLblPos val="none"/>
        <c:crossAx val="203527680"/>
        <c:crosses val="autoZero"/>
        <c:auto val="1"/>
        <c:lblAlgn val="ctr"/>
        <c:lblOffset val="100"/>
        <c:noMultiLvlLbl val="0"/>
      </c:catAx>
      <c:valAx>
        <c:axId val="203527680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526144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11월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658988</c:v>
                </c:pt>
              </c:numCache>
            </c:numRef>
          </c:val>
        </c:ser>
        <c:ser>
          <c:idx val="1"/>
          <c:order val="1"/>
          <c:tx>
            <c:v>'20년 11월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717938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3370880"/>
        <c:axId val="203372416"/>
        <c:axId val="0"/>
      </c:bar3DChart>
      <c:catAx>
        <c:axId val="203370880"/>
        <c:scaling>
          <c:orientation val="minMax"/>
        </c:scaling>
        <c:delete val="1"/>
        <c:axPos val="b"/>
        <c:majorTickMark val="out"/>
        <c:minorTickMark val="none"/>
        <c:tickLblPos val="none"/>
        <c:crossAx val="203372416"/>
        <c:crosses val="autoZero"/>
        <c:auto val="1"/>
        <c:lblAlgn val="ctr"/>
        <c:lblOffset val="100"/>
        <c:noMultiLvlLbl val="0"/>
      </c:catAx>
      <c:valAx>
        <c:axId val="20337241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37088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20.11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97390.918999999994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38336"/>
        <c:axId val="203469184"/>
      </c:lineChart>
      <c:catAx>
        <c:axId val="20343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46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4691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4383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20.11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717938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32128"/>
        <c:axId val="211634048"/>
      </c:lineChart>
      <c:catAx>
        <c:axId val="21163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634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6340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6321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[Red]\(0.00\)">
                  <c:v>20.11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58240"/>
        <c:axId val="211660160"/>
      </c:lineChart>
      <c:catAx>
        <c:axId val="21165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66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6601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6582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15780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76160"/>
        <c:axId val="211371136"/>
      </c:lineChart>
      <c:catAx>
        <c:axId val="21167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371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3711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6761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0_);\(0.00\)">
                  <c:v>20.11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15780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91232"/>
        <c:axId val="211393152"/>
      </c:lineChart>
      <c:catAx>
        <c:axId val="21139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393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13931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3912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4" sqref="B4:M4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81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3" t="s">
        <v>76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</row>
    <row r="5" spans="2:13" ht="21.2" customHeight="1">
      <c r="B5" s="189" t="s">
        <v>7</v>
      </c>
      <c r="C5" s="190"/>
      <c r="D5" s="191"/>
      <c r="E5" s="39"/>
      <c r="F5" s="187" t="s">
        <v>72</v>
      </c>
      <c r="G5" s="245"/>
      <c r="H5" s="246" t="s">
        <v>75</v>
      </c>
      <c r="I5" s="246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77</v>
      </c>
      <c r="G6" s="41" t="s">
        <v>78</v>
      </c>
      <c r="H6" s="170" t="s">
        <v>79</v>
      </c>
      <c r="I6" s="168" t="s">
        <v>80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8" t="s">
        <v>21</v>
      </c>
      <c r="C7" s="184" t="s">
        <v>12</v>
      </c>
      <c r="D7" s="185"/>
      <c r="E7" s="13">
        <f>SUM(E8:E9)</f>
        <v>18416</v>
      </c>
      <c r="F7" s="13">
        <f>SUM(F8:F9)</f>
        <v>1630</v>
      </c>
      <c r="G7" s="13">
        <f>SUM(G8:G9)</f>
        <v>16906</v>
      </c>
      <c r="H7" s="13">
        <f>SUM(H8:H9)</f>
        <v>1422</v>
      </c>
      <c r="I7" s="13">
        <f>SUM(I8:I9)</f>
        <v>15780</v>
      </c>
      <c r="J7" s="13">
        <f>H7-F7</f>
        <v>-208</v>
      </c>
      <c r="K7" s="16">
        <f>H7/F7</f>
        <v>0.87239263803680978</v>
      </c>
      <c r="L7" s="14">
        <f>I7-G7</f>
        <v>-1126</v>
      </c>
      <c r="M7" s="24">
        <f>I7/G7</f>
        <v>0.93339642730391581</v>
      </c>
    </row>
    <row r="8" spans="2:13" ht="19.5" customHeight="1">
      <c r="B8" s="209"/>
      <c r="C8" s="199" t="s">
        <v>9</v>
      </c>
      <c r="D8" s="200"/>
      <c r="E8" s="20">
        <v>11525</v>
      </c>
      <c r="F8" s="20">
        <v>940</v>
      </c>
      <c r="G8" s="21">
        <v>10566</v>
      </c>
      <c r="H8" s="20">
        <v>805</v>
      </c>
      <c r="I8" s="20">
        <v>9293</v>
      </c>
      <c r="J8" s="4">
        <f t="shared" ref="J8:J28" si="0">H8-F8</f>
        <v>-135</v>
      </c>
      <c r="K8" s="18">
        <f t="shared" ref="K8:K28" si="1">H8/F8</f>
        <v>0.8563829787234043</v>
      </c>
      <c r="L8" s="19">
        <f t="shared" ref="L8:L28" si="2">I8-G8</f>
        <v>-1273</v>
      </c>
      <c r="M8" s="26">
        <f t="shared" ref="M8:M28" si="3">I8/G8</f>
        <v>0.87951921256861632</v>
      </c>
    </row>
    <row r="9" spans="2:13" ht="19.5" customHeight="1">
      <c r="B9" s="210"/>
      <c r="C9" s="201" t="s">
        <v>10</v>
      </c>
      <c r="D9" s="202"/>
      <c r="E9" s="21">
        <v>6891</v>
      </c>
      <c r="F9" s="21">
        <v>690</v>
      </c>
      <c r="G9" s="21">
        <v>6340</v>
      </c>
      <c r="H9" s="21">
        <v>617</v>
      </c>
      <c r="I9" s="21">
        <v>6487</v>
      </c>
      <c r="J9" s="21">
        <f t="shared" si="0"/>
        <v>-73</v>
      </c>
      <c r="K9" s="22">
        <f t="shared" si="1"/>
        <v>0.89420289855072466</v>
      </c>
      <c r="L9" s="23">
        <f t="shared" si="2"/>
        <v>147</v>
      </c>
      <c r="M9" s="27">
        <f t="shared" si="3"/>
        <v>1.023186119873817</v>
      </c>
    </row>
    <row r="10" spans="2:13" ht="21.2" customHeight="1">
      <c r="B10" s="208" t="s">
        <v>22</v>
      </c>
      <c r="C10" s="184" t="s">
        <v>8</v>
      </c>
      <c r="D10" s="185"/>
      <c r="E10" s="45">
        <f>E11+E15</f>
        <v>113201331</v>
      </c>
      <c r="F10" s="45">
        <f>F11+F15</f>
        <v>9904701</v>
      </c>
      <c r="G10" s="45">
        <f>G11+G15</f>
        <v>103444543</v>
      </c>
      <c r="H10" s="45">
        <f>H11+H15</f>
        <v>9461434</v>
      </c>
      <c r="I10" s="45">
        <f>I11+I15</f>
        <v>97390919</v>
      </c>
      <c r="J10" s="45">
        <f t="shared" si="0"/>
        <v>-443267</v>
      </c>
      <c r="K10" s="16">
        <f t="shared" si="1"/>
        <v>0.95524680654166139</v>
      </c>
      <c r="L10" s="49">
        <f>I10-G10</f>
        <v>-6053624</v>
      </c>
      <c r="M10" s="24">
        <f t="shared" si="3"/>
        <v>0.94147952299426751</v>
      </c>
    </row>
    <row r="11" spans="2:13" ht="19.5" customHeight="1">
      <c r="B11" s="209"/>
      <c r="C11" s="205" t="s">
        <v>1</v>
      </c>
      <c r="D11" s="99" t="s">
        <v>0</v>
      </c>
      <c r="E11" s="93">
        <f>SUM(E12:E14)</f>
        <v>102609234</v>
      </c>
      <c r="F11" s="93">
        <f>SUM(F12:F14)</f>
        <v>9036141</v>
      </c>
      <c r="G11" s="93">
        <f>SUM(G12:G14)</f>
        <v>93719504</v>
      </c>
      <c r="H11" s="93">
        <f>SUM(H12:H14)</f>
        <v>8452079</v>
      </c>
      <c r="I11" s="93">
        <f>SUM(I12:I14)</f>
        <v>87094611</v>
      </c>
      <c r="J11" s="94">
        <f t="shared" si="0"/>
        <v>-584062</v>
      </c>
      <c r="K11" s="95">
        <f t="shared" si="1"/>
        <v>0.93536377973739016</v>
      </c>
      <c r="L11" s="96">
        <f t="shared" si="2"/>
        <v>-6624893</v>
      </c>
      <c r="M11" s="97">
        <f t="shared" si="3"/>
        <v>0.92931148035098432</v>
      </c>
    </row>
    <row r="12" spans="2:13" ht="19.5" customHeight="1">
      <c r="B12" s="209"/>
      <c r="C12" s="206"/>
      <c r="D12" s="5" t="s">
        <v>5</v>
      </c>
      <c r="E12" s="46">
        <v>80537389</v>
      </c>
      <c r="F12" s="46">
        <v>7285616</v>
      </c>
      <c r="G12" s="46">
        <v>73304846</v>
      </c>
      <c r="H12" s="46">
        <v>6547226</v>
      </c>
      <c r="I12" s="46">
        <v>69427583</v>
      </c>
      <c r="J12" s="94">
        <f t="shared" si="0"/>
        <v>-738390</v>
      </c>
      <c r="K12" s="18">
        <f t="shared" si="1"/>
        <v>0.89865098572310154</v>
      </c>
      <c r="L12" s="48">
        <f t="shared" si="2"/>
        <v>-3877263</v>
      </c>
      <c r="M12" s="26">
        <f t="shared" si="3"/>
        <v>0.94710768507719123</v>
      </c>
    </row>
    <row r="13" spans="2:13" ht="19.5" customHeight="1">
      <c r="B13" s="209"/>
      <c r="C13" s="206"/>
      <c r="D13" s="5" t="s">
        <v>6</v>
      </c>
      <c r="E13" s="46">
        <v>15743706</v>
      </c>
      <c r="F13" s="46">
        <v>1286406</v>
      </c>
      <c r="G13" s="46">
        <v>14517869</v>
      </c>
      <c r="H13" s="46">
        <v>1358049</v>
      </c>
      <c r="I13" s="46">
        <v>12858365</v>
      </c>
      <c r="J13" s="94">
        <f t="shared" si="0"/>
        <v>71643</v>
      </c>
      <c r="K13" s="18">
        <f t="shared" si="1"/>
        <v>1.0556923708378225</v>
      </c>
      <c r="L13" s="48">
        <f t="shared" si="2"/>
        <v>-1659504</v>
      </c>
      <c r="M13" s="26">
        <f t="shared" si="3"/>
        <v>0.88569231476052035</v>
      </c>
    </row>
    <row r="14" spans="2:13" ht="19.5" customHeight="1">
      <c r="B14" s="209"/>
      <c r="C14" s="207"/>
      <c r="D14" s="5" t="s">
        <v>13</v>
      </c>
      <c r="E14" s="46">
        <v>6328139</v>
      </c>
      <c r="F14" s="46">
        <v>464119</v>
      </c>
      <c r="G14" s="46">
        <v>5896789</v>
      </c>
      <c r="H14" s="46">
        <v>546804</v>
      </c>
      <c r="I14" s="46">
        <v>4808663</v>
      </c>
      <c r="J14" s="94">
        <f t="shared" si="0"/>
        <v>82685</v>
      </c>
      <c r="K14" s="18">
        <f>H14/F14</f>
        <v>1.1781547404868149</v>
      </c>
      <c r="L14" s="48">
        <f t="shared" si="2"/>
        <v>-1088126</v>
      </c>
      <c r="M14" s="26">
        <f t="shared" si="3"/>
        <v>0.81547143708211367</v>
      </c>
    </row>
    <row r="15" spans="2:13" ht="19.5" customHeight="1">
      <c r="B15" s="209"/>
      <c r="C15" s="214" t="s">
        <v>2</v>
      </c>
      <c r="D15" s="98" t="s">
        <v>0</v>
      </c>
      <c r="E15" s="88">
        <f>SUM(E16:E18)</f>
        <v>10592097</v>
      </c>
      <c r="F15" s="88">
        <f>SUM(F16:F18)</f>
        <v>868560</v>
      </c>
      <c r="G15" s="88">
        <f>SUM(G16:G18)</f>
        <v>9725039</v>
      </c>
      <c r="H15" s="88">
        <f>SUM(H16:H18)</f>
        <v>1009355</v>
      </c>
      <c r="I15" s="88">
        <f>SUM(I16:I18)</f>
        <v>10296308</v>
      </c>
      <c r="J15" s="89">
        <f t="shared" si="0"/>
        <v>140795</v>
      </c>
      <c r="K15" s="90">
        <f t="shared" si="1"/>
        <v>1.1621016394952566</v>
      </c>
      <c r="L15" s="91">
        <f t="shared" si="2"/>
        <v>571269</v>
      </c>
      <c r="M15" s="92">
        <f t="shared" si="3"/>
        <v>1.0587420780523349</v>
      </c>
    </row>
    <row r="16" spans="2:13" ht="19.5" customHeight="1">
      <c r="B16" s="209"/>
      <c r="C16" s="215"/>
      <c r="D16" s="5" t="s">
        <v>3</v>
      </c>
      <c r="E16" s="46">
        <v>7499173</v>
      </c>
      <c r="F16" s="46">
        <v>622109</v>
      </c>
      <c r="G16" s="46">
        <v>6853036</v>
      </c>
      <c r="H16" s="46">
        <v>785456</v>
      </c>
      <c r="I16" s="46">
        <v>7386628</v>
      </c>
      <c r="J16" s="89">
        <f t="shared" si="0"/>
        <v>163347</v>
      </c>
      <c r="K16" s="18">
        <f t="shared" si="1"/>
        <v>1.2625697426013769</v>
      </c>
      <c r="L16" s="48">
        <f t="shared" si="2"/>
        <v>533592</v>
      </c>
      <c r="M16" s="26">
        <f t="shared" si="3"/>
        <v>1.0778621329291134</v>
      </c>
    </row>
    <row r="17" spans="1:13" ht="19.5" customHeight="1">
      <c r="B17" s="209"/>
      <c r="C17" s="215"/>
      <c r="D17" s="6" t="s">
        <v>4</v>
      </c>
      <c r="E17" s="47">
        <v>3086684</v>
      </c>
      <c r="F17" s="47">
        <v>240833</v>
      </c>
      <c r="G17" s="47">
        <v>2866135</v>
      </c>
      <c r="H17" s="47">
        <v>223899</v>
      </c>
      <c r="I17" s="47">
        <v>2900759</v>
      </c>
      <c r="J17" s="169">
        <v>0</v>
      </c>
      <c r="K17" s="18">
        <f t="shared" si="1"/>
        <v>0.92968571582798043</v>
      </c>
      <c r="L17" s="48">
        <f t="shared" si="2"/>
        <v>34624</v>
      </c>
      <c r="M17" s="26">
        <f t="shared" si="3"/>
        <v>1.0120803800239695</v>
      </c>
    </row>
    <row r="18" spans="1:13" ht="19.5" customHeight="1">
      <c r="B18" s="210"/>
      <c r="C18" s="216"/>
      <c r="D18" s="6" t="s">
        <v>17</v>
      </c>
      <c r="E18" s="47">
        <v>6240</v>
      </c>
      <c r="F18" s="47">
        <v>5618</v>
      </c>
      <c r="G18" s="47">
        <v>5868</v>
      </c>
      <c r="H18" s="165">
        <v>0</v>
      </c>
      <c r="I18" s="47">
        <v>8921</v>
      </c>
      <c r="J18" s="89">
        <f t="shared" si="0"/>
        <v>-5618</v>
      </c>
      <c r="K18" s="18">
        <f t="shared" si="1"/>
        <v>0</v>
      </c>
      <c r="L18" s="48">
        <f t="shared" si="2"/>
        <v>3053</v>
      </c>
      <c r="M18" s="26">
        <f t="shared" si="3"/>
        <v>1.5202794819359235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1" t="s">
        <v>23</v>
      </c>
      <c r="L19" s="212"/>
      <c r="M19" s="213"/>
    </row>
    <row r="20" spans="1:13" ht="21.2" customHeight="1">
      <c r="B20" s="28"/>
      <c r="C20" s="184" t="s">
        <v>8</v>
      </c>
      <c r="D20" s="185"/>
      <c r="E20" s="105">
        <f>SUM(E21,E25)</f>
        <v>725047</v>
      </c>
      <c r="F20" s="3">
        <f>SUM(F21,F25)</f>
        <v>64235</v>
      </c>
      <c r="G20" s="3">
        <f>SUM(G21,G25)</f>
        <v>658988</v>
      </c>
      <c r="H20" s="105">
        <f>SUM(H21,H25)</f>
        <v>77302</v>
      </c>
      <c r="I20" s="105">
        <f>SUM(I21,I25)</f>
        <v>717938</v>
      </c>
      <c r="J20" s="106">
        <f t="shared" si="0"/>
        <v>13067</v>
      </c>
      <c r="K20" s="107">
        <f t="shared" si="1"/>
        <v>1.2034249241067954</v>
      </c>
      <c r="L20" s="108">
        <f t="shared" si="2"/>
        <v>58950</v>
      </c>
      <c r="M20" s="24">
        <f>I20/G20</f>
        <v>1.0894553466830958</v>
      </c>
    </row>
    <row r="21" spans="1:13" ht="19.5" customHeight="1">
      <c r="B21" s="25"/>
      <c r="C21" s="198" t="s">
        <v>1</v>
      </c>
      <c r="D21" s="100" t="s">
        <v>0</v>
      </c>
      <c r="E21" s="101">
        <f>SUM(E22:E24)</f>
        <v>725047</v>
      </c>
      <c r="F21" s="101">
        <f>SUM(F22:F24)</f>
        <v>64235</v>
      </c>
      <c r="G21" s="101">
        <f>SUM(G22:G24)</f>
        <v>658988</v>
      </c>
      <c r="H21" s="101">
        <f>SUM(H22:H24)</f>
        <v>77302</v>
      </c>
      <c r="I21" s="101">
        <f>SUM(I22:I24)</f>
        <v>717938</v>
      </c>
      <c r="J21" s="102">
        <f t="shared" si="0"/>
        <v>13067</v>
      </c>
      <c r="K21" s="103">
        <f t="shared" si="1"/>
        <v>1.2034249241067954</v>
      </c>
      <c r="L21" s="104">
        <f t="shared" si="2"/>
        <v>58950</v>
      </c>
      <c r="M21" s="97">
        <f t="shared" si="3"/>
        <v>1.0894553466830958</v>
      </c>
    </row>
    <row r="22" spans="1:13" ht="19.5" customHeight="1">
      <c r="B22" s="167" t="s">
        <v>19</v>
      </c>
      <c r="C22" s="198"/>
      <c r="D22" s="52" t="s">
        <v>5</v>
      </c>
      <c r="E22" s="54">
        <v>359665</v>
      </c>
      <c r="F22" s="54">
        <v>30034</v>
      </c>
      <c r="G22" s="54">
        <v>326767</v>
      </c>
      <c r="H22" s="54">
        <v>38475</v>
      </c>
      <c r="I22" s="54">
        <v>353996</v>
      </c>
      <c r="J22" s="102">
        <f t="shared" si="0"/>
        <v>8441</v>
      </c>
      <c r="K22" s="51">
        <f t="shared" si="1"/>
        <v>1.2810481454351734</v>
      </c>
      <c r="L22" s="23">
        <f t="shared" si="2"/>
        <v>27229</v>
      </c>
      <c r="M22" s="26">
        <f t="shared" si="3"/>
        <v>1.0833284878828033</v>
      </c>
    </row>
    <row r="23" spans="1:13" ht="19.5" customHeight="1">
      <c r="B23" s="167" t="s">
        <v>20</v>
      </c>
      <c r="C23" s="198"/>
      <c r="D23" s="2" t="s">
        <v>14</v>
      </c>
      <c r="E23" s="54">
        <v>353048</v>
      </c>
      <c r="F23" s="54">
        <v>32772</v>
      </c>
      <c r="G23" s="54">
        <v>320926</v>
      </c>
      <c r="H23" s="54">
        <v>37835</v>
      </c>
      <c r="I23" s="54">
        <v>353058</v>
      </c>
      <c r="J23" s="102">
        <f t="shared" si="0"/>
        <v>5063</v>
      </c>
      <c r="K23" s="51">
        <f t="shared" si="1"/>
        <v>1.1544916392041986</v>
      </c>
      <c r="L23" s="19">
        <f t="shared" si="2"/>
        <v>32132</v>
      </c>
      <c r="M23" s="26">
        <f t="shared" si="3"/>
        <v>1.1001227697350791</v>
      </c>
    </row>
    <row r="24" spans="1:13" ht="19.5" customHeight="1">
      <c r="B24" s="31"/>
      <c r="C24" s="198"/>
      <c r="D24" s="2" t="s">
        <v>13</v>
      </c>
      <c r="E24" s="54">
        <v>12334</v>
      </c>
      <c r="F24" s="54">
        <v>1429</v>
      </c>
      <c r="G24" s="54">
        <v>11295</v>
      </c>
      <c r="H24" s="54">
        <v>992</v>
      </c>
      <c r="I24" s="54">
        <v>10884</v>
      </c>
      <c r="J24" s="102">
        <f t="shared" si="0"/>
        <v>-437</v>
      </c>
      <c r="K24" s="51">
        <f t="shared" si="1"/>
        <v>0.69419174247725679</v>
      </c>
      <c r="L24" s="19">
        <f t="shared" si="2"/>
        <v>-411</v>
      </c>
      <c r="M24" s="26">
        <f t="shared" si="3"/>
        <v>0.96361221779548478</v>
      </c>
    </row>
    <row r="25" spans="1:13" ht="19.5" customHeight="1">
      <c r="B25" s="25"/>
      <c r="C25" s="176" t="s">
        <v>2</v>
      </c>
      <c r="D25" s="100" t="s">
        <v>71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100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100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177" t="s">
        <v>69</v>
      </c>
      <c r="C28" s="178"/>
      <c r="D28" s="179"/>
      <c r="E28" s="147">
        <v>1523131</v>
      </c>
      <c r="F28" s="147">
        <v>126066</v>
      </c>
      <c r="G28" s="147">
        <v>1400587</v>
      </c>
      <c r="H28" s="147">
        <v>139325</v>
      </c>
      <c r="I28" s="147">
        <v>1149361</v>
      </c>
      <c r="J28" s="148">
        <f t="shared" si="0"/>
        <v>13259</v>
      </c>
      <c r="K28" s="149">
        <f t="shared" si="1"/>
        <v>1.105175067028382</v>
      </c>
      <c r="L28" s="150">
        <f t="shared" si="2"/>
        <v>-251226</v>
      </c>
      <c r="M28" s="151">
        <f t="shared" si="3"/>
        <v>0.82062806523264886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33"/>
      <c r="E31" s="133"/>
      <c r="F31" s="133"/>
      <c r="G31" s="133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S16" sqref="S16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74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72">
        <v>20.11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73">
        <f>$G$3</f>
        <v>20.11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15780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97390.918999999994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73">
        <f>$G$3</f>
        <v>20.11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73">
        <f>$G$3</f>
        <v>20.11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717938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N2" sqref="N2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39" t="s">
        <v>39</v>
      </c>
      <c r="B2" s="240"/>
      <c r="C2" s="240"/>
      <c r="D2" s="243" t="s">
        <v>40</v>
      </c>
      <c r="E2" s="76"/>
      <c r="F2" s="247" t="s">
        <v>72</v>
      </c>
      <c r="G2" s="248"/>
      <c r="H2" s="235" t="s">
        <v>73</v>
      </c>
      <c r="I2" s="235"/>
      <c r="J2" s="235" t="s">
        <v>41</v>
      </c>
      <c r="K2" s="235"/>
      <c r="L2" s="235"/>
      <c r="M2" s="236"/>
    </row>
    <row r="3" spans="1:13" ht="21.95" customHeight="1">
      <c r="A3" s="241"/>
      <c r="B3" s="242"/>
      <c r="C3" s="242"/>
      <c r="D3" s="244"/>
      <c r="E3" s="77" t="s">
        <v>42</v>
      </c>
      <c r="F3" s="77" t="str">
        <f>통계요약!F6</f>
        <v>11월(A)</v>
      </c>
      <c r="G3" s="77" t="str">
        <f>통계요약!G6</f>
        <v>11월누계(B)</v>
      </c>
      <c r="H3" s="171" t="str">
        <f>통계요약!H6</f>
        <v>11월(C)</v>
      </c>
      <c r="I3" s="77" t="str">
        <f>통계요약!I6</f>
        <v>11월누계(D)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37" t="s">
        <v>46</v>
      </c>
      <c r="B4" s="238"/>
      <c r="C4" s="238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64235</v>
      </c>
      <c r="G4" s="121">
        <f>SUM(G6,G8,G10,G12,G14,G16,G18,G22,G24,G26,G28,G20)</f>
        <v>658818</v>
      </c>
      <c r="H4" s="121">
        <f>SUM(H6,H8,H12,H14,H16,H18,H22,H24,H26,H28,H20,H10)</f>
        <v>77302</v>
      </c>
      <c r="I4" s="121">
        <f>SUM(I6,I8,I12,I14,I16,I18,I22,I24,I26,I28,I20,I10)</f>
        <v>717938</v>
      </c>
      <c r="J4" s="110">
        <f t="shared" ref="J4:J27" si="0">H4-F4</f>
        <v>13067</v>
      </c>
      <c r="K4" s="111">
        <f t="shared" ref="K4:K27" si="1">(H4/F4*100)-100</f>
        <v>20.34249241067954</v>
      </c>
      <c r="L4" s="112">
        <f t="shared" ref="L4:L27" si="2">I4-G4</f>
        <v>59120</v>
      </c>
      <c r="M4" s="127">
        <f t="shared" ref="M4:M27" si="3">(I4/G4*100)-100</f>
        <v>8.9736467431065847</v>
      </c>
    </row>
    <row r="5" spans="1:13" ht="21.95" customHeight="1">
      <c r="A5" s="237"/>
      <c r="B5" s="238"/>
      <c r="C5" s="238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937057</v>
      </c>
      <c r="G5" s="121">
        <f>SUM(G7,G9,G11,G13,G15,G17,G19,G23,G25,G27,G29,G21)</f>
        <v>10061288</v>
      </c>
      <c r="H5" s="121">
        <f>SUM(H7,H9,H13,H15,H17,H19,H23,H25,H27,H29,H21,H11)</f>
        <v>1186665</v>
      </c>
      <c r="I5" s="121">
        <f>SUM(I7,I9,I13,I15,I17,I19,I23,I25,I27,I29,I21,I11)</f>
        <v>10856561</v>
      </c>
      <c r="J5" s="110">
        <f t="shared" si="0"/>
        <v>249608</v>
      </c>
      <c r="K5" s="111">
        <f t="shared" si="1"/>
        <v>26.637440411842618</v>
      </c>
      <c r="L5" s="112">
        <f t="shared" si="2"/>
        <v>795273</v>
      </c>
      <c r="M5" s="127">
        <f t="shared" si="3"/>
        <v>7.9042862106720264</v>
      </c>
    </row>
    <row r="6" spans="1:13" ht="21.2" customHeight="1">
      <c r="A6" s="225" t="s">
        <v>53</v>
      </c>
      <c r="B6" s="226"/>
      <c r="C6" s="226"/>
      <c r="D6" s="81" t="s">
        <v>47</v>
      </c>
      <c r="E6" s="122">
        <v>35729</v>
      </c>
      <c r="F6" s="122">
        <v>2931</v>
      </c>
      <c r="G6" s="122">
        <v>32768</v>
      </c>
      <c r="H6" s="122">
        <v>4144</v>
      </c>
      <c r="I6" s="122">
        <v>35542</v>
      </c>
      <c r="J6" s="113">
        <f t="shared" ref="J6:J18" si="4">H6-F6</f>
        <v>1213</v>
      </c>
      <c r="K6" s="114">
        <f t="shared" ref="K6:K17" si="5">(H6/F6*100)-100</f>
        <v>41.385192766973717</v>
      </c>
      <c r="L6" s="115">
        <f t="shared" si="2"/>
        <v>2774</v>
      </c>
      <c r="M6" s="128">
        <f t="shared" si="3"/>
        <v>8.465576171875</v>
      </c>
    </row>
    <row r="7" spans="1:13" ht="21.2" customHeight="1">
      <c r="A7" s="225"/>
      <c r="B7" s="226"/>
      <c r="C7" s="226"/>
      <c r="D7" s="81" t="s">
        <v>48</v>
      </c>
      <c r="E7" s="122">
        <v>661078</v>
      </c>
      <c r="F7" s="122">
        <v>53310</v>
      </c>
      <c r="G7" s="122">
        <v>607326</v>
      </c>
      <c r="H7" s="122">
        <v>75011</v>
      </c>
      <c r="I7" s="122">
        <v>653508</v>
      </c>
      <c r="J7" s="113">
        <f t="shared" si="4"/>
        <v>21701</v>
      </c>
      <c r="K7" s="114">
        <f t="shared" si="5"/>
        <v>40.707184393172014</v>
      </c>
      <c r="L7" s="115">
        <f t="shared" si="2"/>
        <v>46182</v>
      </c>
      <c r="M7" s="128">
        <f t="shared" si="3"/>
        <v>7.6041532883492522</v>
      </c>
    </row>
    <row r="8" spans="1:13" ht="21.2" customHeight="1">
      <c r="A8" s="225" t="s">
        <v>54</v>
      </c>
      <c r="B8" s="226"/>
      <c r="C8" s="226"/>
      <c r="D8" s="81" t="s">
        <v>47</v>
      </c>
      <c r="E8" s="122">
        <v>59188</v>
      </c>
      <c r="F8" s="122">
        <v>5238</v>
      </c>
      <c r="G8" s="122">
        <v>53907</v>
      </c>
      <c r="H8" s="122">
        <v>6504</v>
      </c>
      <c r="I8" s="122">
        <v>57949</v>
      </c>
      <c r="J8" s="113">
        <f t="shared" si="4"/>
        <v>1266</v>
      </c>
      <c r="K8" s="114">
        <f t="shared" si="5"/>
        <v>24.169530355097365</v>
      </c>
      <c r="L8" s="115">
        <f t="shared" si="2"/>
        <v>4042</v>
      </c>
      <c r="M8" s="128">
        <f t="shared" si="3"/>
        <v>7.4980985771792206</v>
      </c>
    </row>
    <row r="9" spans="1:13" ht="21.2" customHeight="1">
      <c r="A9" s="225"/>
      <c r="B9" s="226"/>
      <c r="C9" s="226"/>
      <c r="D9" s="81" t="s">
        <v>48</v>
      </c>
      <c r="E9" s="122">
        <v>905440</v>
      </c>
      <c r="F9" s="122">
        <v>84864</v>
      </c>
      <c r="G9" s="122">
        <v>824640</v>
      </c>
      <c r="H9" s="122">
        <v>100726</v>
      </c>
      <c r="I9" s="122">
        <v>910705</v>
      </c>
      <c r="J9" s="113">
        <f t="shared" si="4"/>
        <v>15862</v>
      </c>
      <c r="K9" s="114">
        <f t="shared" si="5"/>
        <v>18.691082202111616</v>
      </c>
      <c r="L9" s="115">
        <f t="shared" si="2"/>
        <v>86065</v>
      </c>
      <c r="M9" s="128">
        <f t="shared" si="3"/>
        <v>10.436675397749326</v>
      </c>
    </row>
    <row r="10" spans="1:13" ht="21.2" customHeight="1">
      <c r="A10" s="219" t="s">
        <v>66</v>
      </c>
      <c r="B10" s="220"/>
      <c r="C10" s="221"/>
      <c r="D10" s="81" t="s">
        <v>47</v>
      </c>
      <c r="E10" s="122">
        <v>1727</v>
      </c>
      <c r="F10" s="164">
        <v>0</v>
      </c>
      <c r="G10" s="122">
        <v>1727</v>
      </c>
      <c r="H10" s="164">
        <v>0</v>
      </c>
      <c r="I10" s="164">
        <v>11</v>
      </c>
      <c r="J10" s="113">
        <f t="shared" si="4"/>
        <v>0</v>
      </c>
      <c r="K10" s="114" t="e">
        <f t="shared" si="5"/>
        <v>#DIV/0!</v>
      </c>
      <c r="L10" s="115">
        <f t="shared" si="2"/>
        <v>-1716</v>
      </c>
      <c r="M10" s="128">
        <f t="shared" si="3"/>
        <v>-99.363057324840767</v>
      </c>
    </row>
    <row r="11" spans="1:13" ht="21.2" customHeight="1">
      <c r="A11" s="222"/>
      <c r="B11" s="223"/>
      <c r="C11" s="224"/>
      <c r="D11" s="81" t="s">
        <v>65</v>
      </c>
      <c r="E11" s="122">
        <v>36095</v>
      </c>
      <c r="F11" s="164">
        <v>0</v>
      </c>
      <c r="G11" s="122">
        <v>36095</v>
      </c>
      <c r="H11" s="164">
        <v>0</v>
      </c>
      <c r="I11" s="164">
        <v>0</v>
      </c>
      <c r="J11" s="113">
        <f t="shared" si="4"/>
        <v>0</v>
      </c>
      <c r="K11" s="114" t="e">
        <f t="shared" si="5"/>
        <v>#DIV/0!</v>
      </c>
      <c r="L11" s="115">
        <f t="shared" si="2"/>
        <v>-36095</v>
      </c>
      <c r="M11" s="128">
        <f t="shared" si="3"/>
        <v>-100</v>
      </c>
    </row>
    <row r="12" spans="1:13" ht="21.2" customHeight="1">
      <c r="A12" s="225" t="s">
        <v>55</v>
      </c>
      <c r="B12" s="226"/>
      <c r="C12" s="226"/>
      <c r="D12" s="81" t="s">
        <v>47</v>
      </c>
      <c r="E12" s="122">
        <v>60588</v>
      </c>
      <c r="F12" s="122">
        <v>6038</v>
      </c>
      <c r="G12" s="122">
        <v>54337</v>
      </c>
      <c r="H12" s="122">
        <v>11336</v>
      </c>
      <c r="I12" s="122">
        <v>87301</v>
      </c>
      <c r="J12" s="113">
        <f t="shared" si="4"/>
        <v>5298</v>
      </c>
      <c r="K12" s="114">
        <f t="shared" si="5"/>
        <v>87.744286187479304</v>
      </c>
      <c r="L12" s="115">
        <f t="shared" si="2"/>
        <v>32964</v>
      </c>
      <c r="M12" s="128">
        <f t="shared" si="3"/>
        <v>60.665844636251535</v>
      </c>
    </row>
    <row r="13" spans="1:13" ht="21.2" customHeight="1">
      <c r="A13" s="225"/>
      <c r="B13" s="226"/>
      <c r="C13" s="226"/>
      <c r="D13" s="81" t="s">
        <v>48</v>
      </c>
      <c r="E13" s="122">
        <v>474427</v>
      </c>
      <c r="F13" s="122">
        <v>57867</v>
      </c>
      <c r="G13" s="122">
        <v>378144</v>
      </c>
      <c r="H13" s="122">
        <v>167154</v>
      </c>
      <c r="I13" s="122">
        <v>1343234</v>
      </c>
      <c r="J13" s="113">
        <f t="shared" si="4"/>
        <v>109287</v>
      </c>
      <c r="K13" s="114">
        <f t="shared" si="5"/>
        <v>188.85893514438277</v>
      </c>
      <c r="L13" s="115">
        <f t="shared" si="2"/>
        <v>965090</v>
      </c>
      <c r="M13" s="128">
        <f t="shared" si="3"/>
        <v>255.21758906659898</v>
      </c>
    </row>
    <row r="14" spans="1:13" ht="21.2" customHeight="1">
      <c r="A14" s="225" t="s">
        <v>62</v>
      </c>
      <c r="B14" s="226"/>
      <c r="C14" s="226"/>
      <c r="D14" s="81" t="s">
        <v>47</v>
      </c>
      <c r="E14" s="122">
        <v>173357</v>
      </c>
      <c r="F14" s="122">
        <v>11496</v>
      </c>
      <c r="G14" s="122">
        <v>159911</v>
      </c>
      <c r="H14" s="122">
        <v>21746</v>
      </c>
      <c r="I14" s="122">
        <v>207957</v>
      </c>
      <c r="J14" s="113">
        <f t="shared" si="4"/>
        <v>10250</v>
      </c>
      <c r="K14" s="114">
        <f t="shared" si="5"/>
        <v>89.161447459986078</v>
      </c>
      <c r="L14" s="115">
        <f t="shared" si="2"/>
        <v>48046</v>
      </c>
      <c r="M14" s="128">
        <f t="shared" si="3"/>
        <v>30.04546278867619</v>
      </c>
    </row>
    <row r="15" spans="1:13" ht="21.2" customHeight="1">
      <c r="A15" s="225"/>
      <c r="B15" s="226"/>
      <c r="C15" s="226"/>
      <c r="D15" s="81" t="s">
        <v>48</v>
      </c>
      <c r="E15" s="122">
        <v>3000801</v>
      </c>
      <c r="F15" s="122">
        <v>163578</v>
      </c>
      <c r="G15" s="122">
        <v>2832592</v>
      </c>
      <c r="H15" s="122">
        <v>299695</v>
      </c>
      <c r="I15" s="122">
        <v>2831117</v>
      </c>
      <c r="J15" s="113">
        <f t="shared" si="4"/>
        <v>136117</v>
      </c>
      <c r="K15" s="114">
        <f t="shared" si="5"/>
        <v>83.212290161268641</v>
      </c>
      <c r="L15" s="115">
        <f t="shared" si="2"/>
        <v>-1475</v>
      </c>
      <c r="M15" s="128">
        <f t="shared" si="3"/>
        <v>-5.2072448132307159E-2</v>
      </c>
    </row>
    <row r="16" spans="1:13" ht="21.2" customHeight="1">
      <c r="A16" s="225" t="s">
        <v>56</v>
      </c>
      <c r="B16" s="226"/>
      <c r="C16" s="226"/>
      <c r="D16" s="81" t="s">
        <v>47</v>
      </c>
      <c r="E16" s="122">
        <v>167550</v>
      </c>
      <c r="F16" s="122">
        <v>17445</v>
      </c>
      <c r="G16" s="122">
        <v>150377</v>
      </c>
      <c r="H16" s="122">
        <v>10298</v>
      </c>
      <c r="I16" s="122">
        <v>129588</v>
      </c>
      <c r="J16" s="113">
        <f t="shared" si="4"/>
        <v>-7147</v>
      </c>
      <c r="K16" s="82">
        <f t="shared" si="5"/>
        <v>-40.968758956721118</v>
      </c>
      <c r="L16" s="83">
        <f t="shared" si="2"/>
        <v>-20789</v>
      </c>
      <c r="M16" s="129">
        <f t="shared" si="3"/>
        <v>-13.824587536657859</v>
      </c>
    </row>
    <row r="17" spans="1:13" ht="21.2" customHeight="1">
      <c r="A17" s="225"/>
      <c r="B17" s="226"/>
      <c r="C17" s="226"/>
      <c r="D17" s="81" t="s">
        <v>48</v>
      </c>
      <c r="E17" s="122">
        <v>2696085</v>
      </c>
      <c r="F17" s="122">
        <v>269215</v>
      </c>
      <c r="G17" s="122">
        <v>2411613</v>
      </c>
      <c r="H17" s="122">
        <v>171706</v>
      </c>
      <c r="I17" s="122">
        <v>2060872</v>
      </c>
      <c r="J17" s="113">
        <f t="shared" si="4"/>
        <v>-97509</v>
      </c>
      <c r="K17" s="82">
        <f t="shared" si="5"/>
        <v>-36.219750013929385</v>
      </c>
      <c r="L17" s="83">
        <f t="shared" si="2"/>
        <v>-350741</v>
      </c>
      <c r="M17" s="129">
        <f t="shared" si="3"/>
        <v>-14.543834354848812</v>
      </c>
    </row>
    <row r="18" spans="1:13" ht="21.2" customHeight="1">
      <c r="A18" s="229" t="s">
        <v>70</v>
      </c>
      <c r="B18" s="230"/>
      <c r="C18" s="230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670</v>
      </c>
      <c r="J18" s="155">
        <f t="shared" si="4"/>
        <v>0</v>
      </c>
      <c r="K18" s="156" t="s">
        <v>68</v>
      </c>
      <c r="L18" s="157">
        <f t="shared" si="2"/>
        <v>670</v>
      </c>
      <c r="M18" s="158">
        <v>0</v>
      </c>
    </row>
    <row r="19" spans="1:13" ht="21.2" customHeight="1">
      <c r="A19" s="231"/>
      <c r="B19" s="232"/>
      <c r="C19" s="232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6371</v>
      </c>
      <c r="J19" s="155">
        <f t="shared" si="0"/>
        <v>0</v>
      </c>
      <c r="K19" s="160" t="s">
        <v>68</v>
      </c>
      <c r="L19" s="161">
        <f t="shared" si="2"/>
        <v>6371</v>
      </c>
      <c r="M19" s="162">
        <v>0</v>
      </c>
    </row>
    <row r="20" spans="1:13" ht="21.2" customHeight="1">
      <c r="A20" s="219" t="s">
        <v>63</v>
      </c>
      <c r="B20" s="220"/>
      <c r="C20" s="221"/>
      <c r="D20" s="84" t="s">
        <v>64</v>
      </c>
      <c r="E20" s="122">
        <v>178</v>
      </c>
      <c r="F20" s="163">
        <v>8</v>
      </c>
      <c r="G20" s="163">
        <v>178</v>
      </c>
      <c r="H20" s="163">
        <v>0</v>
      </c>
      <c r="I20" s="163">
        <v>112</v>
      </c>
      <c r="J20" s="113">
        <f t="shared" si="0"/>
        <v>-8</v>
      </c>
      <c r="K20" s="145" t="s">
        <v>68</v>
      </c>
      <c r="L20" s="117">
        <f t="shared" si="2"/>
        <v>-66</v>
      </c>
      <c r="M20" s="130">
        <f t="shared" si="3"/>
        <v>-37.078651685393261</v>
      </c>
    </row>
    <row r="21" spans="1:13" ht="21.2" customHeight="1">
      <c r="A21" s="222"/>
      <c r="B21" s="223"/>
      <c r="C21" s="224"/>
      <c r="D21" s="84" t="s">
        <v>65</v>
      </c>
      <c r="E21" s="122">
        <v>1254</v>
      </c>
      <c r="F21" s="163">
        <v>42</v>
      </c>
      <c r="G21" s="163">
        <v>1254</v>
      </c>
      <c r="H21" s="163">
        <v>0</v>
      </c>
      <c r="I21" s="163">
        <v>776</v>
      </c>
      <c r="J21" s="113">
        <f t="shared" si="0"/>
        <v>-42</v>
      </c>
      <c r="K21" s="145" t="s">
        <v>68</v>
      </c>
      <c r="L21" s="117">
        <f t="shared" si="2"/>
        <v>-478</v>
      </c>
      <c r="M21" s="130">
        <f t="shared" si="3"/>
        <v>-38.118022328548641</v>
      </c>
    </row>
    <row r="22" spans="1:13" ht="21.2" customHeight="1">
      <c r="A22" s="225" t="s">
        <v>58</v>
      </c>
      <c r="B22" s="226"/>
      <c r="C22" s="226"/>
      <c r="D22" s="81" t="s">
        <v>47</v>
      </c>
      <c r="E22" s="122">
        <v>486</v>
      </c>
      <c r="F22" s="164">
        <v>12</v>
      </c>
      <c r="G22" s="122">
        <v>434</v>
      </c>
      <c r="H22" s="164">
        <v>48</v>
      </c>
      <c r="I22" s="122">
        <v>524</v>
      </c>
      <c r="J22" s="113">
        <f t="shared" si="0"/>
        <v>36</v>
      </c>
      <c r="K22" s="114">
        <f t="shared" si="1"/>
        <v>300</v>
      </c>
      <c r="L22" s="115">
        <f t="shared" si="2"/>
        <v>90</v>
      </c>
      <c r="M22" s="128">
        <f t="shared" si="3"/>
        <v>20.7373271889401</v>
      </c>
    </row>
    <row r="23" spans="1:13" ht="21.2" customHeight="1">
      <c r="A23" s="233"/>
      <c r="B23" s="234"/>
      <c r="C23" s="234"/>
      <c r="D23" s="84" t="s">
        <v>48</v>
      </c>
      <c r="E23" s="122">
        <v>4285</v>
      </c>
      <c r="F23" s="164">
        <v>101</v>
      </c>
      <c r="G23" s="122">
        <v>3817</v>
      </c>
      <c r="H23" s="164">
        <v>268</v>
      </c>
      <c r="I23" s="122">
        <v>4228</v>
      </c>
      <c r="J23" s="113">
        <f t="shared" si="0"/>
        <v>167</v>
      </c>
      <c r="K23" s="116">
        <f t="shared" si="1"/>
        <v>165.34653465346537</v>
      </c>
      <c r="L23" s="117">
        <f t="shared" si="2"/>
        <v>411</v>
      </c>
      <c r="M23" s="130">
        <f t="shared" si="3"/>
        <v>10.767618548598378</v>
      </c>
    </row>
    <row r="24" spans="1:13" ht="21.2" customHeight="1">
      <c r="A24" s="225" t="s">
        <v>59</v>
      </c>
      <c r="B24" s="226"/>
      <c r="C24" s="226"/>
      <c r="D24" s="81" t="s">
        <v>47</v>
      </c>
      <c r="E24" s="122">
        <v>81150</v>
      </c>
      <c r="F24" s="122">
        <v>7497</v>
      </c>
      <c r="G24" s="122">
        <v>73603</v>
      </c>
      <c r="H24" s="122">
        <v>8277</v>
      </c>
      <c r="I24" s="122">
        <v>67003</v>
      </c>
      <c r="J24" s="113">
        <f t="shared" si="0"/>
        <v>780</v>
      </c>
      <c r="K24" s="114">
        <f t="shared" si="1"/>
        <v>10.404161664665864</v>
      </c>
      <c r="L24" s="115">
        <f t="shared" si="2"/>
        <v>-6600</v>
      </c>
      <c r="M24" s="128">
        <f t="shared" si="3"/>
        <v>-8.9670258005787815</v>
      </c>
    </row>
    <row r="25" spans="1:13" ht="21.2" customHeight="1">
      <c r="A25" s="225"/>
      <c r="B25" s="226"/>
      <c r="C25" s="226"/>
      <c r="D25" s="81" t="s">
        <v>48</v>
      </c>
      <c r="E25" s="122">
        <v>1256097</v>
      </c>
      <c r="F25" s="122">
        <v>116496</v>
      </c>
      <c r="G25" s="122">
        <v>1140957</v>
      </c>
      <c r="H25" s="122">
        <v>141208</v>
      </c>
      <c r="I25" s="122">
        <v>1085555</v>
      </c>
      <c r="J25" s="113">
        <f t="shared" si="0"/>
        <v>24712</v>
      </c>
      <c r="K25" s="114">
        <f t="shared" si="1"/>
        <v>21.212745501991478</v>
      </c>
      <c r="L25" s="115">
        <f t="shared" si="2"/>
        <v>-55402</v>
      </c>
      <c r="M25" s="128">
        <f t="shared" si="3"/>
        <v>-4.8557482884981624</v>
      </c>
    </row>
    <row r="26" spans="1:13" ht="21.2" customHeight="1">
      <c r="A26" s="225" t="s">
        <v>60</v>
      </c>
      <c r="B26" s="226"/>
      <c r="C26" s="226"/>
      <c r="D26" s="86" t="s">
        <v>47</v>
      </c>
      <c r="E26" s="123">
        <v>115220</v>
      </c>
      <c r="F26" s="123">
        <v>10725</v>
      </c>
      <c r="G26" s="123">
        <v>104933</v>
      </c>
      <c r="H26" s="123">
        <v>10684</v>
      </c>
      <c r="I26" s="123">
        <v>97019</v>
      </c>
      <c r="J26" s="113">
        <f t="shared" si="0"/>
        <v>-41</v>
      </c>
      <c r="K26" s="118">
        <f t="shared" si="1"/>
        <v>-0.38228438228438222</v>
      </c>
      <c r="L26" s="119">
        <f t="shared" si="2"/>
        <v>-7914</v>
      </c>
      <c r="M26" s="131">
        <f t="shared" si="3"/>
        <v>-7.5419553429331074</v>
      </c>
    </row>
    <row r="27" spans="1:13" ht="21.2" customHeight="1">
      <c r="A27" s="225"/>
      <c r="B27" s="226"/>
      <c r="C27" s="226"/>
      <c r="D27" s="84" t="s">
        <v>48</v>
      </c>
      <c r="E27" s="134">
        <v>1551822</v>
      </c>
      <c r="F27" s="134">
        <v>146757</v>
      </c>
      <c r="G27" s="134">
        <v>1414672</v>
      </c>
      <c r="H27" s="134">
        <v>166630</v>
      </c>
      <c r="I27" s="134">
        <v>1426359</v>
      </c>
      <c r="J27" s="135">
        <f t="shared" si="0"/>
        <v>19873</v>
      </c>
      <c r="K27" s="116">
        <f t="shared" si="1"/>
        <v>13.541432435931512</v>
      </c>
      <c r="L27" s="117">
        <f t="shared" si="2"/>
        <v>11687</v>
      </c>
      <c r="M27" s="130">
        <f t="shared" si="3"/>
        <v>0.82612789395703601</v>
      </c>
    </row>
    <row r="28" spans="1:13" ht="21.2" customHeight="1">
      <c r="A28" s="225" t="s">
        <v>61</v>
      </c>
      <c r="B28" s="226"/>
      <c r="C28" s="226"/>
      <c r="D28" s="81" t="s">
        <v>47</v>
      </c>
      <c r="E28" s="122">
        <v>29479</v>
      </c>
      <c r="F28" s="122">
        <v>2845</v>
      </c>
      <c r="G28" s="122">
        <v>26643</v>
      </c>
      <c r="H28" s="122">
        <v>4265</v>
      </c>
      <c r="I28" s="122">
        <v>34262</v>
      </c>
      <c r="J28" s="113">
        <f>H28-F28</f>
        <v>1420</v>
      </c>
      <c r="K28" s="141" t="s">
        <v>67</v>
      </c>
      <c r="L28" s="115">
        <f>I28-G28</f>
        <v>7619</v>
      </c>
      <c r="M28" s="143" t="s">
        <v>67</v>
      </c>
    </row>
    <row r="29" spans="1:13" ht="21.2" customHeight="1" thickBot="1">
      <c r="A29" s="227"/>
      <c r="B29" s="228"/>
      <c r="C29" s="228"/>
      <c r="D29" s="136" t="s">
        <v>48</v>
      </c>
      <c r="E29" s="137">
        <v>456522</v>
      </c>
      <c r="F29" s="137">
        <v>44827</v>
      </c>
      <c r="G29" s="137">
        <v>410178</v>
      </c>
      <c r="H29" s="137">
        <v>64267</v>
      </c>
      <c r="I29" s="137">
        <v>533836</v>
      </c>
      <c r="J29" s="138">
        <f>H29-F29</f>
        <v>19440</v>
      </c>
      <c r="K29" s="142" t="s">
        <v>67</v>
      </c>
      <c r="L29" s="139">
        <f>I29-G29</f>
        <v>123658</v>
      </c>
      <c r="M29" s="144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2020-12-22T00:27:42Z</dcterms:modified>
</cp:coreProperties>
</file>