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I29" i="21" l="1"/>
  <c r="I9" i="21"/>
  <c r="I23" i="21" l="1"/>
  <c r="I24" i="21"/>
  <c r="I25" i="21"/>
  <c r="I13" i="21" l="1"/>
  <c r="I18" i="21"/>
  <c r="I17" i="21"/>
  <c r="I15" i="21"/>
  <c r="H15" i="21"/>
  <c r="I14" i="21"/>
  <c r="I10" i="21"/>
  <c r="I14" i="32" l="1"/>
  <c r="J14" i="21" l="1"/>
  <c r="K30" i="32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E7" i="32"/>
  <c r="J25" i="32" l="1"/>
  <c r="J24" i="32"/>
  <c r="D9" i="32"/>
  <c r="D8" i="32"/>
  <c r="E8" i="21"/>
  <c r="F9" i="32" l="1"/>
  <c r="J23" i="21"/>
  <c r="J25" i="21"/>
  <c r="J24" i="21"/>
  <c r="J18" i="2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J17" i="21"/>
  <c r="L13" i="21"/>
  <c r="J13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H9" i="32" l="1"/>
  <c r="E16" i="21" l="1"/>
  <c r="E12" i="21"/>
  <c r="E11" i="21" l="1"/>
  <c r="O7" i="33" s="1"/>
  <c r="H22" i="21"/>
  <c r="G22" i="21" l="1"/>
  <c r="L12" i="21"/>
  <c r="G8" i="21" l="1"/>
  <c r="I8" i="21" l="1"/>
  <c r="H7" i="33" l="1"/>
  <c r="M8" i="21"/>
  <c r="H8" i="21"/>
  <c r="P9" i="33" l="1"/>
  <c r="H9" i="33"/>
  <c r="P6" i="33"/>
  <c r="H7" i="32" l="1"/>
  <c r="G7" i="32"/>
  <c r="F7" i="32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<sst xmlns="http://schemas.openxmlformats.org/spreadsheetml/2006/main" count="159" uniqueCount="112">
  <si>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</si>
  <si>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</si>
  <si>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</si>
  <si>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</si>
  <si>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</si>
  <si>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</si>
  <si>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</si>
  <si>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</si>
  <si>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</si>
  <si>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</si>
  <si>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</si>
  <si>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</si>
  <si>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</si>
  <si>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</si>
  <si>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</si>
  <si>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</si>
  <si>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</si>
  <si>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</si>
  <si>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</si>
  <si>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</si>
  <si>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</si>
  <si>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</si>
  <si>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</si>
  <si>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</si>
  <si>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</si>
  <si>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</si>
  <si>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</si>
  <si>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</si>
  <si>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</si>
  <si>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</si>
  <si>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</si>
  <si>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</si>
  <si>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</si>
  <si>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</si>
  <si>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</si>
  <si>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</si>
  <si>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</si>
  <si>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</si>
  <si>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</si>
  <si>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</si>
  <si>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</si>
  <si>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</si>
  <si>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</si>
  <si>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</si>
  <si>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</si>
  <si>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</si>
  <si>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</si>
  <si>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</si>
  <si>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</si>
  <si>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</si>
  <si>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</si>
  <si>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</si>
  <si>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</si>
  <si>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</si>
  <si>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</si>
  <si>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</si>
  <si>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</si>
  <si>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</si>
  <si>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</si>
  <si>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</si>
  <si>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</si>
  <si>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</si>
  <si>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</si>
  <si>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</si>
  <si>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</si>
  <si>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</si>
  <si>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</si>
  <si>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</si>
  <si>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</si>
  <si>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</si>
  <si>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</si>
  <si>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</si>
  <si>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</si>
  <si>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</si>
  <si>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</si>
  <si>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</si>
  <si>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</si>
  <si>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</si>
  <si>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</si>
  <si>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</si>
  <si>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</si>
  <si>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</si>
  <si>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</si>
  <si>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</si>
  <si>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</si>
  <si>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</si>
  <si>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</si>
  <si>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</si>
  <si>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</si>
  <si>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</si>
  <si>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</si>
  <si>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</si>
  <si>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</si>
  <si>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</si>
  <si>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</si>
  <si>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</si>
  <si>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</si>
  <si>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</si>
  <si>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</si>
  <si>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</si>
  <si>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`</t>
    <phoneticPr fontId="9" type="noConversion"/>
  </si>
  <si>
    <t xml:space="preserve"> </t>
    <phoneticPr fontId="20" type="noConversion"/>
  </si>
  <si>
    <t>부두별 컨테이너 물동량(8월)</t>
    <phoneticPr fontId="21" type="noConversion"/>
  </si>
  <si>
    <t>8월(A)</t>
    <phoneticPr fontId="9" type="noConversion"/>
  </si>
  <si>
    <t xml:space="preserve"> 8월누계(B) </t>
    <phoneticPr fontId="9" type="noConversion"/>
  </si>
  <si>
    <t>8월(C)</t>
    <phoneticPr fontId="9" type="noConversion"/>
  </si>
  <si>
    <t xml:space="preserve"> 8월누계(D) </t>
    <phoneticPr fontId="9" type="noConversion"/>
  </si>
  <si>
    <t>항만운영통계(8월)</t>
    <phoneticPr fontId="9" type="noConversion"/>
  </si>
  <si>
    <t>2024년도</t>
    <phoneticPr fontId="9" type="noConversion"/>
  </si>
  <si>
    <t>2025년도</t>
    <phoneticPr fontId="9" type="noConversion"/>
  </si>
  <si>
    <t>2025.8.</t>
    <phoneticPr fontId="20" type="noConversion"/>
  </si>
  <si>
    <t>2025년도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</si>
</sst>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0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4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51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8" fillId="0" borderId="0" xfId="17" applyFont="1" applyAlignment="1">
      <alignment horizontal="right" vertical="center"/>
    </xf>
    <xf numFmtId="180" fontId="8" fillId="0" borderId="0" xfId="17" applyNumberFormat="1" applyFont="1" applyAlignment="1">
      <alignment horizontal="right"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89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176" fontId="8" fillId="4" borderId="6" xfId="0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81" fontId="17" fillId="8" borderId="6" xfId="0" applyNumberFormat="1" applyFont="1" applyFill="1" applyBorder="1" applyAlignment="1">
      <alignment horizontal="right" vertical="center"/>
    </xf>
    <xf numFmtId="176" fontId="14" fillId="4" borderId="6" xfId="0" applyNumberFormat="1" applyFont="1" applyFill="1" applyBorder="1" applyAlignment="1">
      <alignment horizontal="center" vertical="center"/>
    </xf>
    <xf numFmtId="182" fontId="14" fillId="0" borderId="6" xfId="0" applyNumberFormat="1" applyFont="1" applyBorder="1" applyAlignment="1">
      <alignment horizontal="right" vertical="center"/>
    </xf>
    <xf numFmtId="182" fontId="14" fillId="0" borderId="6" xfId="0" applyNumberFormat="1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center" vertical="center"/>
    </xf>
    <xf numFmtId="182" fontId="8" fillId="4" borderId="6" xfId="0" applyNumberFormat="1" applyFont="1" applyFill="1" applyBorder="1" applyAlignment="1">
      <alignment horizontal="right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right" vertical="center"/>
    </xf>
    <xf numFmtId="176" fontId="15" fillId="6" borderId="8" xfId="0" quotePrefix="1" applyNumberFormat="1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182" fontId="15" fillId="8" borderId="23" xfId="0" applyNumberFormat="1" applyFont="1" applyFill="1" applyBorder="1" applyAlignment="1">
      <alignment horizontal="right" vertical="center"/>
    </xf>
    <xf numFmtId="182" fontId="17" fillId="8" borderId="23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8" fillId="4" borderId="18" xfId="0" applyNumberFormat="1" applyFont="1" applyFill="1" applyBorder="1" applyAlignment="1">
      <alignment horizontal="right" vertical="center"/>
    </xf>
    <xf numFmtId="176" fontId="28" fillId="4" borderId="19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176" fontId="30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41" fontId="22" fillId="8" borderId="28" xfId="15" applyNumberFormat="1" applyFont="1" applyFill="1" applyBorder="1" applyAlignment="1">
      <alignment horizontal="center"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41" fontId="22" fillId="8" borderId="15" xfId="15" applyNumberFormat="1" applyFont="1" applyFill="1" applyBorder="1" applyAlignment="1">
      <alignment horizontal="center"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2" fontId="14" fillId="0" borderId="6" xfId="0" applyNumberFormat="1" applyFont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5" borderId="13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center" vertical="center"/>
    </xf>
    <xf numFmtId="181" fontId="30" fillId="8" borderId="23" xfId="0" applyNumberFormat="1" applyFont="1" applyFill="1" applyBorder="1" applyAlignment="1">
      <alignment horizontal="right" vertical="center"/>
    </xf>
    <xf numFmtId="176" fontId="30" fillId="8" borderId="23" xfId="0" applyNumberFormat="1" applyFont="1" applyFill="1" applyBorder="1" applyAlignment="1">
      <alignment horizontal="right" vertical="center" shrinkToFit="1"/>
    </xf>
    <xf numFmtId="9" fontId="30" fillId="8" borderId="23" xfId="0" quotePrefix="1" applyNumberFormat="1" applyFont="1" applyFill="1" applyBorder="1" applyAlignment="1">
      <alignment horizontal="right" vertical="center"/>
    </xf>
    <xf numFmtId="9" fontId="38" fillId="8" borderId="24" xfId="0" applyNumberFormat="1" applyFont="1" applyFill="1" applyBorder="1" applyAlignment="1">
      <alignment horizontal="right" vertical="center"/>
    </xf>
    <xf numFmtId="41" fontId="23" fillId="0" borderId="13" xfId="23" applyFont="1" applyFill="1" applyBorder="1" applyAlignment="1">
      <alignment horizontal="right" vertical="center"/>
    </xf>
    <xf numFmtId="185" fontId="15" fillId="5" borderId="38" xfId="17" applyNumberFormat="1" applyFont="1" applyFill="1" applyBorder="1" applyAlignment="1">
      <alignment horizontal="right" vertical="center" shrinkToFit="1"/>
    </xf>
    <xf numFmtId="185" fontId="1" fillId="10" borderId="37" xfId="103" applyNumberFormat="1" applyBorder="1" applyAlignment="1">
      <alignment horizontal="right" vertical="center" shrinkToFit="1"/>
    </xf>
    <xf numFmtId="41" fontId="23" fillId="5" borderId="6" xfId="23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32" fillId="5" borderId="20" xfId="15" applyFont="1" applyFill="1" applyBorder="1" applyAlignment="1">
      <alignment horizontal="right" vertical="center"/>
    </xf>
    <xf numFmtId="176" fontId="32" fillId="5" borderId="18" xfId="15" applyFont="1" applyFill="1" applyBorder="1" applyAlignment="1">
      <alignment horizontal="right" vertical="center"/>
    </xf>
    <xf numFmtId="182" fontId="39" fillId="5" borderId="6" xfId="15" applyNumberFormat="1" applyFont="1" applyFill="1" applyBorder="1" applyAlignment="1">
      <alignment horizontal="right" vertical="center"/>
    </xf>
    <xf numFmtId="176" fontId="14" fillId="0" borderId="6" xfId="15" applyFont="1" applyFill="1" applyBorder="1" applyAlignment="1">
      <alignment horizontal="right" vertical="center"/>
    </xf>
    <xf numFmtId="176" fontId="14" fillId="5" borderId="6" xfId="15" applyFont="1" applyFill="1" applyBorder="1" applyAlignment="1">
      <alignment horizontal="right" vertical="center"/>
    </xf>
    <xf numFmtId="176" fontId="14" fillId="0" borderId="6" xfId="15" applyFont="1" applyFill="1" applyBorder="1" applyAlignment="1">
      <alignment horizontal="center" vertical="center"/>
    </xf>
    <xf numFmtId="176" fontId="30" fillId="8" borderId="22" xfId="15" applyFont="1" applyFill="1" applyBorder="1" applyAlignment="1">
      <alignment horizontal="right" vertical="center"/>
    </xf>
    <xf numFmtId="41" fontId="23" fillId="9" borderId="28" xfId="40" applyNumberFormat="1" applyFont="1" applyFill="1" applyBorder="1" applyAlignment="1">
      <alignment horizontal="center" vertical="center"/>
    </xf>
    <xf numFmtId="41" fontId="23" fillId="5" borderId="6" xfId="40" applyNumberFormat="1" applyFont="1" applyFill="1" applyBorder="1" applyAlignment="1">
      <alignment horizontal="center" vertical="center"/>
    </xf>
    <xf numFmtId="41" fontId="23" fillId="9" borderId="6" xfId="40" applyNumberFormat="1" applyFont="1" applyFill="1" applyBorder="1" applyAlignment="1">
      <alignment horizontal="center" vertical="center"/>
    </xf>
    <xf numFmtId="41" fontId="23" fillId="9" borderId="6" xfId="23" applyNumberFormat="1" applyFont="1" applyFill="1" applyBorder="1" applyAlignment="1">
      <alignment horizontal="right" vertical="center"/>
    </xf>
    <xf numFmtId="41" fontId="23" fillId="0" borderId="6" xfId="23" applyNumberFormat="1" applyFont="1" applyFill="1" applyBorder="1" applyAlignment="1">
      <alignment horizontal="right" vertical="center"/>
    </xf>
    <xf numFmtId="41" fontId="23" fillId="5" borderId="13" xfId="40" applyNumberFormat="1" applyFont="1" applyFill="1" applyBorder="1" applyAlignment="1">
      <alignment horizontal="center" vertical="center"/>
    </xf>
    <xf numFmtId="181" fontId="15" fillId="8" borderId="23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center" vertical="center"/>
    </xf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176" fontId="15" fillId="6" borderId="8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0" fontId="23" fillId="6" borderId="10" xfId="17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</cellXfs>
  <cellStyles count="104">
    <cellStyle name="20% - 강조색6" xfId="103" builtinId="50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2" xfId="21"/>
    <cellStyle name="표준 3 2 2" xfId="29"/>
    <cellStyle name="표준 3 2 2 2" xfId="39"/>
    <cellStyle name="표준 3 2 2 2 2" xfId="55"/>
    <cellStyle name="표준 3 2 2 2 2 2" xfId="101"/>
    <cellStyle name="표준 3 2 2 2 3" xfId="86"/>
    <cellStyle name="표준 3 2 2 3" xfId="47"/>
    <cellStyle name="표준 3 2 2 3 2" xfId="93"/>
    <cellStyle name="표준 3 2 2 4" xfId="78"/>
    <cellStyle name="표준 3 2 3" xfId="27"/>
    <cellStyle name="표준 3 2 3 2" xfId="37"/>
    <cellStyle name="표준 3 2 3 2 2" xfId="53"/>
    <cellStyle name="표준 3 2 3 2 2 2" xfId="99"/>
    <cellStyle name="표준 3 2 3 2 3" xfId="84"/>
    <cellStyle name="표준 3 2 3 3" xfId="45"/>
    <cellStyle name="표준 3 2 3 3 2" xfId="91"/>
    <cellStyle name="표준 3 2 3 4" xfId="76"/>
    <cellStyle name="표준 3 2 4" xfId="35"/>
    <cellStyle name="표준 3 2 4 2" xfId="51"/>
    <cellStyle name="표준 3 2 4 2 2" xfId="97"/>
    <cellStyle name="표준 3 2 4 3" xfId="82"/>
    <cellStyle name="표준 3 2 5" xfId="43"/>
    <cellStyle name="표준 3 2 5 2" xfId="89"/>
    <cellStyle name="표준 3 2 6" xfId="25"/>
    <cellStyle name="표준 3 2 6 2" xfId="74"/>
    <cellStyle name="표준 3 2 7" xfId="72"/>
    <cellStyle name="표준 3 3" xfId="28"/>
    <cellStyle name="표준 3 3 2" xfId="38"/>
    <cellStyle name="표준 3 3 2 2" xfId="54"/>
    <cellStyle name="표준 3 3 2 2 2" xfId="100"/>
    <cellStyle name="표준 3 3 2 3" xfId="85"/>
    <cellStyle name="표준 3 3 3" xfId="46"/>
    <cellStyle name="표준 3 3 3 2" xfId="92"/>
    <cellStyle name="표준 3 3 4" xfId="77"/>
    <cellStyle name="표준 3 4" xfId="26"/>
    <cellStyle name="표준 3 4 2" xfId="36"/>
    <cellStyle name="표준 3 4 2 2" xfId="52"/>
    <cellStyle name="표준 3 4 2 2 2" xfId="98"/>
    <cellStyle name="표준 3 4 2 3" xfId="83"/>
    <cellStyle name="표준 3 4 3" xfId="44"/>
    <cellStyle name="표준 3 4 3 2" xfId="90"/>
    <cellStyle name="표준 3 4 4" xfId="75"/>
    <cellStyle name="표준 3 5" xfId="30"/>
    <cellStyle name="표준 3 5 2" xfId="48"/>
    <cellStyle name="표준 3 5 2 2" xfId="94"/>
    <cellStyle name="표준 3 5 3" xfId="79"/>
    <cellStyle name="표준 3 6" xfId="34"/>
    <cellStyle name="표준 3 6 2" xfId="50"/>
    <cellStyle name="표준 3 6 2 2" xfId="96"/>
    <cellStyle name="표준 3 6 3" xfId="81"/>
    <cellStyle name="표준 3 7" xfId="42"/>
    <cellStyle name="표준 3 7 2" xfId="88"/>
    <cellStyle name="표준 3 8" xfId="24"/>
    <cellStyle name="표준 3 8 2" xfId="73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3" xfId="68"/>
    <cellStyle name="표준 6 4" xfId="80"/>
    <cellStyle name="표준 7" xfId="41"/>
    <cellStyle name="표준 7 2" xfId="69"/>
    <cellStyle name="표준 7 3" xfId="87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2025.8.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116714212</c:v>
                </c:pt>
                <c:pt idx="5">
                  <c:v>75826232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55200"/>
        <c:axId val="208258944"/>
      </c:lineChart>
      <c:catAx>
        <c:axId val="15275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258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8258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27552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2025.8.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617932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89024"/>
        <c:axId val="155915776"/>
      </c:lineChart>
      <c:catAx>
        <c:axId val="15588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15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91577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8890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2025.8.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56736"/>
        <c:axId val="155958656"/>
      </c:lineChart>
      <c:catAx>
        <c:axId val="15595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586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9586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567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2025.8.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12063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75040"/>
        <c:axId val="155989504"/>
      </c:lineChart>
      <c:catAx>
        <c:axId val="15597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89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9895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750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topLeftCell="B1" zoomScaleNormal="100" zoomScaleSheetLayoutView="110" workbookViewId="0">
      <selection activeCell="I29" sqref="I29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19" t="s">
        <v>107</v>
      </c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1"/>
      <c r="N3" s="39"/>
      <c r="O3" s="39"/>
      <c r="P3" s="39"/>
    </row>
    <row r="4" spans="2:16" ht="21" customHeight="1"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23" t="s">
        <v>85</v>
      </c>
      <c r="L5" s="223"/>
      <c r="M5" s="223"/>
    </row>
    <row r="6" spans="2:16" ht="21" customHeight="1">
      <c r="B6" s="232" t="s">
        <v>7</v>
      </c>
      <c r="C6" s="233"/>
      <c r="D6" s="233"/>
      <c r="E6" s="71"/>
      <c r="F6" s="222" t="s">
        <v>108</v>
      </c>
      <c r="G6" s="222"/>
      <c r="H6" s="222" t="s">
        <v>109</v>
      </c>
      <c r="I6" s="222"/>
      <c r="J6" s="222" t="s">
        <v>15</v>
      </c>
      <c r="K6" s="222"/>
      <c r="L6" s="222"/>
      <c r="M6" s="231"/>
    </row>
    <row r="7" spans="2:16" ht="21" customHeight="1" thickBot="1">
      <c r="B7" s="234"/>
      <c r="C7" s="235"/>
      <c r="D7" s="235"/>
      <c r="E7" s="74" t="s">
        <v>11</v>
      </c>
      <c r="F7" s="75" t="s">
        <v>103</v>
      </c>
      <c r="G7" s="74" t="s">
        <v>104</v>
      </c>
      <c r="H7" s="74" t="s">
        <v>105</v>
      </c>
      <c r="I7" s="74" t="s">
        <v>106</v>
      </c>
      <c r="J7" s="74" t="s">
        <v>37</v>
      </c>
      <c r="K7" s="76" t="s">
        <v>16</v>
      </c>
      <c r="L7" s="77" t="s">
        <v>18</v>
      </c>
      <c r="M7" s="78" t="s">
        <v>16</v>
      </c>
    </row>
    <row r="8" spans="2:16" ht="20.100000000000001" customHeight="1" thickBot="1">
      <c r="B8" s="215" t="s">
        <v>19</v>
      </c>
      <c r="C8" s="217" t="s">
        <v>12</v>
      </c>
      <c r="D8" s="218"/>
      <c r="E8" s="83">
        <f>SUM(E9:E10)</f>
        <v>17502</v>
      </c>
      <c r="F8" s="83">
        <f>SUM(F9:F10)</f>
        <v>1484</v>
      </c>
      <c r="G8" s="83">
        <f>SUM(G9:G10)</f>
        <v>11472</v>
      </c>
      <c r="H8" s="83">
        <f>SUM(H9:H10)</f>
        <v>1571</v>
      </c>
      <c r="I8" s="83">
        <f>SUM(I9:I10)</f>
        <v>12063</v>
      </c>
      <c r="J8" s="83">
        <f>H8-F8</f>
        <v>87</v>
      </c>
      <c r="K8" s="84">
        <f>H8/F8</f>
        <v>1.0586253369272238</v>
      </c>
      <c r="L8" s="83">
        <f>I8-G8</f>
        <v>591</v>
      </c>
      <c r="M8" s="85">
        <f>I8/G8</f>
        <v>1.0515167364016735</v>
      </c>
    </row>
    <row r="9" spans="2:16" ht="20.100000000000001" customHeight="1">
      <c r="B9" s="216"/>
      <c r="C9" s="213" t="s">
        <v>9</v>
      </c>
      <c r="D9" s="213"/>
      <c r="E9" s="198">
        <v>10370</v>
      </c>
      <c r="F9" s="79">
        <v>864</v>
      </c>
      <c r="G9" s="79">
        <v>6927</v>
      </c>
      <c r="H9" s="79">
        <v>850</v>
      </c>
      <c r="I9" s="79">
        <f>5136+863+850</f>
        <v>6849</v>
      </c>
      <c r="J9" s="80">
        <f t="shared" ref="J9:J29" si="0">H9-F9</f>
        <v>-14</v>
      </c>
      <c r="K9" s="81">
        <f t="shared" ref="K9:K29" si="1">H9/F9</f>
        <v>0.98379629629629628</v>
      </c>
      <c r="L9" s="80">
        <f t="shared" ref="L9:L29" si="2">I9-G9</f>
        <v>-78</v>
      </c>
      <c r="M9" s="82">
        <f t="shared" ref="M9:M29" si="3">I9/G9</f>
        <v>0.98873971416197493</v>
      </c>
    </row>
    <row r="10" spans="2:16" ht="20.100000000000001" customHeight="1" thickBot="1">
      <c r="B10" s="216"/>
      <c r="C10" s="212" t="s">
        <v>10</v>
      </c>
      <c r="D10" s="212"/>
      <c r="E10" s="199">
        <v>7132</v>
      </c>
      <c r="F10" s="86">
        <v>620</v>
      </c>
      <c r="G10" s="86">
        <v>4545</v>
      </c>
      <c r="H10" s="86">
        <v>721</v>
      </c>
      <c r="I10" s="86">
        <f>3756+737+721</f>
        <v>5214</v>
      </c>
      <c r="J10" s="86">
        <f t="shared" si="0"/>
        <v>101</v>
      </c>
      <c r="K10" s="87">
        <f t="shared" si="1"/>
        <v>1.1629032258064516</v>
      </c>
      <c r="L10" s="86">
        <f t="shared" si="2"/>
        <v>669</v>
      </c>
      <c r="M10" s="88">
        <f t="shared" si="3"/>
        <v>1.1471947194719472</v>
      </c>
      <c r="O10" t="s">
        <v>100</v>
      </c>
    </row>
    <row r="11" spans="2:16" ht="20.100000000000001" customHeight="1" thickBot="1">
      <c r="B11" s="215" t="s">
        <v>20</v>
      </c>
      <c r="C11" s="217" t="s">
        <v>8</v>
      </c>
      <c r="D11" s="218"/>
      <c r="E11" s="94">
        <f>E12+E16</f>
        <v>116714212</v>
      </c>
      <c r="F11" s="94">
        <f>F12+F16</f>
        <v>9402021</v>
      </c>
      <c r="G11" s="94">
        <f>G12+G16</f>
        <v>77091682</v>
      </c>
      <c r="H11" s="94">
        <f>H12+H16</f>
        <v>10202585</v>
      </c>
      <c r="I11" s="94">
        <f>I12+I16</f>
        <v>75826232</v>
      </c>
      <c r="J11" s="94">
        <f t="shared" si="0"/>
        <v>800564</v>
      </c>
      <c r="K11" s="84">
        <f t="shared" si="1"/>
        <v>1.0851480761423529</v>
      </c>
      <c r="L11" s="95">
        <f>I11-G11</f>
        <v>-1265450</v>
      </c>
      <c r="M11" s="85">
        <f t="shared" si="3"/>
        <v>0.98358512919720709</v>
      </c>
    </row>
    <row r="12" spans="2:16" ht="20.100000000000001" customHeight="1">
      <c r="B12" s="216"/>
      <c r="C12" s="213" t="s">
        <v>1</v>
      </c>
      <c r="D12" s="89" t="s">
        <v>0</v>
      </c>
      <c r="E12" s="90">
        <f>SUM(E13:E15)</f>
        <v>106101439</v>
      </c>
      <c r="F12" s="90">
        <f>SUM(F13:F15)</f>
        <v>8497337</v>
      </c>
      <c r="G12" s="90">
        <f>SUM(G13:G15)</f>
        <v>69911673</v>
      </c>
      <c r="H12" s="90">
        <f>SUM(H13:H15)</f>
        <v>9445628</v>
      </c>
      <c r="I12" s="90">
        <f>SUM(I13:I15)</f>
        <v>69086473</v>
      </c>
      <c r="J12" s="91">
        <f>H12-F12</f>
        <v>948291</v>
      </c>
      <c r="K12" s="92">
        <f t="shared" si="1"/>
        <v>1.1115986102469515</v>
      </c>
      <c r="L12" s="91">
        <f>I12-G12</f>
        <v>-825200</v>
      </c>
      <c r="M12" s="93">
        <f t="shared" si="3"/>
        <v>0.98819653479040614</v>
      </c>
    </row>
    <row r="13" spans="2:16" ht="20.100000000000001" customHeight="1">
      <c r="B13" s="216"/>
      <c r="C13" s="214"/>
      <c r="D13" s="61" t="s">
        <v>5</v>
      </c>
      <c r="E13" s="173">
        <v>86063790</v>
      </c>
      <c r="F13" s="165">
        <v>6991742</v>
      </c>
      <c r="G13" s="165">
        <v>56587418</v>
      </c>
      <c r="H13" s="173">
        <v>7768556</v>
      </c>
      <c r="I13" s="165">
        <f>7265437+5866795+7390254+7172456+6783325+6407764+6237249+7768556</f>
        <v>54891836</v>
      </c>
      <c r="J13" s="57">
        <f t="shared" si="0"/>
        <v>776814</v>
      </c>
      <c r="K13" s="54">
        <f t="shared" si="1"/>
        <v>1.1111045001374478</v>
      </c>
      <c r="L13" s="57">
        <f>I13-G13</f>
        <v>-1695582</v>
      </c>
      <c r="M13" s="66">
        <f t="shared" si="3"/>
        <v>0.97003605995947717</v>
      </c>
      <c r="O13" s="29"/>
    </row>
    <row r="14" spans="2:16" ht="20.100000000000001" customHeight="1">
      <c r="B14" s="216"/>
      <c r="C14" s="214"/>
      <c r="D14" s="61" t="s">
        <v>6</v>
      </c>
      <c r="E14" s="173">
        <v>17423605</v>
      </c>
      <c r="F14" s="165">
        <v>1240898</v>
      </c>
      <c r="G14" s="165">
        <v>11497013</v>
      </c>
      <c r="H14" s="173">
        <v>1459969</v>
      </c>
      <c r="I14" s="165">
        <f>1421273+1409756+1704227+1683210+1653027+1535367+1691819+1459969</f>
        <v>12558648</v>
      </c>
      <c r="J14" s="57">
        <f>H14-F14</f>
        <v>219071</v>
      </c>
      <c r="K14" s="54">
        <f t="shared" si="1"/>
        <v>1.1765423104880497</v>
      </c>
      <c r="L14" s="57">
        <f t="shared" si="2"/>
        <v>1061635</v>
      </c>
      <c r="M14" s="66">
        <f t="shared" si="3"/>
        <v>1.092340071286342</v>
      </c>
    </row>
    <row r="15" spans="2:16" ht="20.100000000000001" customHeight="1">
      <c r="B15" s="216"/>
      <c r="C15" s="214"/>
      <c r="D15" s="61" t="s">
        <v>13</v>
      </c>
      <c r="E15" s="200">
        <v>2614044</v>
      </c>
      <c r="F15" s="165">
        <v>264697</v>
      </c>
      <c r="G15" s="165">
        <v>1827242</v>
      </c>
      <c r="H15" s="173">
        <f>104970+112133</f>
        <v>217103</v>
      </c>
      <c r="I15" s="165">
        <f>70944+59464+132811+109897+143400+101594+88243+119242+89745+170383+103189+132013+97961+104970+112133</f>
        <v>1635989</v>
      </c>
      <c r="J15" s="57">
        <f t="shared" si="0"/>
        <v>-47594</v>
      </c>
      <c r="K15" s="54">
        <f>H15/F15</f>
        <v>0.82019441096801249</v>
      </c>
      <c r="L15" s="57">
        <f t="shared" si="2"/>
        <v>-191253</v>
      </c>
      <c r="M15" s="66">
        <f t="shared" si="3"/>
        <v>0.89533241902276761</v>
      </c>
      <c r="O15" s="29"/>
    </row>
    <row r="16" spans="2:16" ht="20.100000000000001" customHeight="1">
      <c r="B16" s="216"/>
      <c r="C16" s="214" t="s">
        <v>2</v>
      </c>
      <c r="D16" s="59" t="s">
        <v>0</v>
      </c>
      <c r="E16" s="58">
        <f>SUM(E17:E19)</f>
        <v>10612773</v>
      </c>
      <c r="F16" s="58">
        <f>SUM(F17:F19)</f>
        <v>904684</v>
      </c>
      <c r="G16" s="58">
        <f>SUM(G17:G19)</f>
        <v>7180009</v>
      </c>
      <c r="H16" s="58">
        <f>SUM(H17:H19)</f>
        <v>756957</v>
      </c>
      <c r="I16" s="58">
        <f>SUM(I17:I19)</f>
        <v>6739759</v>
      </c>
      <c r="J16" s="52">
        <f t="shared" si="0"/>
        <v>-147727</v>
      </c>
      <c r="K16" s="53">
        <f t="shared" si="1"/>
        <v>0.83670872923584372</v>
      </c>
      <c r="L16" s="60">
        <f t="shared" si="2"/>
        <v>-440250</v>
      </c>
      <c r="M16" s="67">
        <f t="shared" si="3"/>
        <v>0.93868392086973707</v>
      </c>
      <c r="O16" s="29"/>
    </row>
    <row r="17" spans="2:15" ht="20.100000000000001" customHeight="1">
      <c r="B17" s="216"/>
      <c r="C17" s="214"/>
      <c r="D17" s="61" t="s">
        <v>3</v>
      </c>
      <c r="E17" s="200">
        <v>7573836</v>
      </c>
      <c r="F17" s="165">
        <v>624154</v>
      </c>
      <c r="G17" s="165">
        <v>5045549</v>
      </c>
      <c r="H17" s="174">
        <v>511562</v>
      </c>
      <c r="I17" s="165">
        <f>619030+510047+650054+623142+693951+605707+587933+511562</f>
        <v>4801426</v>
      </c>
      <c r="J17" s="57">
        <f t="shared" si="0"/>
        <v>-112592</v>
      </c>
      <c r="K17" s="54">
        <f t="shared" si="1"/>
        <v>0.81960862223105191</v>
      </c>
      <c r="L17" s="57">
        <f t="shared" si="2"/>
        <v>-244123</v>
      </c>
      <c r="M17" s="66">
        <f t="shared" si="3"/>
        <v>0.95161616704148544</v>
      </c>
      <c r="O17" s="29"/>
    </row>
    <row r="18" spans="2:15" ht="20.100000000000001" customHeight="1">
      <c r="B18" s="216"/>
      <c r="C18" s="214"/>
      <c r="D18" s="61" t="s">
        <v>4</v>
      </c>
      <c r="E18" s="200">
        <v>3038937</v>
      </c>
      <c r="F18" s="165">
        <v>280530</v>
      </c>
      <c r="G18" s="165">
        <v>2134460</v>
      </c>
      <c r="H18" s="174">
        <v>245395</v>
      </c>
      <c r="I18" s="165">
        <f>239646+194603+273105+236520+264889+242831+241344+245395</f>
        <v>1938333</v>
      </c>
      <c r="J18" s="57">
        <f>H18-F18</f>
        <v>-35135</v>
      </c>
      <c r="K18" s="54">
        <f t="shared" si="1"/>
        <v>0.87475492817167499</v>
      </c>
      <c r="L18" s="57">
        <f t="shared" si="2"/>
        <v>-196127</v>
      </c>
      <c r="M18" s="66">
        <f t="shared" si="3"/>
        <v>0.90811399604583831</v>
      </c>
    </row>
    <row r="19" spans="2:15" ht="20.100000000000001" customHeight="1">
      <c r="B19" s="216"/>
      <c r="C19" s="214"/>
      <c r="D19" s="61" t="s">
        <v>17</v>
      </c>
      <c r="E19" s="165">
        <v>0</v>
      </c>
      <c r="F19" s="62">
        <v>0</v>
      </c>
      <c r="G19" s="165">
        <v>0</v>
      </c>
      <c r="H19" s="62">
        <v>0</v>
      </c>
      <c r="I19" s="165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5" ht="20.100000000000001" customHeight="1" thickBot="1">
      <c r="B20" s="72"/>
      <c r="C20" s="96"/>
      <c r="D20" s="171"/>
      <c r="E20" s="97"/>
      <c r="F20" s="98"/>
      <c r="G20" s="98"/>
      <c r="H20" s="98"/>
      <c r="I20" s="97"/>
      <c r="J20" s="99"/>
      <c r="K20" s="227" t="s">
        <v>21</v>
      </c>
      <c r="L20" s="228"/>
      <c r="M20" s="229"/>
    </row>
    <row r="21" spans="2:15" ht="20.100000000000001" customHeight="1" thickBot="1">
      <c r="B21" s="230" t="s">
        <v>86</v>
      </c>
      <c r="C21" s="217" t="s">
        <v>8</v>
      </c>
      <c r="D21" s="218"/>
      <c r="E21" s="101">
        <f>SUM(E22,E26)</f>
        <v>924735.5</v>
      </c>
      <c r="F21" s="102">
        <f>SUM(F22,F26)</f>
        <v>68209.75</v>
      </c>
      <c r="G21" s="102">
        <f>SUM(G22,G26)</f>
        <v>596257.5</v>
      </c>
      <c r="H21" s="101">
        <f>SUM(H22,H26)</f>
        <v>76104</v>
      </c>
      <c r="I21" s="101">
        <f>SUM(I22,I26)</f>
        <v>617932</v>
      </c>
      <c r="J21" s="103">
        <f t="shared" si="0"/>
        <v>7894.25</v>
      </c>
      <c r="K21" s="104">
        <f t="shared" si="1"/>
        <v>1.1157349205941967</v>
      </c>
      <c r="L21" s="103">
        <f t="shared" si="2"/>
        <v>21674.5</v>
      </c>
      <c r="M21" s="85">
        <f>I21/G21</f>
        <v>1.0363509054393445</v>
      </c>
    </row>
    <row r="22" spans="2:15" ht="20.100000000000001" customHeight="1">
      <c r="B22" s="216"/>
      <c r="C22" s="213" t="s">
        <v>1</v>
      </c>
      <c r="D22" s="89" t="s">
        <v>0</v>
      </c>
      <c r="E22" s="89">
        <f>SUM(E23:E25)</f>
        <v>924735.5</v>
      </c>
      <c r="F22" s="89">
        <f>SUM(F23:F25)</f>
        <v>68209.75</v>
      </c>
      <c r="G22" s="89">
        <f>SUM(G23:G25)</f>
        <v>596257.5</v>
      </c>
      <c r="H22" s="89">
        <f>SUM(H23:H25)</f>
        <v>76104</v>
      </c>
      <c r="I22" s="89">
        <f>SUM(I23:I25)</f>
        <v>617932</v>
      </c>
      <c r="J22" s="91">
        <f t="shared" si="0"/>
        <v>7894.25</v>
      </c>
      <c r="K22" s="100">
        <f t="shared" si="1"/>
        <v>1.1157349205941967</v>
      </c>
      <c r="L22" s="91">
        <f t="shared" si="2"/>
        <v>21674.5</v>
      </c>
      <c r="M22" s="93">
        <f t="shared" si="3"/>
        <v>1.0363509054393445</v>
      </c>
    </row>
    <row r="23" spans="2:15" ht="20.100000000000001" customHeight="1">
      <c r="B23" s="216"/>
      <c r="C23" s="214"/>
      <c r="D23" s="69" t="s">
        <v>5</v>
      </c>
      <c r="E23" s="201">
        <v>453945.75</v>
      </c>
      <c r="F23" s="175">
        <v>33596.75</v>
      </c>
      <c r="G23" s="197">
        <v>295078.25</v>
      </c>
      <c r="H23" s="175">
        <v>36889</v>
      </c>
      <c r="I23" s="197">
        <f>226829+40066+36889</f>
        <v>303784</v>
      </c>
      <c r="J23" s="57">
        <f>H23-F23</f>
        <v>3292.25</v>
      </c>
      <c r="K23" s="56">
        <f t="shared" si="1"/>
        <v>1.0979931094525512</v>
      </c>
      <c r="L23" s="57">
        <f t="shared" si="2"/>
        <v>8705.75</v>
      </c>
      <c r="M23" s="66">
        <f t="shared" si="3"/>
        <v>1.0295031911026991</v>
      </c>
    </row>
    <row r="24" spans="2:15" ht="20.100000000000001" customHeight="1">
      <c r="B24" s="216"/>
      <c r="C24" s="214"/>
      <c r="D24" s="68" t="s">
        <v>14</v>
      </c>
      <c r="E24" s="202">
        <v>456908.25</v>
      </c>
      <c r="F24" s="176">
        <v>33850.75</v>
      </c>
      <c r="G24" s="197">
        <v>294239.5</v>
      </c>
      <c r="H24" s="176">
        <v>37927</v>
      </c>
      <c r="I24" s="197">
        <f>266584+37927</f>
        <v>304511</v>
      </c>
      <c r="J24" s="57">
        <f t="shared" si="0"/>
        <v>4076.25</v>
      </c>
      <c r="K24" s="56">
        <f t="shared" si="1"/>
        <v>1.1204183068321971</v>
      </c>
      <c r="L24" s="57">
        <f t="shared" si="2"/>
        <v>10271.5</v>
      </c>
      <c r="M24" s="66">
        <f t="shared" si="3"/>
        <v>1.0349086373515453</v>
      </c>
    </row>
    <row r="25" spans="2:15" ht="20.100000000000001" customHeight="1">
      <c r="B25" s="216"/>
      <c r="C25" s="214"/>
      <c r="D25" s="68" t="s">
        <v>13</v>
      </c>
      <c r="E25" s="203">
        <v>13881.5</v>
      </c>
      <c r="F25" s="177">
        <v>762.25</v>
      </c>
      <c r="G25" s="197">
        <v>6939.75</v>
      </c>
      <c r="H25" s="177">
        <v>1288</v>
      </c>
      <c r="I25" s="197">
        <f>7052+1297+1288</f>
        <v>9637</v>
      </c>
      <c r="J25" s="57">
        <f t="shared" si="0"/>
        <v>525.75</v>
      </c>
      <c r="K25" s="56">
        <f t="shared" si="1"/>
        <v>1.6897343391275828</v>
      </c>
      <c r="L25" s="57">
        <f t="shared" si="2"/>
        <v>2697.25</v>
      </c>
      <c r="M25" s="66">
        <f t="shared" si="3"/>
        <v>1.3886667387153715</v>
      </c>
    </row>
    <row r="26" spans="2:15" ht="20.100000000000001" customHeight="1">
      <c r="B26" s="216"/>
      <c r="C26" s="214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0">
        <f t="shared" si="0"/>
        <v>0</v>
      </c>
      <c r="K26" s="64">
        <v>0</v>
      </c>
      <c r="L26" s="55">
        <f t="shared" si="2"/>
        <v>0</v>
      </c>
      <c r="M26" s="73">
        <v>0</v>
      </c>
    </row>
    <row r="27" spans="2:15" ht="20.100000000000001" customHeight="1">
      <c r="B27" s="216"/>
      <c r="C27" s="214"/>
      <c r="D27" s="61" t="s">
        <v>49</v>
      </c>
      <c r="E27" s="188">
        <v>0</v>
      </c>
      <c r="F27" s="69">
        <v>0</v>
      </c>
      <c r="G27" s="69">
        <v>0</v>
      </c>
      <c r="H27" s="69">
        <v>0</v>
      </c>
      <c r="I27" s="69">
        <v>0</v>
      </c>
      <c r="J27" s="70">
        <f t="shared" si="0"/>
        <v>0</v>
      </c>
      <c r="K27" s="64">
        <v>0</v>
      </c>
      <c r="L27" s="55">
        <f t="shared" si="2"/>
        <v>0</v>
      </c>
      <c r="M27" s="73">
        <v>0</v>
      </c>
    </row>
    <row r="28" spans="2:15" ht="20.100000000000001" customHeight="1" thickBot="1">
      <c r="B28" s="216"/>
      <c r="C28" s="214"/>
      <c r="D28" s="61" t="s">
        <v>49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6">
        <f t="shared" si="0"/>
        <v>0</v>
      </c>
      <c r="K28" s="107">
        <v>0</v>
      </c>
      <c r="L28" s="108">
        <f t="shared" si="2"/>
        <v>0</v>
      </c>
      <c r="M28" s="109">
        <v>0</v>
      </c>
    </row>
    <row r="29" spans="2:15" s="27" customFormat="1" ht="20.100000000000001" customHeight="1" thickBot="1">
      <c r="B29" s="224" t="s">
        <v>47</v>
      </c>
      <c r="C29" s="225"/>
      <c r="D29" s="226"/>
      <c r="E29" s="204">
        <v>1560628</v>
      </c>
      <c r="F29" s="189">
        <v>118822</v>
      </c>
      <c r="G29" s="189">
        <v>1074399</v>
      </c>
      <c r="H29" s="189">
        <v>142825</v>
      </c>
      <c r="I29" s="211">
        <f>793092+143282+142825</f>
        <v>1079199</v>
      </c>
      <c r="J29" s="190">
        <f t="shared" si="0"/>
        <v>24003</v>
      </c>
      <c r="K29" s="191">
        <f t="shared" si="1"/>
        <v>1.2020080456481124</v>
      </c>
      <c r="L29" s="190">
        <f t="shared" si="2"/>
        <v>4800</v>
      </c>
      <c r="M29" s="192">
        <f t="shared" si="3"/>
        <v>1.0044676139869826</v>
      </c>
    </row>
    <row r="30" spans="2:15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topLeftCell="A4" zoomScaleNormal="100" workbookViewId="0">
      <selection activeCell="H10" sqref="H10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36" t="s">
        <v>87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39" t="s">
        <v>50</v>
      </c>
      <c r="H5" s="239"/>
      <c r="I5" s="43"/>
      <c r="J5"/>
      <c r="K5"/>
      <c r="L5"/>
      <c r="M5" s="42"/>
      <c r="N5" s="42"/>
      <c r="O5" s="239" t="s">
        <v>88</v>
      </c>
      <c r="P5" s="239"/>
    </row>
    <row r="6" spans="2:29" s="12" customFormat="1" ht="32.25" customHeight="1">
      <c r="B6" s="147" t="s">
        <v>94</v>
      </c>
      <c r="C6" s="148">
        <v>2020</v>
      </c>
      <c r="D6" s="148">
        <v>2021</v>
      </c>
      <c r="E6" s="148">
        <v>2022</v>
      </c>
      <c r="F6" s="155">
        <v>2023</v>
      </c>
      <c r="G6" s="155">
        <v>2024</v>
      </c>
      <c r="H6" s="157" t="s">
        <v>110</v>
      </c>
      <c r="I6" s="47"/>
      <c r="J6" s="147" t="s">
        <v>94</v>
      </c>
      <c r="K6" s="148">
        <v>2020</v>
      </c>
      <c r="L6" s="148">
        <v>2021</v>
      </c>
      <c r="M6" s="148">
        <v>2022</v>
      </c>
      <c r="N6" s="155">
        <v>2023</v>
      </c>
      <c r="O6" s="155">
        <v>2024</v>
      </c>
      <c r="P6" s="160" t="str">
        <f>$H$6</f>
        <v>2025.8.</v>
      </c>
    </row>
    <row r="7" spans="2:29" s="12" customFormat="1" ht="39.200000000000003" customHeight="1" thickBot="1">
      <c r="B7" s="149" t="s">
        <v>92</v>
      </c>
      <c r="C7" s="150">
        <v>18416</v>
      </c>
      <c r="D7" s="150">
        <v>17409</v>
      </c>
      <c r="E7" s="150">
        <v>16473</v>
      </c>
      <c r="F7" s="156">
        <v>16626</v>
      </c>
      <c r="G7" s="156">
        <v>17324</v>
      </c>
      <c r="H7" s="158">
        <f>통계요약!I8</f>
        <v>12063</v>
      </c>
      <c r="I7" s="48"/>
      <c r="J7" s="151" t="s">
        <v>91</v>
      </c>
      <c r="K7" s="152">
        <v>113201331</v>
      </c>
      <c r="L7" s="152">
        <v>106847350</v>
      </c>
      <c r="M7" s="152">
        <v>116876152</v>
      </c>
      <c r="N7" s="159">
        <v>116171568</v>
      </c>
      <c r="O7" s="172">
        <f>통계요약!E11</f>
        <v>116714212</v>
      </c>
      <c r="P7" s="161">
        <f>통계요약!I11</f>
        <v>75826232</v>
      </c>
    </row>
    <row r="8" spans="2:29" s="12" customFormat="1" ht="21" customHeight="1" thickBot="1">
      <c r="B8"/>
      <c r="C8"/>
      <c r="D8"/>
      <c r="E8" s="42"/>
      <c r="F8" s="42"/>
      <c r="G8" s="239" t="s">
        <v>89</v>
      </c>
      <c r="H8" s="239"/>
      <c r="I8" s="43"/>
      <c r="J8" s="13"/>
      <c r="K8" s="14"/>
      <c r="L8" s="14"/>
      <c r="M8" s="42"/>
      <c r="N8" s="42"/>
      <c r="O8" s="239" t="s">
        <v>90</v>
      </c>
      <c r="P8" s="239"/>
    </row>
    <row r="9" spans="2:29" s="12" customFormat="1" ht="32.25" customHeight="1">
      <c r="B9" s="147" t="s">
        <v>94</v>
      </c>
      <c r="C9" s="148">
        <v>2020</v>
      </c>
      <c r="D9" s="148">
        <v>2021</v>
      </c>
      <c r="E9" s="148">
        <v>2022</v>
      </c>
      <c r="F9" s="155">
        <v>2023</v>
      </c>
      <c r="G9" s="155">
        <v>2024</v>
      </c>
      <c r="H9" s="160" t="str">
        <f>$H$6</f>
        <v>2025.8.</v>
      </c>
      <c r="I9" s="49"/>
      <c r="J9" s="147" t="s">
        <v>94</v>
      </c>
      <c r="K9" s="148">
        <v>2020</v>
      </c>
      <c r="L9" s="148">
        <v>2021</v>
      </c>
      <c r="M9" s="148">
        <v>2022</v>
      </c>
      <c r="N9" s="155">
        <v>2023</v>
      </c>
      <c r="O9" s="155">
        <v>2024</v>
      </c>
      <c r="P9" s="160" t="str">
        <f>$H$6</f>
        <v>2025.8.</v>
      </c>
    </row>
    <row r="10" spans="2:29" s="12" customFormat="1" ht="37.5" customHeight="1" thickBot="1">
      <c r="B10" s="153" t="s">
        <v>22</v>
      </c>
      <c r="C10" s="154">
        <v>725047</v>
      </c>
      <c r="D10" s="154">
        <v>792643</v>
      </c>
      <c r="E10" s="154">
        <v>936246</v>
      </c>
      <c r="F10" s="162">
        <v>851953</v>
      </c>
      <c r="G10" s="156">
        <v>820289</v>
      </c>
      <c r="H10" s="163">
        <f>통계요약!I21</f>
        <v>617932</v>
      </c>
      <c r="I10" s="50"/>
      <c r="J10" s="153" t="s">
        <v>93</v>
      </c>
      <c r="K10" s="150">
        <v>623733</v>
      </c>
      <c r="L10" s="150">
        <v>40267</v>
      </c>
      <c r="M10" s="150">
        <v>0</v>
      </c>
      <c r="N10" s="156">
        <v>0</v>
      </c>
      <c r="O10" s="156">
        <v>0</v>
      </c>
      <c r="P10" s="163"/>
      <c r="S10" s="26" t="s">
        <v>101</v>
      </c>
      <c r="AC10" s="26"/>
    </row>
    <row r="11" spans="2:29" ht="21" customHeight="1"/>
    <row r="12" spans="2:29" s="19" customFormat="1" ht="21" customHeight="1">
      <c r="B12" s="238" t="s">
        <v>98</v>
      </c>
      <c r="C12" s="238"/>
      <c r="D12" s="238"/>
      <c r="I12" s="51"/>
    </row>
    <row r="13" spans="2:29" s="12" customFormat="1" ht="21" customHeight="1">
      <c r="B13" s="237" t="s">
        <v>95</v>
      </c>
      <c r="C13" s="237"/>
      <c r="I13" s="46"/>
      <c r="J13" s="237" t="s">
        <v>96</v>
      </c>
      <c r="K13" s="237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37" t="s">
        <v>97</v>
      </c>
      <c r="C23" s="237"/>
      <c r="I23" s="46"/>
      <c r="J23" s="237" t="s">
        <v>99</v>
      </c>
      <c r="K23" s="237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zoomScale="90" zoomScaleNormal="90" workbookViewId="0">
      <selection activeCell="G15" sqref="G15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19" t="s">
        <v>102</v>
      </c>
      <c r="C3" s="220"/>
      <c r="D3" s="220"/>
      <c r="E3" s="220"/>
      <c r="F3" s="220"/>
      <c r="G3" s="220"/>
      <c r="H3" s="220"/>
      <c r="I3" s="220"/>
      <c r="J3" s="220"/>
      <c r="K3" s="220"/>
      <c r="L3" s="221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42" t="s">
        <v>23</v>
      </c>
      <c r="C6" s="249" t="s">
        <v>24</v>
      </c>
      <c r="D6" s="247" t="s">
        <v>108</v>
      </c>
      <c r="E6" s="247"/>
      <c r="F6" s="247"/>
      <c r="G6" s="247" t="s">
        <v>111</v>
      </c>
      <c r="H6" s="247"/>
      <c r="I6" s="247" t="s">
        <v>25</v>
      </c>
      <c r="J6" s="247"/>
      <c r="K6" s="247"/>
      <c r="L6" s="248"/>
      <c r="X6" s="20" t="s">
        <v>84</v>
      </c>
    </row>
    <row r="7" spans="1:35" ht="21.95" customHeight="1" thickBot="1">
      <c r="B7" s="243"/>
      <c r="C7" s="250"/>
      <c r="D7" s="122" t="s">
        <v>26</v>
      </c>
      <c r="E7" s="122" t="str">
        <f>통계요약!F7</f>
        <v>8월(A)</v>
      </c>
      <c r="F7" s="122" t="str">
        <f>통계요약!G7</f>
        <v xml:space="preserve"> 8월누계(B) </v>
      </c>
      <c r="G7" s="123" t="str">
        <f>통계요약!H7</f>
        <v>8월(C)</v>
      </c>
      <c r="H7" s="122" t="str">
        <f>통계요약!I7</f>
        <v xml:space="preserve"> 8월누계(D) </v>
      </c>
      <c r="I7" s="122" t="s">
        <v>27</v>
      </c>
      <c r="J7" s="124" t="s">
        <v>28</v>
      </c>
      <c r="K7" s="125" t="s">
        <v>29</v>
      </c>
      <c r="L7" s="126" t="s">
        <v>28</v>
      </c>
    </row>
    <row r="8" spans="1:35" ht="21.95" customHeight="1">
      <c r="B8" s="244" t="s">
        <v>30</v>
      </c>
      <c r="C8" s="127" t="s">
        <v>31</v>
      </c>
      <c r="D8" s="128">
        <f>SUM(D10,D12,D14,D16,D18,D20,D22,D26,D24,D30,D32,D34,D36,D28)</f>
        <v>924735.5</v>
      </c>
      <c r="E8" s="128">
        <f>SUM(E10,E12,E14,E16,E18,E20,E22,E26,E24,E30,E32,E34,E36,E28)</f>
        <v>68209.75</v>
      </c>
      <c r="F8" s="128">
        <f>SUM(F10,F12,F14,F16,F18,F20,F22,F26,F24,F30,F32,F34,F36,F28)</f>
        <v>596257.5</v>
      </c>
      <c r="G8" s="128">
        <f>SUM(G10,G12,G14,G16,G18,G20,G22,G26,G24,G28,G32,G34,G36,G30)</f>
        <v>76105</v>
      </c>
      <c r="H8" s="129">
        <f>SUM(H10,H12,H14,H16,H18,H20,H22,H26,H24,H30,H32,H34,H36,H28,)</f>
        <v>617933</v>
      </c>
      <c r="I8" s="130">
        <f t="shared" ref="I8:I9" si="0">G8-E8</f>
        <v>7895.25</v>
      </c>
      <c r="J8" s="131">
        <f t="shared" ref="J8:J9" si="1">(G8/E8*100)-100</f>
        <v>11.574958125487925</v>
      </c>
      <c r="K8" s="132">
        <f t="shared" ref="K8:K9" si="2">H8-F8</f>
        <v>21675.5</v>
      </c>
      <c r="L8" s="133">
        <f t="shared" ref="L8:L9" si="3">(H8/F8*100)-100</f>
        <v>3.6352582567095624</v>
      </c>
    </row>
    <row r="9" spans="1:35" ht="21.95" customHeight="1" thickBot="1">
      <c r="B9" s="245"/>
      <c r="C9" s="134" t="s">
        <v>32</v>
      </c>
      <c r="D9" s="135">
        <f>SUM(D11,D13,D15,D17,D19,D21,D23,D25,D27,D31,D33,D35,D37,D29)</f>
        <v>14055928</v>
      </c>
      <c r="E9" s="135">
        <f>SUM(E11,E13,E15,E17,E19,E21,E23,E25,E27,E31,E33,E35,E37,E29)</f>
        <v>1051376</v>
      </c>
      <c r="F9" s="135">
        <f>SUM(F11,F13,F15,F17,F19,F21,F23,F25,F27,F31,F33,F35,F37,F29)</f>
        <v>8975153</v>
      </c>
      <c r="G9" s="135">
        <f>SUM(G11,G13,G15,G17,G19,G21,G23,G25,G27,G29,G33,G35,G37,G31)</f>
        <v>1111241</v>
      </c>
      <c r="H9" s="136">
        <f>SUM(H11,H13,H15,H17,H19,H21,H23,H25,H27,H31,H33,H35,H37,H29)</f>
        <v>9403817</v>
      </c>
      <c r="I9" s="137">
        <f t="shared" si="0"/>
        <v>59865</v>
      </c>
      <c r="J9" s="138">
        <f t="shared" si="1"/>
        <v>5.6939667635555793</v>
      </c>
      <c r="K9" s="139">
        <f t="shared" si="2"/>
        <v>428664</v>
      </c>
      <c r="L9" s="140">
        <f t="shared" si="3"/>
        <v>4.7761191369105376</v>
      </c>
    </row>
    <row r="10" spans="1:35" ht="21.2" customHeight="1">
      <c r="B10" s="246" t="s">
        <v>33</v>
      </c>
      <c r="C10" s="166" t="s">
        <v>31</v>
      </c>
      <c r="D10" s="205">
        <v>53912</v>
      </c>
      <c r="E10" s="167">
        <v>3536</v>
      </c>
      <c r="F10" s="167">
        <v>35589</v>
      </c>
      <c r="G10" s="167"/>
      <c r="H10" s="167">
        <v>13137</v>
      </c>
      <c r="I10" s="182">
        <f>IFERROR(G10-E10,"-")</f>
        <v>-3536</v>
      </c>
      <c r="J10" s="168">
        <f>IFERROR((G10/E10*100)-100,"-")</f>
        <v>-100</v>
      </c>
      <c r="K10" s="169">
        <f>IFERROR(H10-F10,"-")</f>
        <v>-22452</v>
      </c>
      <c r="L10" s="170">
        <f>IFERROR((H10/F10*100)-100,"-")</f>
        <v>-63.086908876338192</v>
      </c>
      <c r="M10" s="30"/>
      <c r="O10" s="20" t="s">
        <v>51</v>
      </c>
      <c r="U10" s="164"/>
      <c r="V10" s="164"/>
    </row>
    <row r="11" spans="1:35" ht="21.2" customHeight="1">
      <c r="B11" s="240"/>
      <c r="C11" s="178" t="s">
        <v>32</v>
      </c>
      <c r="D11" s="206">
        <v>998726</v>
      </c>
      <c r="E11" s="185">
        <v>65509</v>
      </c>
      <c r="F11" s="185">
        <v>659756</v>
      </c>
      <c r="G11" s="185"/>
      <c r="H11" s="185">
        <v>237788</v>
      </c>
      <c r="I11" s="183">
        <f t="shared" ref="I11:I12" si="4">IFERROR(G11-E11,"-")</f>
        <v>-65509</v>
      </c>
      <c r="J11" s="179">
        <f t="shared" ref="J11:J37" si="5">IFERROR((G11/E11*100)-100,"-")</f>
        <v>-100</v>
      </c>
      <c r="K11" s="180">
        <f t="shared" ref="K11:K37" si="6">IFERROR(H11-F11,"-")</f>
        <v>-421968</v>
      </c>
      <c r="L11" s="181">
        <f t="shared" ref="L11:L37" si="7">IFERROR((H11/F11*100)-100,"-")</f>
        <v>-63.958190603798982</v>
      </c>
      <c r="O11" s="20" t="s">
        <v>51</v>
      </c>
      <c r="U11" s="164"/>
      <c r="V11" s="164"/>
    </row>
    <row r="12" spans="1:35" ht="21.2" customHeight="1">
      <c r="B12" s="240" t="s">
        <v>34</v>
      </c>
      <c r="C12" s="141" t="s">
        <v>31</v>
      </c>
      <c r="D12" s="207">
        <v>57203</v>
      </c>
      <c r="E12" s="186">
        <v>5348.25</v>
      </c>
      <c r="F12" s="186">
        <v>33331.75</v>
      </c>
      <c r="G12" s="186">
        <v>7566</v>
      </c>
      <c r="H12" s="186">
        <v>53547</v>
      </c>
      <c r="I12" s="184">
        <f t="shared" si="4"/>
        <v>2217.75</v>
      </c>
      <c r="J12" s="143">
        <f t="shared" si="5"/>
        <v>41.46683494601038</v>
      </c>
      <c r="K12" s="144">
        <f t="shared" si="6"/>
        <v>20215.25</v>
      </c>
      <c r="L12" s="145">
        <f t="shared" si="7"/>
        <v>60.648630809963464</v>
      </c>
      <c r="O12" s="20" t="s">
        <v>52</v>
      </c>
      <c r="U12" s="164"/>
      <c r="V12" s="164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40"/>
      <c r="C13" s="178" t="s">
        <v>32</v>
      </c>
      <c r="D13" s="206">
        <v>821405</v>
      </c>
      <c r="E13" s="185">
        <v>78149</v>
      </c>
      <c r="F13" s="185">
        <v>472442</v>
      </c>
      <c r="G13" s="185">
        <v>125002</v>
      </c>
      <c r="H13" s="185">
        <v>860758</v>
      </c>
      <c r="I13" s="183">
        <f>IFERROR(G13-E13,"-")</f>
        <v>46853</v>
      </c>
      <c r="J13" s="179">
        <f t="shared" si="5"/>
        <v>59.953422308666774</v>
      </c>
      <c r="K13" s="180">
        <f t="shared" si="6"/>
        <v>388316</v>
      </c>
      <c r="L13" s="181">
        <f t="shared" si="7"/>
        <v>82.193369768140855</v>
      </c>
      <c r="O13" s="20" t="s">
        <v>52</v>
      </c>
      <c r="U13" s="164"/>
      <c r="V13" s="164"/>
      <c r="AC13" s="33" t="s">
        <v>82</v>
      </c>
      <c r="AD13" s="35">
        <f>E10+E12</f>
        <v>8884.25</v>
      </c>
      <c r="AE13" s="35">
        <f>F10+F12</f>
        <v>68920.75</v>
      </c>
      <c r="AF13" s="35">
        <f>G10+G12</f>
        <v>7566</v>
      </c>
      <c r="AG13" s="35">
        <f>H10+H12</f>
        <v>66684</v>
      </c>
      <c r="AH13" s="36">
        <f t="shared" ref="AH13:AI15" si="8">(AF13/AD13*100)-100</f>
        <v>-14.838056110532676</v>
      </c>
      <c r="AI13" s="36">
        <f t="shared" si="8"/>
        <v>-3.2453941664883246</v>
      </c>
    </row>
    <row r="14" spans="1:35" ht="21.2" customHeight="1">
      <c r="B14" s="240" t="s">
        <v>72</v>
      </c>
      <c r="C14" s="141" t="s">
        <v>31</v>
      </c>
      <c r="D14" s="207">
        <v>9</v>
      </c>
      <c r="E14" s="146">
        <v>0</v>
      </c>
      <c r="F14" s="146">
        <v>0</v>
      </c>
      <c r="G14" s="146"/>
      <c r="H14" s="146"/>
      <c r="I14" s="195">
        <f>IFERROR(G14-E14,"-")</f>
        <v>0</v>
      </c>
      <c r="J14" s="143" t="str">
        <f t="shared" si="5"/>
        <v>-</v>
      </c>
      <c r="K14" s="144">
        <f t="shared" si="6"/>
        <v>0</v>
      </c>
      <c r="L14" s="145" t="str">
        <f t="shared" si="7"/>
        <v>-</v>
      </c>
      <c r="O14" s="20" t="s">
        <v>73</v>
      </c>
      <c r="U14" s="164"/>
      <c r="V14" s="164"/>
      <c r="AC14" s="33" t="s">
        <v>83</v>
      </c>
      <c r="AD14" s="35">
        <f>E18+E20+E22</f>
        <v>37621.5</v>
      </c>
      <c r="AE14" s="35">
        <f>F18+F20+F22</f>
        <v>362750.75</v>
      </c>
      <c r="AF14" s="35">
        <f>G18+G20+G22</f>
        <v>42687</v>
      </c>
      <c r="AG14" s="35">
        <f>H18+H20+H22</f>
        <v>337917</v>
      </c>
      <c r="AH14" s="36">
        <f t="shared" si="8"/>
        <v>13.464375423627445</v>
      </c>
      <c r="AI14" s="36">
        <f t="shared" si="8"/>
        <v>-6.8459541434442173</v>
      </c>
    </row>
    <row r="15" spans="1:35" ht="21.2" customHeight="1">
      <c r="B15" s="240"/>
      <c r="C15" s="112" t="s">
        <v>32</v>
      </c>
      <c r="D15" s="206">
        <v>213</v>
      </c>
      <c r="E15" s="115">
        <v>0</v>
      </c>
      <c r="F15" s="115">
        <v>0</v>
      </c>
      <c r="G15" s="115"/>
      <c r="H15" s="115"/>
      <c r="I15" s="183">
        <f t="shared" ref="I15:I37" si="9">IFERROR(G15-E15,"-")</f>
        <v>0</v>
      </c>
      <c r="J15" s="113" t="str">
        <f t="shared" si="5"/>
        <v>-</v>
      </c>
      <c r="K15" s="114">
        <f t="shared" si="6"/>
        <v>0</v>
      </c>
      <c r="L15" s="117" t="str">
        <f t="shared" si="7"/>
        <v>-</v>
      </c>
      <c r="O15" s="20" t="s">
        <v>73</v>
      </c>
      <c r="AC15" s="33" t="s">
        <v>76</v>
      </c>
      <c r="AD15" s="35">
        <f>E32+E34+E36</f>
        <v>21668</v>
      </c>
      <c r="AE15" s="35">
        <f>F32+F34+F36</f>
        <v>164330</v>
      </c>
      <c r="AF15" s="35">
        <f>G32+G34+G36</f>
        <v>25852</v>
      </c>
      <c r="AG15" s="35">
        <f>H32+H34+H36</f>
        <v>213331</v>
      </c>
      <c r="AH15" s="36">
        <f t="shared" si="8"/>
        <v>19.309580948864678</v>
      </c>
      <c r="AI15" s="36">
        <f t="shared" si="8"/>
        <v>29.818657579261242</v>
      </c>
    </row>
    <row r="16" spans="1:35" ht="21.2" customHeight="1">
      <c r="B16" s="240" t="s">
        <v>46</v>
      </c>
      <c r="C16" s="141" t="s">
        <v>31</v>
      </c>
      <c r="D16" s="208">
        <v>212</v>
      </c>
      <c r="E16" s="146">
        <v>0</v>
      </c>
      <c r="F16" s="146">
        <v>212</v>
      </c>
      <c r="G16" s="146"/>
      <c r="H16" s="146"/>
      <c r="I16" s="195">
        <f t="shared" si="9"/>
        <v>0</v>
      </c>
      <c r="J16" s="143" t="str">
        <f t="shared" si="5"/>
        <v>-</v>
      </c>
      <c r="K16" s="144">
        <f t="shared" si="6"/>
        <v>-212</v>
      </c>
      <c r="L16" s="145">
        <f t="shared" si="7"/>
        <v>-100</v>
      </c>
      <c r="O16" s="20" t="s">
        <v>53</v>
      </c>
    </row>
    <row r="17" spans="2:15" ht="21.2" customHeight="1">
      <c r="B17" s="240"/>
      <c r="C17" s="112" t="s">
        <v>45</v>
      </c>
      <c r="D17" s="209">
        <v>5372</v>
      </c>
      <c r="E17" s="115">
        <v>0</v>
      </c>
      <c r="F17" s="115">
        <v>5372</v>
      </c>
      <c r="G17" s="115"/>
      <c r="H17" s="115"/>
      <c r="I17" s="183">
        <f t="shared" si="9"/>
        <v>0</v>
      </c>
      <c r="J17" s="113" t="str">
        <f t="shared" si="5"/>
        <v>-</v>
      </c>
      <c r="K17" s="114">
        <f t="shared" si="6"/>
        <v>-5372</v>
      </c>
      <c r="L17" s="117">
        <f t="shared" si="7"/>
        <v>-100</v>
      </c>
      <c r="O17" s="20" t="s">
        <v>53</v>
      </c>
    </row>
    <row r="18" spans="2:15" ht="21.2" customHeight="1">
      <c r="B18" s="240" t="s">
        <v>35</v>
      </c>
      <c r="C18" s="141" t="s">
        <v>31</v>
      </c>
      <c r="D18" s="207">
        <v>142959.25</v>
      </c>
      <c r="E18" s="146">
        <v>8974.5</v>
      </c>
      <c r="F18" s="142">
        <v>95649.5</v>
      </c>
      <c r="G18" s="146">
        <v>14271</v>
      </c>
      <c r="H18" s="142">
        <v>122276</v>
      </c>
      <c r="I18" s="195">
        <f t="shared" si="9"/>
        <v>5296.5</v>
      </c>
      <c r="J18" s="143">
        <f t="shared" si="5"/>
        <v>59.017215443757323</v>
      </c>
      <c r="K18" s="144">
        <f t="shared" si="6"/>
        <v>26626.5</v>
      </c>
      <c r="L18" s="145">
        <f t="shared" si="7"/>
        <v>27.837573641263162</v>
      </c>
      <c r="M18" s="30"/>
      <c r="O18" s="20" t="s">
        <v>54</v>
      </c>
    </row>
    <row r="19" spans="2:15" ht="21.2" customHeight="1">
      <c r="B19" s="240"/>
      <c r="C19" s="112" t="s">
        <v>32</v>
      </c>
      <c r="D19" s="206">
        <v>2340460</v>
      </c>
      <c r="E19" s="115">
        <v>145507</v>
      </c>
      <c r="F19" s="185">
        <v>1526319</v>
      </c>
      <c r="G19" s="115">
        <v>215783</v>
      </c>
      <c r="H19" s="185">
        <v>1742278</v>
      </c>
      <c r="I19" s="183">
        <f t="shared" si="9"/>
        <v>70276</v>
      </c>
      <c r="J19" s="113">
        <f t="shared" si="5"/>
        <v>48.297332774368243</v>
      </c>
      <c r="K19" s="114">
        <f t="shared" si="6"/>
        <v>215959</v>
      </c>
      <c r="L19" s="117">
        <f t="shared" si="7"/>
        <v>14.149008169327644</v>
      </c>
      <c r="O19" s="20" t="s">
        <v>55</v>
      </c>
    </row>
    <row r="20" spans="2:15" ht="21.2" customHeight="1">
      <c r="B20" s="240" t="s">
        <v>42</v>
      </c>
      <c r="C20" s="141" t="s">
        <v>31</v>
      </c>
      <c r="D20" s="207">
        <v>233375.5</v>
      </c>
      <c r="E20" s="146">
        <v>16886.5</v>
      </c>
      <c r="F20" s="142">
        <v>157351.5</v>
      </c>
      <c r="G20" s="146">
        <v>20201</v>
      </c>
      <c r="H20" s="142">
        <v>130474</v>
      </c>
      <c r="I20" s="195">
        <f t="shared" si="9"/>
        <v>3314.5</v>
      </c>
      <c r="J20" s="143">
        <f t="shared" si="5"/>
        <v>19.628105291208954</v>
      </c>
      <c r="K20" s="144">
        <f t="shared" si="6"/>
        <v>-26877.5</v>
      </c>
      <c r="L20" s="145">
        <f t="shared" si="7"/>
        <v>-17.081184481876562</v>
      </c>
      <c r="O20" s="20" t="s">
        <v>56</v>
      </c>
    </row>
    <row r="21" spans="2:15" ht="21.2" customHeight="1">
      <c r="B21" s="240"/>
      <c r="C21" s="112" t="s">
        <v>32</v>
      </c>
      <c r="D21" s="206">
        <v>3245962</v>
      </c>
      <c r="E21" s="115">
        <v>248041</v>
      </c>
      <c r="F21" s="185">
        <v>2107172</v>
      </c>
      <c r="G21" s="115">
        <v>303339</v>
      </c>
      <c r="H21" s="185">
        <v>2217427</v>
      </c>
      <c r="I21" s="183">
        <f t="shared" si="9"/>
        <v>55298</v>
      </c>
      <c r="J21" s="113">
        <f t="shared" si="5"/>
        <v>22.293894960913718</v>
      </c>
      <c r="K21" s="114">
        <f t="shared" si="6"/>
        <v>110255</v>
      </c>
      <c r="L21" s="117">
        <f t="shared" si="7"/>
        <v>5.2323683116518396</v>
      </c>
      <c r="O21" s="20" t="s">
        <v>57</v>
      </c>
    </row>
    <row r="22" spans="2:15" ht="21.2" customHeight="1">
      <c r="B22" s="240" t="s">
        <v>36</v>
      </c>
      <c r="C22" s="141" t="s">
        <v>31</v>
      </c>
      <c r="D22" s="207">
        <v>163176.75</v>
      </c>
      <c r="E22" s="146">
        <v>11760.5</v>
      </c>
      <c r="F22" s="142">
        <v>109749.75</v>
      </c>
      <c r="G22" s="146">
        <v>8215</v>
      </c>
      <c r="H22" s="142">
        <v>85167</v>
      </c>
      <c r="I22" s="195">
        <f t="shared" si="9"/>
        <v>-3545.5</v>
      </c>
      <c r="J22" s="143">
        <f t="shared" si="5"/>
        <v>-30.147527741167465</v>
      </c>
      <c r="K22" s="144">
        <f t="shared" si="6"/>
        <v>-24582.75</v>
      </c>
      <c r="L22" s="145">
        <f t="shared" si="7"/>
        <v>-22.398912070414738</v>
      </c>
      <c r="O22" s="20" t="s">
        <v>58</v>
      </c>
    </row>
    <row r="23" spans="2:15" ht="21.2" customHeight="1">
      <c r="B23" s="240"/>
      <c r="C23" s="112" t="s">
        <v>32</v>
      </c>
      <c r="D23" s="206">
        <v>2560713</v>
      </c>
      <c r="E23" s="115">
        <v>203483</v>
      </c>
      <c r="F23" s="185">
        <v>1748377</v>
      </c>
      <c r="G23" s="115">
        <v>112433</v>
      </c>
      <c r="H23" s="185">
        <v>1325670</v>
      </c>
      <c r="I23" s="183">
        <f t="shared" si="9"/>
        <v>-91050</v>
      </c>
      <c r="J23" s="113">
        <f t="shared" si="5"/>
        <v>-44.745752716443143</v>
      </c>
      <c r="K23" s="114">
        <f t="shared" si="6"/>
        <v>-422707</v>
      </c>
      <c r="L23" s="117">
        <f t="shared" si="7"/>
        <v>-24.177108255256158</v>
      </c>
      <c r="O23" s="20" t="s">
        <v>59</v>
      </c>
    </row>
    <row r="24" spans="2:15" ht="21.2" customHeight="1">
      <c r="B24" s="240" t="s">
        <v>48</v>
      </c>
      <c r="C24" s="141" t="s">
        <v>31</v>
      </c>
      <c r="D24" s="208">
        <v>8</v>
      </c>
      <c r="E24" s="146">
        <v>0</v>
      </c>
      <c r="F24" s="146">
        <v>8</v>
      </c>
      <c r="G24" s="146"/>
      <c r="H24" s="146"/>
      <c r="I24" s="195">
        <f t="shared" si="9"/>
        <v>0</v>
      </c>
      <c r="J24" s="143" t="str">
        <f>IFERROR((G24/E24*100)-100,"-")</f>
        <v>-</v>
      </c>
      <c r="K24" s="144">
        <f t="shared" si="6"/>
        <v>-8</v>
      </c>
      <c r="L24" s="145">
        <f t="shared" si="7"/>
        <v>-100</v>
      </c>
      <c r="O24" s="20" t="s">
        <v>60</v>
      </c>
    </row>
    <row r="25" spans="2:15" ht="21.2" customHeight="1">
      <c r="B25" s="240"/>
      <c r="C25" s="116" t="s">
        <v>32</v>
      </c>
      <c r="D25" s="209">
        <v>175</v>
      </c>
      <c r="E25" s="115">
        <v>0</v>
      </c>
      <c r="F25" s="115">
        <v>175</v>
      </c>
      <c r="G25" s="115"/>
      <c r="H25" s="115"/>
      <c r="I25" s="183">
        <f t="shared" si="9"/>
        <v>0</v>
      </c>
      <c r="J25" s="113" t="str">
        <f>IFERROR((G25/E25*100)-100,"-")</f>
        <v>-</v>
      </c>
      <c r="K25" s="114">
        <f t="shared" si="6"/>
        <v>-175</v>
      </c>
      <c r="L25" s="117">
        <f t="shared" si="7"/>
        <v>-100</v>
      </c>
      <c r="O25" s="20" t="s">
        <v>61</v>
      </c>
    </row>
    <row r="26" spans="2:15" ht="21.2" customHeight="1">
      <c r="B26" s="240" t="s">
        <v>71</v>
      </c>
      <c r="C26" s="141" t="s">
        <v>31</v>
      </c>
      <c r="D26" s="208">
        <v>0</v>
      </c>
      <c r="E26" s="146">
        <v>0</v>
      </c>
      <c r="F26" s="146">
        <v>0</v>
      </c>
      <c r="G26" s="146"/>
      <c r="H26" s="146"/>
      <c r="I26" s="195">
        <f t="shared" si="9"/>
        <v>0</v>
      </c>
      <c r="J26" s="143" t="str">
        <f t="shared" si="5"/>
        <v>-</v>
      </c>
      <c r="K26" s="144">
        <f t="shared" si="6"/>
        <v>0</v>
      </c>
      <c r="L26" s="145" t="str">
        <f t="shared" si="7"/>
        <v>-</v>
      </c>
      <c r="O26" s="20" t="s">
        <v>74</v>
      </c>
    </row>
    <row r="27" spans="2:15" ht="21.2" customHeight="1">
      <c r="B27" s="240"/>
      <c r="C27" s="112" t="s">
        <v>32</v>
      </c>
      <c r="D27" s="209">
        <v>0</v>
      </c>
      <c r="E27" s="115">
        <v>0</v>
      </c>
      <c r="F27" s="115">
        <v>0</v>
      </c>
      <c r="G27" s="115"/>
      <c r="H27" s="115"/>
      <c r="I27" s="183">
        <f t="shared" si="9"/>
        <v>0</v>
      </c>
      <c r="J27" s="113" t="str">
        <f t="shared" si="5"/>
        <v>-</v>
      </c>
      <c r="K27" s="114">
        <f t="shared" si="6"/>
        <v>0</v>
      </c>
      <c r="L27" s="117" t="str">
        <f t="shared" si="7"/>
        <v>-</v>
      </c>
      <c r="O27" s="20" t="s">
        <v>74</v>
      </c>
    </row>
    <row r="28" spans="2:15" ht="21.2" customHeight="1">
      <c r="B28" s="240" t="s">
        <v>43</v>
      </c>
      <c r="C28" s="141" t="s">
        <v>44</v>
      </c>
      <c r="D28" s="207">
        <v>36</v>
      </c>
      <c r="E28" s="146">
        <v>36</v>
      </c>
      <c r="F28" s="146">
        <v>36</v>
      </c>
      <c r="G28" s="146"/>
      <c r="H28" s="146"/>
      <c r="I28" s="195">
        <f>IFERROR(G28-E28,"-")</f>
        <v>-36</v>
      </c>
      <c r="J28" s="143" t="str">
        <f>IFERROR((#REF!/E28*100)-100,"-")</f>
        <v>-</v>
      </c>
      <c r="K28" s="144">
        <f t="shared" si="6"/>
        <v>-36</v>
      </c>
      <c r="L28" s="145">
        <f t="shared" si="7"/>
        <v>-100</v>
      </c>
      <c r="O28" s="20" t="s">
        <v>62</v>
      </c>
    </row>
    <row r="29" spans="2:15" ht="21.2" customHeight="1">
      <c r="B29" s="240"/>
      <c r="C29" s="112" t="s">
        <v>45</v>
      </c>
      <c r="D29" s="206">
        <v>956</v>
      </c>
      <c r="E29" s="115">
        <v>956</v>
      </c>
      <c r="F29" s="115">
        <v>956</v>
      </c>
      <c r="G29" s="115"/>
      <c r="H29" s="115"/>
      <c r="I29" s="183">
        <f t="shared" si="9"/>
        <v>-956</v>
      </c>
      <c r="J29" s="113" t="str">
        <f>IFERROR((#REF!/E29*100)-100,"-")</f>
        <v>-</v>
      </c>
      <c r="K29" s="114">
        <f t="shared" si="6"/>
        <v>-956</v>
      </c>
      <c r="L29" s="117">
        <f t="shared" si="7"/>
        <v>-100</v>
      </c>
      <c r="O29" s="20" t="s">
        <v>62</v>
      </c>
    </row>
    <row r="30" spans="2:15" ht="21.2" customHeight="1">
      <c r="B30" s="240" t="s">
        <v>38</v>
      </c>
      <c r="C30" s="141" t="s">
        <v>31</v>
      </c>
      <c r="D30" s="207">
        <v>0</v>
      </c>
      <c r="E30" s="146">
        <v>0</v>
      </c>
      <c r="F30" s="146"/>
      <c r="G30" s="146"/>
      <c r="H30" s="146">
        <v>1</v>
      </c>
      <c r="I30" s="195">
        <f t="shared" si="9"/>
        <v>0</v>
      </c>
      <c r="J30" s="143" t="str">
        <f>IFERROR((G28/E30*100)-100,"-")</f>
        <v>-</v>
      </c>
      <c r="K30" s="144">
        <f>IFERROR(H30-F30,"-")</f>
        <v>1</v>
      </c>
      <c r="L30" s="145" t="str">
        <f t="shared" si="7"/>
        <v>-</v>
      </c>
      <c r="O30" s="20" t="s">
        <v>63</v>
      </c>
    </row>
    <row r="31" spans="2:15" ht="21.2" customHeight="1">
      <c r="B31" s="240"/>
      <c r="C31" s="112" t="s">
        <v>32</v>
      </c>
      <c r="D31" s="206">
        <v>0</v>
      </c>
      <c r="E31" s="196">
        <v>0</v>
      </c>
      <c r="F31" s="115"/>
      <c r="G31" s="196"/>
      <c r="H31" s="115">
        <v>21</v>
      </c>
      <c r="I31" s="183">
        <f t="shared" si="9"/>
        <v>0</v>
      </c>
      <c r="J31" s="113" t="str">
        <f>IFERROR((G29/E31*100)-100,"-")</f>
        <v>-</v>
      </c>
      <c r="K31" s="114">
        <f t="shared" si="6"/>
        <v>21</v>
      </c>
      <c r="L31" s="117" t="str">
        <f t="shared" si="7"/>
        <v>-</v>
      </c>
      <c r="O31" s="20" t="s">
        <v>64</v>
      </c>
    </row>
    <row r="32" spans="2:15" ht="21.2" customHeight="1">
      <c r="B32" s="240" t="s">
        <v>39</v>
      </c>
      <c r="C32" s="141" t="s">
        <v>31</v>
      </c>
      <c r="D32" s="207">
        <v>78522</v>
      </c>
      <c r="E32" s="146">
        <v>6214</v>
      </c>
      <c r="F32" s="142">
        <v>46626</v>
      </c>
      <c r="G32" s="146">
        <v>9272</v>
      </c>
      <c r="H32" s="142">
        <v>63538</v>
      </c>
      <c r="I32" s="195">
        <f t="shared" si="9"/>
        <v>3058</v>
      </c>
      <c r="J32" s="143">
        <f t="shared" si="5"/>
        <v>49.21145799806888</v>
      </c>
      <c r="K32" s="144">
        <f t="shared" si="6"/>
        <v>16912</v>
      </c>
      <c r="L32" s="145">
        <f t="shared" si="7"/>
        <v>36.27160811564363</v>
      </c>
      <c r="O32" s="20" t="s">
        <v>65</v>
      </c>
    </row>
    <row r="33" spans="2:15" ht="21.2" customHeight="1">
      <c r="B33" s="240"/>
      <c r="C33" s="112" t="s">
        <v>32</v>
      </c>
      <c r="D33" s="206">
        <v>1262971</v>
      </c>
      <c r="E33" s="115">
        <v>98273</v>
      </c>
      <c r="F33" s="185">
        <v>744763</v>
      </c>
      <c r="G33" s="115">
        <v>139170</v>
      </c>
      <c r="H33" s="185">
        <v>963969</v>
      </c>
      <c r="I33" s="183">
        <f t="shared" si="9"/>
        <v>40897</v>
      </c>
      <c r="J33" s="113">
        <f t="shared" si="5"/>
        <v>41.615703194163189</v>
      </c>
      <c r="K33" s="114">
        <f t="shared" si="6"/>
        <v>219206</v>
      </c>
      <c r="L33" s="117">
        <f t="shared" si="7"/>
        <v>29.432987406732082</v>
      </c>
      <c r="O33" s="20" t="s">
        <v>66</v>
      </c>
    </row>
    <row r="34" spans="2:15" ht="21.2" customHeight="1">
      <c r="B34" s="240" t="s">
        <v>40</v>
      </c>
      <c r="C34" s="141" t="s">
        <v>31</v>
      </c>
      <c r="D34" s="207">
        <v>144194</v>
      </c>
      <c r="E34" s="146">
        <v>11393</v>
      </c>
      <c r="F34" s="142">
        <v>88074</v>
      </c>
      <c r="G34" s="146">
        <v>15445</v>
      </c>
      <c r="H34" s="142">
        <v>112939</v>
      </c>
      <c r="I34" s="195">
        <f t="shared" si="9"/>
        <v>4052</v>
      </c>
      <c r="J34" s="143">
        <f t="shared" si="5"/>
        <v>35.565698235758788</v>
      </c>
      <c r="K34" s="144">
        <f t="shared" si="6"/>
        <v>24865</v>
      </c>
      <c r="L34" s="145">
        <f t="shared" si="7"/>
        <v>28.231941322070071</v>
      </c>
      <c r="O34" s="20" t="s">
        <v>67</v>
      </c>
    </row>
    <row r="35" spans="2:15" ht="21.2" customHeight="1">
      <c r="B35" s="240"/>
      <c r="C35" s="112" t="s">
        <v>32</v>
      </c>
      <c r="D35" s="206">
        <v>2071805</v>
      </c>
      <c r="E35" s="115">
        <v>152721</v>
      </c>
      <c r="F35" s="185">
        <v>1264612</v>
      </c>
      <c r="G35" s="115">
        <v>207091</v>
      </c>
      <c r="H35" s="185">
        <v>1559322</v>
      </c>
      <c r="I35" s="183">
        <f t="shared" si="9"/>
        <v>54370</v>
      </c>
      <c r="J35" s="113">
        <f t="shared" si="5"/>
        <v>35.600866940368405</v>
      </c>
      <c r="K35" s="114">
        <f t="shared" si="6"/>
        <v>294710</v>
      </c>
      <c r="L35" s="117">
        <f t="shared" si="7"/>
        <v>23.304381106616106</v>
      </c>
      <c r="O35" s="20" t="s">
        <v>68</v>
      </c>
    </row>
    <row r="36" spans="2:15" ht="21.2" customHeight="1">
      <c r="B36" s="240" t="s">
        <v>41</v>
      </c>
      <c r="C36" s="141" t="s">
        <v>31</v>
      </c>
      <c r="D36" s="207">
        <v>51128</v>
      </c>
      <c r="E36" s="146">
        <v>4061</v>
      </c>
      <c r="F36" s="142">
        <v>29630</v>
      </c>
      <c r="G36" s="146">
        <v>1135</v>
      </c>
      <c r="H36" s="142">
        <v>36854</v>
      </c>
      <c r="I36" s="195">
        <f t="shared" si="9"/>
        <v>-2926</v>
      </c>
      <c r="J36" s="143">
        <f t="shared" si="5"/>
        <v>-72.051218911598127</v>
      </c>
      <c r="K36" s="144">
        <f t="shared" si="6"/>
        <v>7224</v>
      </c>
      <c r="L36" s="145">
        <f t="shared" si="7"/>
        <v>24.380695241309482</v>
      </c>
      <c r="O36" s="20" t="s">
        <v>69</v>
      </c>
    </row>
    <row r="37" spans="2:15" ht="21.2" customHeight="1">
      <c r="B37" s="241"/>
      <c r="C37" s="118" t="s">
        <v>32</v>
      </c>
      <c r="D37" s="210">
        <v>747170</v>
      </c>
      <c r="E37" s="193">
        <v>58737</v>
      </c>
      <c r="F37" s="187">
        <v>445209</v>
      </c>
      <c r="G37" s="193">
        <v>8423</v>
      </c>
      <c r="H37" s="187">
        <v>496584</v>
      </c>
      <c r="I37" s="194">
        <f t="shared" si="9"/>
        <v>-50314</v>
      </c>
      <c r="J37" s="119">
        <f t="shared" si="5"/>
        <v>-85.65980557399935</v>
      </c>
      <c r="K37" s="120">
        <f t="shared" si="6"/>
        <v>51375</v>
      </c>
      <c r="L37" s="121">
        <f t="shared" si="7"/>
        <v>11.539524133609163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2025-10-20T01:04:10Z</dcterms:modified>
</cp:coreProperties>
</file>