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-15" windowWidth="14415" windowHeight="12675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45621"/>
</workbook>
</file>

<file path=xl/calcChain.xml><?xml version="1.0" encoding="utf-8"?>
<calcChain xmlns="http://schemas.openxmlformats.org/spreadsheetml/2006/main">
  <c r="M33" i="32" l="1"/>
  <c r="M32" i="32"/>
  <c r="J20" i="32"/>
  <c r="J21" i="32"/>
  <c r="M13" i="32"/>
  <c r="L22" i="32"/>
  <c r="L23" i="32"/>
  <c r="J23" i="32"/>
  <c r="J22" i="32"/>
  <c r="J13" i="32"/>
  <c r="J12" i="32"/>
  <c r="J11" i="32"/>
  <c r="J10" i="32"/>
  <c r="I5" i="32"/>
  <c r="H5" i="32"/>
  <c r="G5" i="32"/>
  <c r="F5" i="32"/>
  <c r="E5" i="32"/>
  <c r="L11" i="32"/>
  <c r="L10" i="32"/>
  <c r="I4" i="32"/>
  <c r="H4" i="32"/>
  <c r="G4" i="32"/>
  <c r="F4" i="32"/>
  <c r="E4" i="32"/>
  <c r="I11" i="21" l="1"/>
  <c r="G4" i="33" l="1"/>
  <c r="H21" i="21" l="1"/>
  <c r="M8" i="32" l="1"/>
  <c r="L8" i="32"/>
  <c r="M6" i="32"/>
  <c r="L6" i="32"/>
  <c r="M14" i="32" l="1"/>
  <c r="L14" i="32"/>
  <c r="K33" i="32"/>
  <c r="K32" i="32"/>
  <c r="G21" i="21" l="1"/>
  <c r="G11" i="21"/>
  <c r="F11" i="21"/>
  <c r="G7" i="21" l="1"/>
  <c r="F3" i="32" l="1"/>
  <c r="I7" i="21" l="1"/>
  <c r="H7" i="21" l="1"/>
  <c r="AA7" i="33" l="1"/>
  <c r="N6" i="33"/>
  <c r="G6" i="33"/>
  <c r="N3" i="33"/>
  <c r="I15" i="21" l="1"/>
  <c r="F15" i="21" l="1"/>
  <c r="I3" i="32" l="1"/>
  <c r="H3" i="32"/>
  <c r="G3" i="32"/>
  <c r="E7" i="21" l="1"/>
  <c r="L28" i="21" l="1"/>
  <c r="J28" i="21"/>
  <c r="K28" i="21"/>
  <c r="M26" i="21"/>
  <c r="M27" i="21"/>
  <c r="L26" i="21"/>
  <c r="L27" i="21"/>
  <c r="K26" i="21"/>
  <c r="K27" i="21"/>
  <c r="M18" i="21"/>
  <c r="L18" i="21"/>
  <c r="K18" i="21"/>
  <c r="H11" i="21" l="1"/>
  <c r="J22" i="21" l="1"/>
  <c r="J23" i="21"/>
  <c r="J24" i="21"/>
  <c r="J26" i="21"/>
  <c r="J27" i="21"/>
  <c r="J16" i="21"/>
  <c r="J18" i="21"/>
  <c r="J12" i="21"/>
  <c r="J13" i="21"/>
  <c r="J14" i="21"/>
  <c r="M25" i="32" l="1"/>
  <c r="L25" i="32"/>
  <c r="M24" i="32"/>
  <c r="I25" i="21"/>
  <c r="I21" i="21"/>
  <c r="J6" i="32"/>
  <c r="E25" i="21" l="1"/>
  <c r="E21" i="21"/>
  <c r="E15" i="21"/>
  <c r="E11" i="21"/>
  <c r="E10" i="21" l="1"/>
  <c r="E20" i="21"/>
  <c r="H15" i="21" l="1"/>
  <c r="H10" i="21" s="1"/>
  <c r="G15" i="21"/>
  <c r="L13" i="32"/>
  <c r="L12" i="32"/>
  <c r="M12" i="32"/>
  <c r="K12" i="32"/>
  <c r="L24" i="32"/>
  <c r="J25" i="32"/>
  <c r="J24" i="32"/>
  <c r="F21" i="21" l="1"/>
  <c r="F7" i="21"/>
  <c r="I10" i="21" l="1"/>
  <c r="N4" i="33" s="1"/>
  <c r="F25" i="21"/>
  <c r="G25" i="21"/>
  <c r="G20" i="21" s="1"/>
  <c r="J25" i="21" l="1"/>
  <c r="K25" i="21"/>
  <c r="L25" i="21"/>
  <c r="M25" i="21"/>
  <c r="K14" i="21"/>
  <c r="M17" i="32" l="1"/>
  <c r="J17" i="32"/>
  <c r="L16" i="32"/>
  <c r="J16" i="32"/>
  <c r="M24" i="21"/>
  <c r="M18" i="32"/>
  <c r="M19" i="32"/>
  <c r="M26" i="32"/>
  <c r="M27" i="32"/>
  <c r="M28" i="32"/>
  <c r="M29" i="32"/>
  <c r="M30" i="32"/>
  <c r="M31" i="32"/>
  <c r="K18" i="32"/>
  <c r="K19" i="32"/>
  <c r="K28" i="32"/>
  <c r="K29" i="32"/>
  <c r="K30" i="32"/>
  <c r="K31" i="32"/>
  <c r="L33" i="32"/>
  <c r="J33" i="32"/>
  <c r="L32" i="32"/>
  <c r="J32" i="32"/>
  <c r="K6" i="32"/>
  <c r="J7" i="32"/>
  <c r="K7" i="32"/>
  <c r="L7" i="32"/>
  <c r="M7" i="32"/>
  <c r="J8" i="32"/>
  <c r="K8" i="32"/>
  <c r="J9" i="32"/>
  <c r="K9" i="32"/>
  <c r="L9" i="32"/>
  <c r="M9" i="32"/>
  <c r="J14" i="32"/>
  <c r="K14" i="32"/>
  <c r="J15" i="32"/>
  <c r="K15" i="32"/>
  <c r="L15" i="32"/>
  <c r="M15" i="32"/>
  <c r="J18" i="32"/>
  <c r="L18" i="32"/>
  <c r="J19" i="32"/>
  <c r="L19" i="32"/>
  <c r="L20" i="32"/>
  <c r="L21" i="32"/>
  <c r="J26" i="32"/>
  <c r="L26" i="32"/>
  <c r="J27" i="32"/>
  <c r="L27" i="32"/>
  <c r="J28" i="32"/>
  <c r="L28" i="32"/>
  <c r="J29" i="32"/>
  <c r="L29" i="32"/>
  <c r="J30" i="32"/>
  <c r="L30" i="32"/>
  <c r="J31" i="32"/>
  <c r="L31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6" i="32"/>
  <c r="I20" i="21" l="1"/>
  <c r="G7" i="33" s="1"/>
  <c r="H20" i="21"/>
  <c r="J15" i="21"/>
  <c r="L17" i="32"/>
  <c r="M5" i="32"/>
  <c r="J4" i="32"/>
  <c r="M11" i="21"/>
  <c r="K15" i="21"/>
  <c r="L4" i="32"/>
  <c r="M21" i="21"/>
  <c r="K21" i="21"/>
  <c r="F20" i="21"/>
  <c r="L21" i="21"/>
  <c r="J21" i="21"/>
  <c r="L15" i="21"/>
  <c r="K11" i="21"/>
  <c r="G10" i="21"/>
  <c r="M15" i="21"/>
  <c r="L11" i="21"/>
  <c r="F10" i="21"/>
  <c r="J11" i="21"/>
  <c r="M7" i="21"/>
  <c r="L7" i="21"/>
  <c r="J7" i="21"/>
  <c r="K7" i="21"/>
  <c r="K17" i="32"/>
  <c r="K16" i="32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<sst xmlns="http://schemas.openxmlformats.org/spreadsheetml/2006/main" count="138" uniqueCount="87">
  <si>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</si>
  <si>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</si>
  <si>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</si>
  <si>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</si>
  <si>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</si>
  <si>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</si>
  <si>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</si>
  <si>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5" type="noConversion"/>
  </si>
  <si>
    <t xml:space="preserve"> 합  계</t>
    <phoneticPr fontId="5" type="noConversion"/>
  </si>
  <si>
    <t xml:space="preserve"> 외  항</t>
    <phoneticPr fontId="5" type="noConversion"/>
  </si>
  <si>
    <t xml:space="preserve"> 내  항</t>
    <phoneticPr fontId="5" type="noConversion"/>
  </si>
  <si>
    <t>연간누계</t>
    <phoneticPr fontId="5" type="noConversion"/>
  </si>
  <si>
    <t>계</t>
    <phoneticPr fontId="5" type="noConversion"/>
  </si>
  <si>
    <t>환적</t>
    <phoneticPr fontId="5" type="noConversion"/>
  </si>
  <si>
    <t>수출</t>
    <phoneticPr fontId="5" type="noConversion"/>
  </si>
  <si>
    <t>전년동기대비</t>
    <phoneticPr fontId="5" type="noConversion"/>
  </si>
  <si>
    <t>(%)</t>
    <phoneticPr fontId="5" type="noConversion"/>
  </si>
  <si>
    <t>환적</t>
    <phoneticPr fontId="5" type="noConversion"/>
  </si>
  <si>
    <t>D-B</t>
    <phoneticPr fontId="5" type="noConversion"/>
  </si>
  <si>
    <t>컨테</t>
    <phoneticPr fontId="5" type="noConversion"/>
  </si>
  <si>
    <t>이너</t>
    <phoneticPr fontId="5" type="noConversion"/>
  </si>
  <si>
    <t>선박</t>
    <phoneticPr fontId="5" type="noConversion"/>
  </si>
  <si>
    <t>화물</t>
    <phoneticPr fontId="5" type="noConversion"/>
  </si>
  <si>
    <t>(단위:TEU, 100% 기준)</t>
    <phoneticPr fontId="5" type="noConversion"/>
  </si>
  <si>
    <t>(화물)</t>
    <phoneticPr fontId="5" type="noConversion"/>
  </si>
  <si>
    <t xml:space="preserve">   (컨테이너)</t>
    <phoneticPr fontId="5" type="noConversion"/>
  </si>
  <si>
    <t>(평택·당진항)</t>
    <phoneticPr fontId="5" type="noConversion"/>
  </si>
  <si>
    <t xml:space="preserve">  □ 전년 동기대비 비교표</t>
    <phoneticPr fontId="5" type="noConversion"/>
  </si>
  <si>
    <t>■ 연도별 수송실적</t>
    <phoneticPr fontId="21" type="noConversion"/>
  </si>
  <si>
    <t>(단위 : 천톤)</t>
    <phoneticPr fontId="5" type="noConversion"/>
  </si>
  <si>
    <t xml:space="preserve">구분 </t>
    <phoneticPr fontId="5" type="noConversion"/>
  </si>
  <si>
    <t>선박입출항</t>
    <phoneticPr fontId="5" type="noConversion"/>
  </si>
  <si>
    <t>화물입출항</t>
    <phoneticPr fontId="5" type="noConversion"/>
  </si>
  <si>
    <t>(단위 : TEU)</t>
    <phoneticPr fontId="5" type="noConversion"/>
  </si>
  <si>
    <t>(단위 : 명)</t>
    <phoneticPr fontId="5" type="noConversion"/>
  </si>
  <si>
    <t>컨테이너</t>
    <phoneticPr fontId="5" type="noConversion"/>
  </si>
  <si>
    <t>여    객</t>
    <phoneticPr fontId="5" type="noConversion"/>
  </si>
  <si>
    <t xml:space="preserve">  □ 연도별 추이 </t>
  </si>
  <si>
    <t>□ 부두별 컨테이너 물동량</t>
    <phoneticPr fontId="5" type="noConversion"/>
  </si>
  <si>
    <t>구     분</t>
    <phoneticPr fontId="5" type="noConversion"/>
  </si>
  <si>
    <t>단위</t>
    <phoneticPr fontId="21" type="noConversion"/>
  </si>
  <si>
    <t>전년동기대비</t>
    <phoneticPr fontId="5" type="noConversion"/>
  </si>
  <si>
    <t>연간누계</t>
    <phoneticPr fontId="5" type="noConversion"/>
  </si>
  <si>
    <t>C-A</t>
    <phoneticPr fontId="5" type="noConversion"/>
  </si>
  <si>
    <t>(%)</t>
    <phoneticPr fontId="5" type="noConversion"/>
  </si>
  <si>
    <t>D-B</t>
    <phoneticPr fontId="5" type="noConversion"/>
  </si>
  <si>
    <t>합  계</t>
    <phoneticPr fontId="5" type="noConversion"/>
  </si>
  <si>
    <t>TEU</t>
    <phoneticPr fontId="21" type="noConversion"/>
  </si>
  <si>
    <t>톤</t>
    <phoneticPr fontId="21" type="noConversion"/>
  </si>
  <si>
    <t>선박입항 및 화물수송</t>
    <phoneticPr fontId="5" type="noConversion"/>
  </si>
  <si>
    <t xml:space="preserve">     (여객)</t>
    <phoneticPr fontId="5" type="noConversion"/>
  </si>
  <si>
    <t xml:space="preserve">     (화물입출항)</t>
    <phoneticPr fontId="5" type="noConversion"/>
  </si>
  <si>
    <t xml:space="preserve">   (선박입출항)</t>
    <phoneticPr fontId="5" type="noConversion"/>
  </si>
  <si>
    <t>국제여객부두1번</t>
  </si>
  <si>
    <t>국제여객부두2번</t>
  </si>
  <si>
    <t>동부두 6</t>
    <phoneticPr fontId="21" type="noConversion"/>
  </si>
  <si>
    <t>동부두 8</t>
    <phoneticPr fontId="21" type="noConversion"/>
  </si>
  <si>
    <t>C-A</t>
    <phoneticPr fontId="5" type="noConversion"/>
  </si>
  <si>
    <t>동부두 12</t>
    <phoneticPr fontId="21" type="noConversion"/>
  </si>
  <si>
    <t>동부두 14</t>
    <phoneticPr fontId="21" type="noConversion"/>
  </si>
  <si>
    <t>동부두 15</t>
    <phoneticPr fontId="21" type="noConversion"/>
  </si>
  <si>
    <t>동부두 16</t>
    <phoneticPr fontId="21" type="noConversion"/>
  </si>
  <si>
    <t>동부두 7</t>
    <phoneticPr fontId="21" type="noConversion"/>
  </si>
  <si>
    <t>동부두 11</t>
    <phoneticPr fontId="21" type="noConversion"/>
  </si>
  <si>
    <t>TEU</t>
    <phoneticPr fontId="21" type="noConversion"/>
  </si>
  <si>
    <t>톤</t>
    <phoneticPr fontId="21" type="noConversion"/>
  </si>
  <si>
    <t>동부두 5</t>
    <phoneticPr fontId="21" type="noConversion"/>
  </si>
  <si>
    <t>-</t>
    <phoneticPr fontId="21" type="noConversion"/>
  </si>
  <si>
    <t>자동차(대)</t>
    <phoneticPr fontId="5" type="noConversion"/>
  </si>
  <si>
    <t>동부두 9</t>
    <phoneticPr fontId="21" type="noConversion"/>
  </si>
  <si>
    <t>소계</t>
    <phoneticPr fontId="5" type="noConversion"/>
  </si>
  <si>
    <t>(단위 : 척)</t>
    <phoneticPr fontId="5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</si>
  <si>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5" type="noConversion"/>
  </si>
  <si>
    <t>2020년도</t>
    <phoneticPr fontId="5" type="noConversion"/>
  </si>
  <si>
    <t>2021년도</t>
    <phoneticPr fontId="5" type="noConversion"/>
  </si>
  <si>
    <t>2021년도</t>
    <phoneticPr fontId="5" type="noConversion"/>
  </si>
  <si>
    <t>(2021.10월분)</t>
    <phoneticPr fontId="5" type="noConversion"/>
  </si>
  <si>
    <t>10월(A)</t>
    <phoneticPr fontId="5" type="noConversion"/>
  </si>
  <si>
    <t>10월누계(B)</t>
    <phoneticPr fontId="5" type="noConversion"/>
  </si>
  <si>
    <t>10월(C)</t>
    <phoneticPr fontId="5" type="noConversion"/>
  </si>
  <si>
    <t>10월누계(D)</t>
    <phoneticPr fontId="5" type="noConversion"/>
  </si>
  <si>
    <t>동부두 10</t>
    <phoneticPr fontId="21" type="noConversion"/>
  </si>
  <si>
    <t>동부두 1</t>
    <phoneticPr fontId="21" type="noConversion"/>
  </si>
  <si>
    <t>순증</t>
    <phoneticPr fontId="21" type="noConversion"/>
  </si>
  <si>
    <t>순증</t>
    <phoneticPr fontId="21" type="noConversion"/>
  </si>
  <si>
    <t>순감</t>
    <phoneticPr fontId="21" type="noConversion"/>
  </si>
  <si>
    <t>순증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</si>
</sst>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1" formatCode="_-* #,##0_-;\-* #,##0_-;_-* &quot;-&quot;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</numFmts>
  <fonts count="35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b/>
      <sz val="10"/>
      <color theme="1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1">
    <xf numFmtId="0" fontId="0" fillId="0" borderId="0"/>
    <xf numFmtId="38" fontId="6" fillId="0" borderId="0" applyFont="0" applyFill="0" applyBorder="0" applyAlignment="0" applyProtection="0"/>
    <xf numFmtId="4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9" fillId="2" borderId="0" applyNumberFormat="0" applyBorder="0" applyAlignment="0" applyProtection="0"/>
    <xf numFmtId="10" fontId="9" fillId="3" borderId="1" applyNumberFormat="0" applyBorder="0" applyAlignment="0" applyProtection="0"/>
    <xf numFmtId="38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9" fontId="7" fillId="0" borderId="0"/>
    <xf numFmtId="0" fontId="6" fillId="0" borderId="0"/>
    <xf numFmtId="10" fontId="7" fillId="0" borderId="0" applyFont="0" applyFill="0" applyBorder="0" applyAlignment="0" applyProtection="0"/>
    <xf numFmtId="9" fontId="8" fillId="0" borderId="2" applyNumberFormat="0" applyBorder="0"/>
    <xf numFmtId="176" fontId="3" fillId="0" borderId="0" applyFont="0" applyFill="0" applyBorder="0" applyAlignment="0" applyProtection="0"/>
    <xf numFmtId="0" fontId="3" fillId="0" borderId="0"/>
    <xf numFmtId="0" fontId="24" fillId="0" borderId="0">
      <alignment vertical="center"/>
    </xf>
    <xf numFmtId="0" fontId="1" fillId="0" borderId="0">
      <alignment vertical="center"/>
    </xf>
    <xf numFmtId="0" fontId="3" fillId="0" borderId="0"/>
    <xf numFmtId="176" fontId="3" fillId="0" borderId="0" applyFont="0" applyFill="0" applyBorder="0" applyAlignment="0" applyProtection="0"/>
  </cellStyleXfs>
  <cellXfs count="256">
    <xf numFmtId="0" fontId="0" fillId="0" borderId="0" xfId="0"/>
    <xf numFmtId="176" fontId="11" fillId="0" borderId="0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right" vertical="center"/>
    </xf>
    <xf numFmtId="176" fontId="13" fillId="5" borderId="4" xfId="0" applyNumberFormat="1" applyFont="1" applyFill="1" applyBorder="1" applyAlignment="1">
      <alignment horizontal="center" vertical="center"/>
    </xf>
    <xf numFmtId="176" fontId="13" fillId="5" borderId="1" xfId="0" applyNumberFormat="1" applyFont="1" applyFill="1" applyBorder="1" applyAlignment="1">
      <alignment horizontal="center" vertical="center"/>
    </xf>
    <xf numFmtId="176" fontId="11" fillId="5" borderId="0" xfId="0" applyNumberFormat="1" applyFont="1" applyFill="1" applyBorder="1" applyAlignment="1">
      <alignment horizontal="center" vertical="center"/>
    </xf>
    <xf numFmtId="0" fontId="14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 vertical="center"/>
    </xf>
    <xf numFmtId="180" fontId="4" fillId="0" borderId="0" xfId="0" applyNumberFormat="1" applyFont="1" applyAlignment="1">
      <alignment horizontal="right" vertical="center"/>
    </xf>
    <xf numFmtId="176" fontId="12" fillId="4" borderId="3" xfId="0" applyNumberFormat="1" applyFont="1" applyFill="1" applyBorder="1" applyAlignment="1">
      <alignment horizontal="right" vertical="center"/>
    </xf>
    <xf numFmtId="176" fontId="15" fillId="4" borderId="1" xfId="0" applyNumberFormat="1" applyFont="1" applyFill="1" applyBorder="1" applyAlignment="1">
      <alignment horizontal="right" vertical="center"/>
    </xf>
    <xf numFmtId="176" fontId="11" fillId="0" borderId="0" xfId="0" applyNumberFormat="1" applyFont="1" applyBorder="1" applyAlignment="1">
      <alignment horizontal="right" vertical="center"/>
    </xf>
    <xf numFmtId="9" fontId="12" fillId="4" borderId="5" xfId="0" quotePrefix="1" applyNumberFormat="1" applyFont="1" applyFill="1" applyBorder="1" applyAlignment="1">
      <alignment horizontal="right" vertical="center"/>
    </xf>
    <xf numFmtId="176" fontId="12" fillId="5" borderId="6" xfId="0" applyNumberFormat="1" applyFont="1" applyFill="1" applyBorder="1" applyAlignment="1">
      <alignment horizontal="right" vertical="center"/>
    </xf>
    <xf numFmtId="9" fontId="11" fillId="5" borderId="5" xfId="0" quotePrefix="1" applyNumberFormat="1" applyFont="1" applyFill="1" applyBorder="1" applyAlignment="1">
      <alignment horizontal="right" vertical="center"/>
    </xf>
    <xf numFmtId="176" fontId="4" fillId="5" borderId="1" xfId="0" applyNumberFormat="1" applyFont="1" applyFill="1" applyBorder="1" applyAlignment="1">
      <alignment horizontal="right" vertical="center"/>
    </xf>
    <xf numFmtId="176" fontId="11" fillId="0" borderId="3" xfId="0" applyNumberFormat="1" applyFont="1" applyBorder="1" applyAlignment="1">
      <alignment horizontal="right" vertical="center"/>
    </xf>
    <xf numFmtId="176" fontId="11" fillId="0" borderId="3" xfId="0" applyNumberFormat="1" applyFont="1" applyFill="1" applyBorder="1" applyAlignment="1">
      <alignment horizontal="right" vertical="center"/>
    </xf>
    <xf numFmtId="9" fontId="11" fillId="0" borderId="5" xfId="0" quotePrefix="1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right" vertical="center"/>
    </xf>
    <xf numFmtId="9" fontId="15" fillId="4" borderId="7" xfId="0" applyNumberFormat="1" applyFont="1" applyFill="1" applyBorder="1" applyAlignment="1">
      <alignment horizontal="right" vertical="center"/>
    </xf>
    <xf numFmtId="176" fontId="11" fillId="6" borderId="8" xfId="0" applyNumberFormat="1" applyFont="1" applyFill="1" applyBorder="1" applyAlignment="1">
      <alignment horizontal="center" vertical="center"/>
    </xf>
    <xf numFmtId="9" fontId="4" fillId="5" borderId="7" xfId="0" applyNumberFormat="1" applyFont="1" applyFill="1" applyBorder="1" applyAlignment="1">
      <alignment horizontal="right" vertical="center"/>
    </xf>
    <xf numFmtId="9" fontId="4" fillId="0" borderId="7" xfId="0" applyNumberFormat="1" applyFont="1" applyFill="1" applyBorder="1" applyAlignment="1">
      <alignment horizontal="right" vertical="center"/>
    </xf>
    <xf numFmtId="176" fontId="11" fillId="6" borderId="9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left"/>
    </xf>
    <xf numFmtId="0" fontId="11" fillId="5" borderId="0" xfId="0" applyFont="1" applyFill="1" applyBorder="1" applyAlignment="1">
      <alignment horizontal="center"/>
    </xf>
    <xf numFmtId="176" fontId="11" fillId="6" borderId="8" xfId="0" applyNumberFormat="1" applyFont="1" applyFill="1" applyBorder="1" applyAlignment="1">
      <alignment horizontal="left" vertical="center"/>
    </xf>
    <xf numFmtId="176" fontId="11" fillId="6" borderId="11" xfId="0" applyNumberFormat="1" applyFont="1" applyFill="1" applyBorder="1" applyAlignment="1">
      <alignment vertical="center"/>
    </xf>
    <xf numFmtId="176" fontId="11" fillId="0" borderId="0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right" vertical="center"/>
    </xf>
    <xf numFmtId="181" fontId="12" fillId="0" borderId="0" xfId="0" applyNumberFormat="1" applyFont="1" applyFill="1" applyBorder="1" applyAlignment="1">
      <alignment horizontal="right" vertical="center"/>
    </xf>
    <xf numFmtId="9" fontId="12" fillId="0" borderId="0" xfId="0" quotePrefix="1" applyNumberFormat="1" applyFont="1" applyFill="1" applyBorder="1" applyAlignment="1">
      <alignment horizontal="right" vertical="center"/>
    </xf>
    <xf numFmtId="176" fontId="15" fillId="0" borderId="0" xfId="0" applyNumberFormat="1" applyFont="1" applyFill="1" applyBorder="1" applyAlignment="1">
      <alignment horizontal="right" vertical="center"/>
    </xf>
    <xf numFmtId="9" fontId="15" fillId="0" borderId="0" xfId="0" applyNumberFormat="1" applyFont="1" applyFill="1" applyBorder="1" applyAlignment="1">
      <alignment horizontal="right" vertical="center"/>
    </xf>
    <xf numFmtId="176" fontId="12" fillId="6" borderId="15" xfId="0" quotePrefix="1" applyNumberFormat="1" applyFont="1" applyFill="1" applyBorder="1" applyAlignment="1">
      <alignment horizontal="center" vertical="center"/>
    </xf>
    <xf numFmtId="176" fontId="12" fillId="6" borderId="16" xfId="0" applyNumberFormat="1" applyFont="1" applyFill="1" applyBorder="1" applyAlignment="1">
      <alignment horizontal="center" vertical="center"/>
    </xf>
    <xf numFmtId="176" fontId="12" fillId="6" borderId="1" xfId="0" applyNumberFormat="1" applyFont="1" applyFill="1" applyBorder="1" applyAlignment="1">
      <alignment horizontal="center" vertical="center"/>
    </xf>
    <xf numFmtId="9" fontId="12" fillId="6" borderId="5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180" fontId="12" fillId="6" borderId="7" xfId="0" applyNumberFormat="1" applyFont="1" applyFill="1" applyBorder="1" applyAlignment="1">
      <alignment horizontal="center" vertical="center"/>
    </xf>
    <xf numFmtId="182" fontId="12" fillId="4" borderId="3" xfId="0" applyNumberFormat="1" applyFont="1" applyFill="1" applyBorder="1" applyAlignment="1">
      <alignment horizontal="right" vertical="center"/>
    </xf>
    <xf numFmtId="182" fontId="11" fillId="0" borderId="4" xfId="0" applyNumberFormat="1" applyFont="1" applyBorder="1" applyAlignment="1">
      <alignment horizontal="right" vertical="center"/>
    </xf>
    <xf numFmtId="182" fontId="11" fillId="0" borderId="1" xfId="0" applyNumberFormat="1" applyFont="1" applyBorder="1" applyAlignment="1">
      <alignment horizontal="right" vertical="center"/>
    </xf>
    <xf numFmtId="182" fontId="4" fillId="5" borderId="1" xfId="0" applyNumberFormat="1" applyFont="1" applyFill="1" applyBorder="1" applyAlignment="1">
      <alignment horizontal="right" vertical="center"/>
    </xf>
    <xf numFmtId="182" fontId="15" fillId="4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9" fontId="4" fillId="5" borderId="1" xfId="0" applyNumberFormat="1" applyFont="1" applyFill="1" applyBorder="1" applyAlignment="1">
      <alignment horizontal="right" vertical="center"/>
    </xf>
    <xf numFmtId="176" fontId="13" fillId="0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176" fontId="11" fillId="0" borderId="4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41" fontId="11" fillId="0" borderId="1" xfId="0" applyNumberFormat="1" applyFont="1" applyFill="1" applyBorder="1" applyAlignment="1">
      <alignment horizontal="center" vertical="center"/>
    </xf>
    <xf numFmtId="0" fontId="19" fillId="0" borderId="0" xfId="0" applyFont="1"/>
    <xf numFmtId="0" fontId="3" fillId="0" borderId="0" xfId="16"/>
    <xf numFmtId="0" fontId="22" fillId="6" borderId="19" xfId="0" applyFont="1" applyFill="1" applyBorder="1" applyAlignment="1">
      <alignment horizontal="center" vertical="center"/>
    </xf>
    <xf numFmtId="180" fontId="22" fillId="6" borderId="20" xfId="0" quotePrefix="1" applyNumberFormat="1" applyFont="1" applyFill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183" fontId="23" fillId="0" borderId="0" xfId="0" applyNumberFormat="1" applyFont="1" applyBorder="1" applyAlignment="1">
      <alignment vertical="center"/>
    </xf>
    <xf numFmtId="0" fontId="3" fillId="0" borderId="0" xfId="16" applyAlignment="1">
      <alignment horizontal="right"/>
    </xf>
    <xf numFmtId="180" fontId="3" fillId="0" borderId="0" xfId="16" applyNumberFormat="1" applyAlignment="1">
      <alignment horizontal="right"/>
    </xf>
    <xf numFmtId="0" fontId="4" fillId="0" borderId="0" xfId="16" applyFont="1" applyAlignment="1">
      <alignment horizontal="right" vertical="center"/>
    </xf>
    <xf numFmtId="180" fontId="4" fillId="0" borderId="0" xfId="16" applyNumberFormat="1" applyFont="1" applyAlignment="1">
      <alignment horizontal="right" vertical="center"/>
    </xf>
    <xf numFmtId="0" fontId="16" fillId="0" borderId="0" xfId="16" applyFont="1" applyAlignment="1">
      <alignment vertical="center"/>
    </xf>
    <xf numFmtId="0" fontId="14" fillId="0" borderId="0" xfId="16" applyFont="1" applyAlignment="1">
      <alignment vertical="center"/>
    </xf>
    <xf numFmtId="0" fontId="24" fillId="0" borderId="0" xfId="17">
      <alignment vertical="center"/>
    </xf>
    <xf numFmtId="0" fontId="24" fillId="0" borderId="0" xfId="17" applyAlignment="1">
      <alignment horizontal="right"/>
    </xf>
    <xf numFmtId="180" fontId="24" fillId="0" borderId="0" xfId="17" applyNumberFormat="1" applyAlignment="1">
      <alignment horizontal="right"/>
    </xf>
    <xf numFmtId="0" fontId="4" fillId="0" borderId="0" xfId="17" applyFont="1" applyAlignment="1">
      <alignment horizontal="right" vertical="center"/>
    </xf>
    <xf numFmtId="180" fontId="4" fillId="0" borderId="0" xfId="17" applyNumberFormat="1" applyFont="1" applyAlignment="1">
      <alignment horizontal="right" vertical="center"/>
    </xf>
    <xf numFmtId="176" fontId="12" fillId="6" borderId="20" xfId="17" quotePrefix="1" applyNumberFormat="1" applyFont="1" applyFill="1" applyBorder="1" applyAlignment="1">
      <alignment horizontal="center" vertical="center"/>
    </xf>
    <xf numFmtId="176" fontId="12" fillId="6" borderId="1" xfId="17" applyNumberFormat="1" applyFont="1" applyFill="1" applyBorder="1" applyAlignment="1">
      <alignment horizontal="center" vertical="center"/>
    </xf>
    <xf numFmtId="9" fontId="12" fillId="6" borderId="1" xfId="17" applyNumberFormat="1" applyFont="1" applyFill="1" applyBorder="1" applyAlignment="1">
      <alignment horizontal="center" vertical="center"/>
    </xf>
    <xf numFmtId="0" fontId="15" fillId="6" borderId="1" xfId="17" applyFont="1" applyFill="1" applyBorder="1" applyAlignment="1">
      <alignment horizontal="center" vertical="center"/>
    </xf>
    <xf numFmtId="0" fontId="22" fillId="5" borderId="1" xfId="17" applyFont="1" applyFill="1" applyBorder="1" applyAlignment="1">
      <alignment horizontal="center" vertical="center"/>
    </xf>
    <xf numFmtId="184" fontId="12" fillId="5" borderId="1" xfId="17" quotePrefix="1" applyNumberFormat="1" applyFont="1" applyFill="1" applyBorder="1" applyAlignment="1">
      <alignment horizontal="right" vertical="center"/>
    </xf>
    <xf numFmtId="176" fontId="15" fillId="5" borderId="1" xfId="17" applyNumberFormat="1" applyFont="1" applyFill="1" applyBorder="1" applyAlignment="1">
      <alignment horizontal="right" vertical="center"/>
    </xf>
    <xf numFmtId="0" fontId="22" fillId="5" borderId="4" xfId="17" applyFont="1" applyFill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2" fillId="5" borderId="16" xfId="17" applyFont="1" applyFill="1" applyBorder="1" applyAlignment="1">
      <alignment horizontal="center" vertical="center"/>
    </xf>
    <xf numFmtId="0" fontId="27" fillId="0" borderId="0" xfId="17" applyFont="1">
      <alignment vertical="center"/>
    </xf>
    <xf numFmtId="182" fontId="28" fillId="0" borderId="4" xfId="0" applyNumberFormat="1" applyFont="1" applyFill="1" applyBorder="1" applyAlignment="1">
      <alignment horizontal="right" vertical="center"/>
    </xf>
    <xf numFmtId="182" fontId="28" fillId="0" borderId="3" xfId="0" applyNumberFormat="1" applyFont="1" applyFill="1" applyBorder="1" applyAlignment="1">
      <alignment horizontal="right" vertical="center"/>
    </xf>
    <xf numFmtId="9" fontId="28" fillId="0" borderId="5" xfId="0" quotePrefix="1" applyNumberFormat="1" applyFont="1" applyFill="1" applyBorder="1" applyAlignment="1">
      <alignment horizontal="right" vertical="center"/>
    </xf>
    <xf numFmtId="182" fontId="29" fillId="0" borderId="1" xfId="0" applyNumberFormat="1" applyFont="1" applyFill="1" applyBorder="1" applyAlignment="1">
      <alignment horizontal="right" vertical="center"/>
    </xf>
    <xf numFmtId="9" fontId="29" fillId="0" borderId="7" xfId="0" applyNumberFormat="1" applyFont="1" applyFill="1" applyBorder="1" applyAlignment="1">
      <alignment horizontal="right" vertical="center"/>
    </xf>
    <xf numFmtId="182" fontId="28" fillId="5" borderId="4" xfId="0" applyNumberFormat="1" applyFont="1" applyFill="1" applyBorder="1" applyAlignment="1">
      <alignment horizontal="right" vertical="center"/>
    </xf>
    <xf numFmtId="182" fontId="28" fillId="5" borderId="3" xfId="0" applyNumberFormat="1" applyFont="1" applyFill="1" applyBorder="1" applyAlignment="1">
      <alignment horizontal="right" vertical="center"/>
    </xf>
    <xf numFmtId="9" fontId="28" fillId="5" borderId="5" xfId="0" quotePrefix="1" applyNumberFormat="1" applyFont="1" applyFill="1" applyBorder="1" applyAlignment="1">
      <alignment horizontal="right" vertical="center"/>
    </xf>
    <xf numFmtId="182" fontId="29" fillId="5" borderId="1" xfId="0" applyNumberFormat="1" applyFont="1" applyFill="1" applyBorder="1" applyAlignment="1">
      <alignment horizontal="right" vertical="center"/>
    </xf>
    <xf numFmtId="9" fontId="29" fillId="5" borderId="7" xfId="0" applyNumberFormat="1" applyFont="1" applyFill="1" applyBorder="1" applyAlignment="1">
      <alignment horizontal="right" vertical="center"/>
    </xf>
    <xf numFmtId="176" fontId="30" fillId="0" borderId="4" xfId="0" applyNumberFormat="1" applyFont="1" applyFill="1" applyBorder="1" applyAlignment="1">
      <alignment horizontal="center" vertical="center"/>
    </xf>
    <xf numFmtId="176" fontId="30" fillId="5" borderId="4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right" vertical="center"/>
    </xf>
    <xf numFmtId="9" fontId="29" fillId="5" borderId="1" xfId="0" applyNumberFormat="1" applyFont="1" applyFill="1" applyBorder="1" applyAlignment="1">
      <alignment horizontal="right" vertical="center"/>
    </xf>
    <xf numFmtId="176" fontId="29" fillId="5" borderId="1" xfId="0" applyNumberFormat="1" applyFont="1" applyFill="1" applyBorder="1" applyAlignment="1">
      <alignment horizontal="right" vertical="center"/>
    </xf>
    <xf numFmtId="176" fontId="12" fillId="4" borderId="3" xfId="0" applyNumberFormat="1" applyFont="1" applyFill="1" applyBorder="1" applyAlignment="1">
      <alignment horizontal="center" vertical="center" shrinkToFit="1"/>
    </xf>
    <xf numFmtId="176" fontId="12" fillId="4" borderId="3" xfId="0" applyNumberFormat="1" applyFont="1" applyFill="1" applyBorder="1" applyAlignment="1">
      <alignment horizontal="right" vertical="center" shrinkToFit="1"/>
    </xf>
    <xf numFmtId="9" fontId="12" fillId="4" borderId="5" xfId="0" quotePrefix="1" applyNumberFormat="1" applyFont="1" applyFill="1" applyBorder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right" vertical="center" shrinkToFit="1"/>
    </xf>
    <xf numFmtId="185" fontId="12" fillId="4" borderId="1" xfId="17" applyNumberFormat="1" applyFont="1" applyFill="1" applyBorder="1" applyAlignment="1">
      <alignment horizontal="right" vertical="center" shrinkToFit="1"/>
    </xf>
    <xf numFmtId="184" fontId="12" fillId="4" borderId="1" xfId="17" quotePrefix="1" applyNumberFormat="1" applyFont="1" applyFill="1" applyBorder="1" applyAlignment="1">
      <alignment horizontal="right" vertical="center" shrinkToFit="1"/>
    </xf>
    <xf numFmtId="176" fontId="15" fillId="4" borderId="1" xfId="17" applyNumberFormat="1" applyFont="1" applyFill="1" applyBorder="1" applyAlignment="1">
      <alignment horizontal="right" vertical="center" shrinkToFit="1"/>
    </xf>
    <xf numFmtId="185" fontId="12" fillId="5" borderId="1" xfId="17" applyNumberFormat="1" applyFont="1" applyFill="1" applyBorder="1" applyAlignment="1">
      <alignment horizontal="right" vertical="center" shrinkToFit="1"/>
    </xf>
    <xf numFmtId="184" fontId="12" fillId="5" borderId="1" xfId="17" quotePrefix="1" applyNumberFormat="1" applyFont="1" applyFill="1" applyBorder="1" applyAlignment="1">
      <alignment horizontal="right" vertical="center" shrinkToFit="1"/>
    </xf>
    <xf numFmtId="176" fontId="15" fillId="5" borderId="1" xfId="17" applyNumberFormat="1" applyFont="1" applyFill="1" applyBorder="1" applyAlignment="1">
      <alignment horizontal="right" vertical="center" shrinkToFit="1"/>
    </xf>
    <xf numFmtId="184" fontId="12" fillId="5" borderId="4" xfId="17" quotePrefix="1" applyNumberFormat="1" applyFont="1" applyFill="1" applyBorder="1" applyAlignment="1">
      <alignment horizontal="right" vertical="center" shrinkToFit="1"/>
    </xf>
    <xf numFmtId="176" fontId="15" fillId="5" borderId="4" xfId="17" applyNumberFormat="1" applyFont="1" applyFill="1" applyBorder="1" applyAlignment="1">
      <alignment horizontal="right" vertical="center" shrinkToFit="1"/>
    </xf>
    <xf numFmtId="184" fontId="12" fillId="5" borderId="16" xfId="17" quotePrefix="1" applyNumberFormat="1" applyFont="1" applyFill="1" applyBorder="1" applyAlignment="1">
      <alignment horizontal="right" vertical="center" shrinkToFit="1"/>
    </xf>
    <xf numFmtId="176" fontId="15" fillId="5" borderId="16" xfId="17" applyNumberFormat="1" applyFont="1" applyFill="1" applyBorder="1" applyAlignment="1">
      <alignment horizontal="right" vertical="center" shrinkToFit="1"/>
    </xf>
    <xf numFmtId="183" fontId="22" fillId="4" borderId="1" xfId="17" applyNumberFormat="1" applyFont="1" applyFill="1" applyBorder="1" applyAlignment="1">
      <alignment vertical="center" shrinkToFit="1"/>
    </xf>
    <xf numFmtId="183" fontId="23" fillId="0" borderId="1" xfId="17" applyNumberFormat="1" applyFont="1" applyBorder="1" applyAlignment="1">
      <alignment vertical="center" shrinkToFit="1"/>
    </xf>
    <xf numFmtId="183" fontId="23" fillId="0" borderId="16" xfId="17" applyNumberFormat="1" applyFont="1" applyBorder="1" applyAlignment="1">
      <alignment vertical="center" shrinkToFit="1"/>
    </xf>
    <xf numFmtId="0" fontId="16" fillId="0" borderId="0" xfId="16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183" fontId="23" fillId="0" borderId="4" xfId="17" applyNumberFormat="1" applyFont="1" applyBorder="1" applyAlignment="1">
      <alignment vertical="center" shrinkToFit="1"/>
    </xf>
    <xf numFmtId="185" fontId="12" fillId="5" borderId="4" xfId="17" applyNumberFormat="1" applyFont="1" applyFill="1" applyBorder="1" applyAlignment="1">
      <alignment horizontal="right" vertical="center" shrinkToFit="1"/>
    </xf>
    <xf numFmtId="0" fontId="0" fillId="0" borderId="0" xfId="16" applyFont="1"/>
    <xf numFmtId="184" fontId="12" fillId="5" borderId="4" xfId="17" applyNumberFormat="1" applyFont="1" applyFill="1" applyBorder="1" applyAlignment="1">
      <alignment horizontal="right" vertical="center" shrinkToFit="1"/>
    </xf>
    <xf numFmtId="0" fontId="0" fillId="0" borderId="0" xfId="0" applyFont="1"/>
    <xf numFmtId="181" fontId="12" fillId="4" borderId="12" xfId="0" applyNumberFormat="1" applyFont="1" applyFill="1" applyBorder="1" applyAlignment="1">
      <alignment horizontal="right" vertical="center"/>
    </xf>
    <xf numFmtId="176" fontId="12" fillId="4" borderId="24" xfId="0" applyNumberFormat="1" applyFont="1" applyFill="1" applyBorder="1" applyAlignment="1">
      <alignment horizontal="right" vertical="center" shrinkToFit="1"/>
    </xf>
    <xf numFmtId="9" fontId="12" fillId="4" borderId="13" xfId="0" quotePrefix="1" applyNumberFormat="1" applyFont="1" applyFill="1" applyBorder="1" applyAlignment="1">
      <alignment horizontal="right" vertical="center"/>
    </xf>
    <xf numFmtId="176" fontId="15" fillId="4" borderId="12" xfId="0" applyNumberFormat="1" applyFont="1" applyFill="1" applyBorder="1" applyAlignment="1">
      <alignment horizontal="right" vertical="center"/>
    </xf>
    <xf numFmtId="9" fontId="15" fillId="4" borderId="14" xfId="0" applyNumberFormat="1" applyFont="1" applyFill="1" applyBorder="1" applyAlignment="1">
      <alignment horizontal="right" vertical="center"/>
    </xf>
    <xf numFmtId="183" fontId="23" fillId="0" borderId="1" xfId="17" applyNumberFormat="1" applyFont="1" applyFill="1" applyBorder="1" applyAlignment="1">
      <alignment vertical="center" shrinkToFit="1"/>
    </xf>
    <xf numFmtId="0" fontId="22" fillId="0" borderId="1" xfId="17" applyFont="1" applyFill="1" applyBorder="1" applyAlignment="1">
      <alignment horizontal="center" vertical="center"/>
    </xf>
    <xf numFmtId="184" fontId="12" fillId="0" borderId="1" xfId="17" applyNumberFormat="1" applyFont="1" applyFill="1" applyBorder="1" applyAlignment="1">
      <alignment horizontal="right" vertical="center" shrinkToFit="1"/>
    </xf>
    <xf numFmtId="176" fontId="15" fillId="0" borderId="1" xfId="17" applyNumberFormat="1" applyFont="1" applyFill="1" applyBorder="1" applyAlignment="1">
      <alignment horizontal="right" vertical="center" shrinkToFit="1"/>
    </xf>
    <xf numFmtId="0" fontId="22" fillId="0" borderId="4" xfId="17" applyFont="1" applyFill="1" applyBorder="1" applyAlignment="1">
      <alignment horizontal="center" vertical="center"/>
    </xf>
    <xf numFmtId="184" fontId="12" fillId="0" borderId="4" xfId="17" applyNumberFormat="1" applyFont="1" applyFill="1" applyBorder="1" applyAlignment="1">
      <alignment horizontal="right" vertical="center" shrinkToFit="1"/>
    </xf>
    <xf numFmtId="176" fontId="15" fillId="0" borderId="4" xfId="17" applyNumberFormat="1" applyFont="1" applyFill="1" applyBorder="1" applyAlignment="1">
      <alignment horizontal="right" vertical="center" shrinkToFit="1"/>
    </xf>
    <xf numFmtId="41" fontId="23" fillId="0" borderId="1" xfId="17" applyNumberFormat="1" applyFont="1" applyFill="1" applyBorder="1" applyAlignment="1">
      <alignment vertical="center" shrinkToFit="1"/>
    </xf>
    <xf numFmtId="41" fontId="23" fillId="0" borderId="1" xfId="17" applyNumberFormat="1" applyFont="1" applyBorder="1" applyAlignment="1">
      <alignment vertical="center" shrinkToFit="1"/>
    </xf>
    <xf numFmtId="41" fontId="11" fillId="0" borderId="1" xfId="0" applyNumberFormat="1" applyFont="1" applyBorder="1" applyAlignment="1">
      <alignment horizontal="right" vertical="center"/>
    </xf>
    <xf numFmtId="180" fontId="0" fillId="0" borderId="18" xfId="0" applyNumberFormat="1" applyBorder="1" applyAlignment="1">
      <alignment horizontal="center"/>
    </xf>
    <xf numFmtId="176" fontId="12" fillId="6" borderId="8" xfId="0" applyNumberFormat="1" applyFont="1" applyFill="1" applyBorder="1" applyAlignment="1">
      <alignment horizontal="left" vertical="center"/>
    </xf>
    <xf numFmtId="176" fontId="34" fillId="6" borderId="1" xfId="17" applyNumberFormat="1" applyFont="1" applyFill="1" applyBorder="1" applyAlignment="1">
      <alignment horizontal="center" vertical="center"/>
    </xf>
    <xf numFmtId="183" fontId="23" fillId="0" borderId="12" xfId="0" applyNumberFormat="1" applyFont="1" applyBorder="1" applyAlignment="1">
      <alignment horizontal="right" vertical="center"/>
    </xf>
    <xf numFmtId="183" fontId="31" fillId="0" borderId="23" xfId="0" applyNumberFormat="1" applyFont="1" applyBorder="1" applyAlignment="1">
      <alignment horizontal="right" vertical="center"/>
    </xf>
    <xf numFmtId="176" fontId="31" fillId="0" borderId="23" xfId="15" applyFont="1" applyBorder="1" applyAlignment="1">
      <alignment horizontal="right" vertical="center" shrinkToFit="1"/>
    </xf>
    <xf numFmtId="183" fontId="23" fillId="0" borderId="12" xfId="0" applyNumberFormat="1" applyFont="1" applyBorder="1" applyAlignment="1">
      <alignment horizontal="right" vertical="center" shrinkToFit="1"/>
    </xf>
    <xf numFmtId="183" fontId="31" fillId="0" borderId="23" xfId="0" applyNumberFormat="1" applyFont="1" applyBorder="1" applyAlignment="1">
      <alignment horizontal="right" vertical="center" shrinkToFit="1"/>
    </xf>
    <xf numFmtId="176" fontId="33" fillId="0" borderId="23" xfId="15" applyFont="1" applyBorder="1" applyAlignment="1">
      <alignment horizontal="right" vertical="center" shrinkToFit="1"/>
    </xf>
    <xf numFmtId="176" fontId="12" fillId="6" borderId="17" xfId="0" applyNumberFormat="1" applyFont="1" applyFill="1" applyBorder="1" applyAlignment="1">
      <alignment horizontal="center" vertical="center"/>
    </xf>
    <xf numFmtId="176" fontId="12" fillId="6" borderId="5" xfId="0" applyNumberFormat="1" applyFont="1" applyFill="1" applyBorder="1" applyAlignment="1">
      <alignment horizontal="center" vertical="center"/>
    </xf>
    <xf numFmtId="0" fontId="24" fillId="0" borderId="0" xfId="17" applyFont="1">
      <alignment vertical="center"/>
    </xf>
    <xf numFmtId="186" fontId="22" fillId="6" borderId="21" xfId="0" applyNumberFormat="1" applyFont="1" applyFill="1" applyBorder="1" applyAlignment="1">
      <alignment horizontal="center" vertical="center"/>
    </xf>
    <xf numFmtId="187" fontId="22" fillId="6" borderId="21" xfId="0" quotePrefix="1" applyNumberFormat="1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180" fontId="12" fillId="6" borderId="7" xfId="17" applyNumberFormat="1" applyFont="1" applyFill="1" applyBorder="1" applyAlignment="1">
      <alignment horizontal="center" vertical="center"/>
    </xf>
    <xf numFmtId="184" fontId="12" fillId="4" borderId="7" xfId="17" quotePrefix="1" applyNumberFormat="1" applyFont="1" applyFill="1" applyBorder="1" applyAlignment="1">
      <alignment horizontal="right" vertical="center" shrinkToFit="1"/>
    </xf>
    <xf numFmtId="184" fontId="12" fillId="5" borderId="7" xfId="17" quotePrefix="1" applyNumberFormat="1" applyFont="1" applyFill="1" applyBorder="1" applyAlignment="1">
      <alignment horizontal="right" vertical="center" shrinkToFit="1"/>
    </xf>
    <xf numFmtId="176" fontId="15" fillId="5" borderId="7" xfId="17" applyNumberFormat="1" applyFont="1" applyFill="1" applyBorder="1" applyAlignment="1">
      <alignment horizontal="right" vertical="center" shrinkToFit="1"/>
    </xf>
    <xf numFmtId="184" fontId="12" fillId="5" borderId="7" xfId="17" quotePrefix="1" applyNumberFormat="1" applyFont="1" applyFill="1" applyBorder="1" applyAlignment="1">
      <alignment horizontal="right" vertical="center"/>
    </xf>
    <xf numFmtId="184" fontId="12" fillId="0" borderId="7" xfId="17" quotePrefix="1" applyNumberFormat="1" applyFont="1" applyFill="1" applyBorder="1" applyAlignment="1">
      <alignment horizontal="right" vertical="center" shrinkToFit="1"/>
    </xf>
    <xf numFmtId="184" fontId="12" fillId="0" borderId="42" xfId="17" quotePrefix="1" applyNumberFormat="1" applyFont="1" applyFill="1" applyBorder="1" applyAlignment="1">
      <alignment horizontal="right" vertical="center" shrinkToFit="1"/>
    </xf>
    <xf numFmtId="184" fontId="12" fillId="5" borderId="42" xfId="17" quotePrefix="1" applyNumberFormat="1" applyFont="1" applyFill="1" applyBorder="1" applyAlignment="1">
      <alignment horizontal="right" vertical="center" shrinkToFit="1"/>
    </xf>
    <xf numFmtId="184" fontId="12" fillId="5" borderId="43" xfId="17" quotePrefix="1" applyNumberFormat="1" applyFont="1" applyFill="1" applyBorder="1" applyAlignment="1">
      <alignment horizontal="right" vertical="center" shrinkToFit="1"/>
    </xf>
    <xf numFmtId="0" fontId="22" fillId="5" borderId="12" xfId="17" applyFont="1" applyFill="1" applyBorder="1" applyAlignment="1">
      <alignment horizontal="center" vertical="center"/>
    </xf>
    <xf numFmtId="183" fontId="23" fillId="0" borderId="12" xfId="17" applyNumberFormat="1" applyFont="1" applyBorder="1" applyAlignment="1">
      <alignment vertical="center" shrinkToFit="1"/>
    </xf>
    <xf numFmtId="185" fontId="12" fillId="5" borderId="12" xfId="17" applyNumberFormat="1" applyFont="1" applyFill="1" applyBorder="1" applyAlignment="1">
      <alignment horizontal="right" vertical="center" shrinkToFit="1"/>
    </xf>
    <xf numFmtId="184" fontId="12" fillId="5" borderId="12" xfId="17" quotePrefix="1" applyNumberFormat="1" applyFont="1" applyFill="1" applyBorder="1" applyAlignment="1">
      <alignment horizontal="right" vertical="center" shrinkToFit="1"/>
    </xf>
    <xf numFmtId="176" fontId="15" fillId="5" borderId="12" xfId="17" applyNumberFormat="1" applyFont="1" applyFill="1" applyBorder="1" applyAlignment="1">
      <alignment horizontal="right" vertical="center" shrinkToFit="1"/>
    </xf>
    <xf numFmtId="184" fontId="12" fillId="5" borderId="14" xfId="17" quotePrefix="1" applyNumberFormat="1" applyFont="1" applyFill="1" applyBorder="1" applyAlignment="1">
      <alignment horizontal="right" vertical="center" shrinkToFit="1"/>
    </xf>
    <xf numFmtId="182" fontId="11" fillId="5" borderId="3" xfId="0" applyNumberFormat="1" applyFont="1" applyFill="1" applyBorder="1" applyAlignment="1">
      <alignment horizontal="right" vertical="center"/>
    </xf>
    <xf numFmtId="182" fontId="11" fillId="0" borderId="3" xfId="0" applyNumberFormat="1" applyFont="1" applyFill="1" applyBorder="1" applyAlignment="1">
      <alignment horizontal="right" vertical="center"/>
    </xf>
    <xf numFmtId="41" fontId="11" fillId="0" borderId="3" xfId="0" applyNumberFormat="1" applyFont="1" applyFill="1" applyBorder="1" applyAlignment="1">
      <alignment horizontal="right" vertical="center"/>
    </xf>
    <xf numFmtId="176" fontId="11" fillId="0" borderId="1" xfId="0" applyNumberFormat="1" applyFont="1" applyBorder="1" applyAlignment="1">
      <alignment horizontal="center" vertical="center"/>
    </xf>
    <xf numFmtId="176" fontId="11" fillId="5" borderId="5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center" vertical="center"/>
    </xf>
    <xf numFmtId="176" fontId="11" fillId="0" borderId="5" xfId="0" applyNumberFormat="1" applyFont="1" applyFill="1" applyBorder="1" applyAlignment="1">
      <alignment horizontal="center" vertical="center"/>
    </xf>
    <xf numFmtId="176" fontId="11" fillId="0" borderId="3" xfId="0" applyNumberFormat="1" applyFont="1" applyFill="1" applyBorder="1" applyAlignment="1">
      <alignment horizontal="center" vertical="center"/>
    </xf>
    <xf numFmtId="176" fontId="1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176" fontId="11" fillId="5" borderId="4" xfId="0" applyNumberFormat="1" applyFont="1" applyFill="1" applyBorder="1" applyAlignment="1">
      <alignment horizontal="center" vertical="center"/>
    </xf>
    <xf numFmtId="176" fontId="11" fillId="5" borderId="25" xfId="0" applyNumberFormat="1" applyFont="1" applyFill="1" applyBorder="1" applyAlignment="1">
      <alignment horizontal="center" vertical="center"/>
    </xf>
    <xf numFmtId="176" fontId="11" fillId="5" borderId="16" xfId="0" applyNumberFormat="1" applyFont="1" applyFill="1" applyBorder="1" applyAlignment="1">
      <alignment horizontal="center" vertical="center"/>
    </xf>
    <xf numFmtId="176" fontId="12" fillId="6" borderId="9" xfId="0" applyNumberFormat="1" applyFont="1" applyFill="1" applyBorder="1" applyAlignment="1">
      <alignment horizontal="center" vertical="center"/>
    </xf>
    <xf numFmtId="176" fontId="12" fillId="6" borderId="8" xfId="0" applyNumberFormat="1" applyFont="1" applyFill="1" applyBorder="1" applyAlignment="1">
      <alignment horizontal="center" vertical="center"/>
    </xf>
    <xf numFmtId="176" fontId="12" fillId="6" borderId="11" xfId="0" applyNumberFormat="1" applyFont="1" applyFill="1" applyBorder="1" applyAlignment="1">
      <alignment horizontal="center" vertical="center"/>
    </xf>
    <xf numFmtId="176" fontId="12" fillId="4" borderId="5" xfId="0" applyNumberFormat="1" applyFont="1" applyFill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9" fontId="12" fillId="5" borderId="6" xfId="0" applyNumberFormat="1" applyFont="1" applyFill="1" applyBorder="1" applyAlignment="1">
      <alignment horizontal="right"/>
    </xf>
    <xf numFmtId="9" fontId="12" fillId="5" borderId="6" xfId="0" quotePrefix="1" applyNumberFormat="1" applyFont="1" applyFill="1" applyBorder="1" applyAlignment="1">
      <alignment horizontal="right"/>
    </xf>
    <xf numFmtId="9" fontId="12" fillId="5" borderId="26" xfId="0" quotePrefix="1" applyNumberFormat="1" applyFont="1" applyFill="1" applyBorder="1" applyAlignment="1">
      <alignment horizontal="right"/>
    </xf>
    <xf numFmtId="176" fontId="12" fillId="6" borderId="20" xfId="0" applyNumberFormat="1" applyFont="1" applyFill="1" applyBorder="1" applyAlignment="1">
      <alignment horizontal="center" vertical="center"/>
    </xf>
    <xf numFmtId="176" fontId="11" fillId="2" borderId="4" xfId="0" applyNumberFormat="1" applyFont="1" applyFill="1" applyBorder="1" applyAlignment="1">
      <alignment horizontal="center" vertical="center"/>
    </xf>
    <xf numFmtId="176" fontId="11" fillId="2" borderId="25" xfId="0" applyNumberFormat="1" applyFont="1" applyFill="1" applyBorder="1" applyAlignment="1">
      <alignment horizontal="center" vertical="center"/>
    </xf>
    <xf numFmtId="176" fontId="11" fillId="2" borderId="16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176" fontId="12" fillId="6" borderId="27" xfId="0" applyNumberFormat="1" applyFont="1" applyFill="1" applyBorder="1" applyAlignment="1">
      <alignment horizontal="center" vertical="center"/>
    </xf>
    <xf numFmtId="176" fontId="12" fillId="6" borderId="15" xfId="0" applyNumberFormat="1" applyFont="1" applyFill="1" applyBorder="1" applyAlignment="1">
      <alignment horizontal="center" vertical="center"/>
    </xf>
    <xf numFmtId="176" fontId="12" fillId="6" borderId="21" xfId="0" applyNumberFormat="1" applyFont="1" applyFill="1" applyBorder="1" applyAlignment="1">
      <alignment horizontal="center" vertical="center"/>
    </xf>
    <xf numFmtId="176" fontId="12" fillId="6" borderId="28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76" fontId="10" fillId="0" borderId="0" xfId="0" applyNumberFormat="1" applyFont="1" applyAlignment="1">
      <alignment horizontal="center" wrapText="1"/>
    </xf>
    <xf numFmtId="176" fontId="10" fillId="0" borderId="0" xfId="0" applyNumberFormat="1" applyFont="1" applyAlignment="1">
      <alignment horizontal="center"/>
    </xf>
    <xf numFmtId="176" fontId="10" fillId="0" borderId="0" xfId="0" applyNumberFormat="1" applyFont="1" applyAlignment="1">
      <alignment horizontal="center" vertical="top" wrapText="1"/>
    </xf>
    <xf numFmtId="176" fontId="12" fillId="6" borderId="37" xfId="0" applyNumberFormat="1" applyFont="1" applyFill="1" applyBorder="1" applyAlignment="1">
      <alignment horizontal="center" vertical="center"/>
    </xf>
    <xf numFmtId="0" fontId="17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/>
    </xf>
    <xf numFmtId="176" fontId="11" fillId="2" borderId="1" xfId="0" applyNumberFormat="1" applyFont="1" applyFill="1" applyBorder="1" applyAlignment="1">
      <alignment horizontal="center" vertical="center"/>
    </xf>
    <xf numFmtId="176" fontId="12" fillId="6" borderId="33" xfId="0" applyNumberFormat="1" applyFont="1" applyFill="1" applyBorder="1" applyAlignment="1">
      <alignment horizontal="center" vertical="center"/>
    </xf>
    <xf numFmtId="176" fontId="12" fillId="6" borderId="34" xfId="0" applyNumberFormat="1" applyFont="1" applyFill="1" applyBorder="1" applyAlignment="1">
      <alignment horizontal="center" vertical="center"/>
    </xf>
    <xf numFmtId="176" fontId="12" fillId="6" borderId="24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0" fontId="14" fillId="0" borderId="0" xfId="0" applyFont="1" applyAlignment="1">
      <alignment horizontal="left" vertical="center"/>
    </xf>
    <xf numFmtId="180" fontId="0" fillId="0" borderId="18" xfId="0" applyNumberFormat="1" applyBorder="1" applyAlignment="1">
      <alignment horizontal="center"/>
    </xf>
    <xf numFmtId="180" fontId="0" fillId="0" borderId="35" xfId="0" applyNumberFormat="1" applyBorder="1" applyAlignment="1">
      <alignment horizontal="center"/>
    </xf>
    <xf numFmtId="0" fontId="23" fillId="0" borderId="38" xfId="17" applyFont="1" applyBorder="1" applyAlignment="1">
      <alignment horizontal="center" vertical="center"/>
    </xf>
    <xf numFmtId="0" fontId="23" fillId="0" borderId="39" xfId="17" applyFont="1" applyBorder="1" applyAlignment="1">
      <alignment horizontal="center" vertical="center"/>
    </xf>
    <xf numFmtId="0" fontId="23" fillId="0" borderId="40" xfId="17" applyFont="1" applyBorder="1" applyAlignment="1">
      <alignment horizontal="center" vertical="center"/>
    </xf>
    <xf numFmtId="0" fontId="23" fillId="0" borderId="30" xfId="17" applyFont="1" applyBorder="1" applyAlignment="1">
      <alignment horizontal="center" vertical="center"/>
    </xf>
    <xf numFmtId="0" fontId="23" fillId="0" borderId="31" xfId="17" applyFont="1" applyBorder="1" applyAlignment="1">
      <alignment horizontal="center" vertical="center"/>
    </xf>
    <xf numFmtId="0" fontId="23" fillId="0" borderId="32" xfId="17" applyFont="1" applyBorder="1" applyAlignment="1">
      <alignment horizontal="center" vertical="center"/>
    </xf>
    <xf numFmtId="176" fontId="12" fillId="6" borderId="20" xfId="17" applyNumberFormat="1" applyFont="1" applyFill="1" applyBorder="1" applyAlignment="1">
      <alignment horizontal="center" vertical="center"/>
    </xf>
    <xf numFmtId="176" fontId="12" fillId="6" borderId="41" xfId="17" applyNumberFormat="1" applyFont="1" applyFill="1" applyBorder="1" applyAlignment="1">
      <alignment horizontal="center" vertical="center"/>
    </xf>
    <xf numFmtId="0" fontId="22" fillId="4" borderId="36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0" fontId="23" fillId="0" borderId="36" xfId="17" applyFont="1" applyBorder="1" applyAlignment="1">
      <alignment horizontal="center" vertical="center"/>
    </xf>
    <xf numFmtId="0" fontId="23" fillId="0" borderId="1" xfId="17" applyFont="1" applyBorder="1" applyAlignment="1">
      <alignment horizontal="center" vertical="center"/>
    </xf>
    <xf numFmtId="176" fontId="12" fillId="6" borderId="19" xfId="17" applyNumberFormat="1" applyFont="1" applyFill="1" applyBorder="1" applyAlignment="1">
      <alignment horizontal="center" vertical="center"/>
    </xf>
    <xf numFmtId="0" fontId="24" fillId="6" borderId="20" xfId="17" applyFill="1" applyBorder="1">
      <alignment vertical="center"/>
    </xf>
    <xf numFmtId="0" fontId="24" fillId="6" borderId="36" xfId="17" applyFill="1" applyBorder="1">
      <alignment vertical="center"/>
    </xf>
    <xf numFmtId="0" fontId="24" fillId="6" borderId="1" xfId="17" applyFill="1" applyBorder="1">
      <alignment vertical="center"/>
    </xf>
    <xf numFmtId="0" fontId="25" fillId="6" borderId="20" xfId="17" applyFont="1" applyFill="1" applyBorder="1" applyAlignment="1">
      <alignment horizontal="center" vertical="center"/>
    </xf>
    <xf numFmtId="0" fontId="25" fillId="6" borderId="1" xfId="17" applyFont="1" applyFill="1" applyBorder="1" applyAlignment="1">
      <alignment horizontal="center" vertical="center"/>
    </xf>
    <xf numFmtId="176" fontId="12" fillId="6" borderId="27" xfId="17" applyNumberFormat="1" applyFont="1" applyFill="1" applyBorder="1" applyAlignment="1">
      <alignment horizontal="center" vertical="center"/>
    </xf>
    <xf numFmtId="176" fontId="12" fillId="6" borderId="37" xfId="17" applyNumberFormat="1" applyFont="1" applyFill="1" applyBorder="1" applyAlignment="1">
      <alignment horizontal="center" vertical="center"/>
    </xf>
    <xf numFmtId="0" fontId="23" fillId="0" borderId="22" xfId="17" applyFont="1" applyBorder="1" applyAlignment="1">
      <alignment horizontal="center" vertical="center"/>
    </xf>
    <xf numFmtId="0" fontId="23" fillId="0" borderId="12" xfId="17" applyFont="1" applyBorder="1" applyAlignment="1">
      <alignment horizontal="center" vertical="center"/>
    </xf>
    <xf numFmtId="0" fontId="23" fillId="0" borderId="36" xfId="17" applyFont="1" applyFill="1" applyBorder="1" applyAlignment="1">
      <alignment horizontal="center" vertical="center"/>
    </xf>
    <xf numFmtId="0" fontId="23" fillId="0" borderId="1" xfId="17" applyFont="1" applyFill="1" applyBorder="1" applyAlignment="1">
      <alignment horizontal="center" vertical="center"/>
    </xf>
    <xf numFmtId="0" fontId="23" fillId="0" borderId="9" xfId="17" applyFont="1" applyFill="1" applyBorder="1" applyAlignment="1">
      <alignment horizontal="center" vertical="center"/>
    </xf>
    <xf numFmtId="0" fontId="23" fillId="0" borderId="4" xfId="17" applyFont="1" applyFill="1" applyBorder="1" applyAlignment="1">
      <alignment horizontal="center" vertical="center"/>
    </xf>
    <xf numFmtId="0" fontId="23" fillId="0" borderId="9" xfId="17" applyFont="1" applyBorder="1" applyAlignment="1">
      <alignment horizontal="center" vertical="center"/>
    </xf>
    <xf numFmtId="0" fontId="23" fillId="0" borderId="4" xfId="17" applyFont="1" applyBorder="1" applyAlignment="1">
      <alignment horizontal="center" vertical="center"/>
    </xf>
    <xf numFmtId="0" fontId="23" fillId="0" borderId="38" xfId="17" applyFont="1" applyFill="1" applyBorder="1" applyAlignment="1">
      <alignment horizontal="center" vertical="center"/>
    </xf>
    <xf numFmtId="0" fontId="23" fillId="0" borderId="39" xfId="17" applyFont="1" applyFill="1" applyBorder="1" applyAlignment="1">
      <alignment horizontal="center" vertical="center"/>
    </xf>
    <xf numFmtId="0" fontId="23" fillId="0" borderId="40" xfId="17" applyFont="1" applyFill="1" applyBorder="1" applyAlignment="1">
      <alignment horizontal="center" vertical="center"/>
    </xf>
    <xf numFmtId="0" fontId="23" fillId="0" borderId="30" xfId="17" applyFont="1" applyFill="1" applyBorder="1" applyAlignment="1">
      <alignment horizontal="center" vertical="center"/>
    </xf>
    <xf numFmtId="0" fontId="23" fillId="0" borderId="31" xfId="17" applyFont="1" applyFill="1" applyBorder="1" applyAlignment="1">
      <alignment horizontal="center" vertical="center"/>
    </xf>
    <xf numFmtId="0" fontId="23" fillId="0" borderId="32" xfId="17" applyFont="1" applyFill="1" applyBorder="1" applyAlignment="1">
      <alignment horizontal="center" vertical="center"/>
    </xf>
  </cellXfs>
  <cellStyles count="21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쉼표 [0]" xfId="15" builtinId="6"/>
    <cellStyle name="쉼표 [0] 2" xfId="20"/>
    <cellStyle name="표준" xfId="0" builtinId="0"/>
    <cellStyle name="표준 2" xfId="19"/>
    <cellStyle name="표준 3" xfId="18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10월 누계</c:v>
          </c:tx>
          <c:spPr>
            <a:ln>
              <a:solidFill>
                <a:schemeClr val="accent1"/>
              </a:solidFill>
            </a:ln>
          </c:spPr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통계요약!$G$10</c:f>
              <c:numCache>
                <c:formatCode>#,###,</c:formatCode>
                <c:ptCount val="1"/>
                <c:pt idx="0">
                  <c:v>87972244</c:v>
                </c:pt>
              </c:numCache>
            </c:numRef>
          </c:val>
        </c:ser>
        <c:ser>
          <c:idx val="1"/>
          <c:order val="1"/>
          <c:tx>
            <c:v>'21년 10월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통계요약!$I$10</c:f>
              <c:numCache>
                <c:formatCode>#,###,</c:formatCode>
                <c:ptCount val="1"/>
                <c:pt idx="0">
                  <c:v>96223328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86002048"/>
        <c:axId val="186052992"/>
        <c:axId val="0"/>
      </c:bar3DChart>
      <c:catAx>
        <c:axId val="186002048"/>
        <c:scaling>
          <c:orientation val="minMax"/>
        </c:scaling>
        <c:delete val="1"/>
        <c:axPos val="b"/>
        <c:majorTickMark val="out"/>
        <c:minorTickMark val="none"/>
        <c:tickLblPos val="none"/>
        <c:crossAx val="186052992"/>
        <c:crosses val="autoZero"/>
        <c:auto val="1"/>
        <c:lblAlgn val="ctr"/>
        <c:lblOffset val="100"/>
        <c:noMultiLvlLbl val="0"/>
      </c:catAx>
      <c:valAx>
        <c:axId val="186052992"/>
        <c:scaling>
          <c:orientation val="minMax"/>
          <c:max val="50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86002048"/>
        <c:crosses val="autoZero"/>
        <c:crossBetween val="between"/>
        <c:majorUnit val="10000000"/>
        <c:minorUnit val="1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2892920642984141"/>
          <c:y val="9.0225651323785877E-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10월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641370</c:v>
                </c:pt>
              </c:numCache>
            </c:numRef>
          </c:val>
        </c:ser>
        <c:ser>
          <c:idx val="1"/>
          <c:order val="1"/>
          <c:tx>
            <c:v>'21년 10월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767155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97229568"/>
        <c:axId val="197239552"/>
        <c:axId val="0"/>
      </c:bar3DChart>
      <c:catAx>
        <c:axId val="197229568"/>
        <c:scaling>
          <c:orientation val="minMax"/>
        </c:scaling>
        <c:delete val="1"/>
        <c:axPos val="b"/>
        <c:majorTickMark val="out"/>
        <c:minorTickMark val="none"/>
        <c:tickLblPos val="none"/>
        <c:crossAx val="197239552"/>
        <c:crosses val="autoZero"/>
        <c:auto val="1"/>
        <c:lblAlgn val="ctr"/>
        <c:lblOffset val="100"/>
        <c:noMultiLvlLbl val="0"/>
      </c:catAx>
      <c:valAx>
        <c:axId val="197239552"/>
        <c:scaling>
          <c:orientation val="minMax"/>
          <c:max val="400000"/>
          <c:min val="1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229568"/>
        <c:crosses val="autoZero"/>
        <c:crossBetween val="between"/>
        <c:majorUnit val="60000"/>
        <c:minorUnit val="6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수송실적'!$I$3:$N$3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0_);[Red]\(0.00\)">
                  <c:v>21.1</c:v>
                </c:pt>
              </c:numCache>
            </c:numRef>
          </c:cat>
          <c:val>
            <c:numRef>
              <c:f>'연도별 수송실적'!$I$4:$N$4</c:f>
              <c:numCache>
                <c:formatCode>#,##0_);[Red]\(#,##0\)</c:formatCode>
                <c:ptCount val="6"/>
                <c:pt idx="0">
                  <c:v>102121</c:v>
                </c:pt>
                <c:pt idx="1">
                  <c:v>112948</c:v>
                </c:pt>
                <c:pt idx="2">
                  <c:v>112491</c:v>
                </c:pt>
                <c:pt idx="3">
                  <c:v>115147</c:v>
                </c:pt>
                <c:pt idx="4">
                  <c:v>112966</c:v>
                </c:pt>
                <c:pt idx="5" formatCode="_ * #,##0_ ;_ * \-#,##0_ ;_ * &quot;-&quot;_ ;_ @_ ">
                  <c:v>96223.327999999994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325952"/>
        <c:axId val="197327872"/>
      </c:lineChart>
      <c:catAx>
        <c:axId val="197325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3278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732787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32595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수송실적'!$B$6:$G$6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0_);[Red]\(0.00\)">
                  <c:v>21.1</c:v>
                </c:pt>
              </c:numCache>
            </c:numRef>
          </c:cat>
          <c:val>
            <c:numRef>
              <c:f>'연도별 수송실적'!$B$7:$G$7</c:f>
              <c:numCache>
                <c:formatCode>#,##0_);[Red]\(#,##0\)</c:formatCode>
                <c:ptCount val="6"/>
                <c:pt idx="0">
                  <c:v>565661</c:v>
                </c:pt>
                <c:pt idx="1">
                  <c:v>623339</c:v>
                </c:pt>
                <c:pt idx="2">
                  <c:v>643233</c:v>
                </c:pt>
                <c:pt idx="3">
                  <c:v>689852</c:v>
                </c:pt>
                <c:pt idx="4">
                  <c:v>723427</c:v>
                </c:pt>
                <c:pt idx="5">
                  <c:v>767155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072320"/>
        <c:axId val="128078592"/>
      </c:lineChart>
      <c:catAx>
        <c:axId val="128072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280785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807859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2807232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수송실적'!$I$6:$N$6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0_);[Red]\(0.00\)">
                  <c:v>21.1</c:v>
                </c:pt>
              </c:numCache>
            </c:numRef>
          </c:cat>
          <c:val>
            <c:numRef>
              <c:f>'연도별 수송실적'!$I$7:$N$7</c:f>
              <c:numCache>
                <c:formatCode>#,##0_);[Red]\(#,##0\)</c:formatCode>
                <c:ptCount val="6"/>
                <c:pt idx="0">
                  <c:v>494740</c:v>
                </c:pt>
                <c:pt idx="1">
                  <c:v>435104</c:v>
                </c:pt>
                <c:pt idx="2">
                  <c:v>482428</c:v>
                </c:pt>
                <c:pt idx="3">
                  <c:v>452480</c:v>
                </c:pt>
                <c:pt idx="4">
                  <c:v>623733</c:v>
                </c:pt>
                <c:pt idx="5" formatCode="_ * #,##0_ ;_ * \-#,##0_ ;_ * &quot;-&quot;_ ;_ @_ ">
                  <c:v>40267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092032"/>
        <c:axId val="128098304"/>
      </c:lineChart>
      <c:catAx>
        <c:axId val="128092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280983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809830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2809203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0_);\(0.00\)">
                  <c:v>21.1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13705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566720"/>
        <c:axId val="161568640"/>
      </c:lineChart>
      <c:catAx>
        <c:axId val="161566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615686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156864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6156672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0_);\(0.00\)">
                  <c:v>21.1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13705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086784"/>
        <c:axId val="197285760"/>
      </c:lineChart>
      <c:catAx>
        <c:axId val="128086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2857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728576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2808678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5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abSelected="1" topLeftCell="A3" zoomScale="115" zoomScaleNormal="115" workbookViewId="0">
      <pane xSplit="4" ySplit="5" topLeftCell="E8" activePane="bottomRight" state="frozen"/>
      <selection activeCell="A3" sqref="A3"/>
      <selection pane="topRight" activeCell="E3" sqref="E3"/>
      <selection pane="bottomLeft" activeCell="A8" sqref="A8"/>
      <selection pane="bottomRight" activeCell="B3" sqref="B3:M3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10" bestFit="1" customWidth="1"/>
    <col min="11" max="11" width="7.75" style="9" customWidth="1"/>
    <col min="12" max="12" width="13.75" style="11" bestFit="1" customWidth="1"/>
    <col min="13" max="13" width="7.75" style="12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3" ht="36" customHeight="1">
      <c r="B1" s="8" t="s">
        <v>26</v>
      </c>
      <c r="L1" s="197"/>
      <c r="M1" s="197"/>
    </row>
    <row r="2" spans="2:13" ht="33" customHeight="1">
      <c r="B2" s="207" t="s">
        <v>49</v>
      </c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</row>
    <row r="3" spans="2:13" ht="27.75" customHeight="1">
      <c r="B3" s="209" t="s">
        <v>76</v>
      </c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</row>
    <row r="4" spans="2:13" ht="21.2" customHeight="1" thickBot="1">
      <c r="B4" s="180" t="s">
        <v>72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</row>
    <row r="5" spans="2:13" ht="21.2" customHeight="1">
      <c r="B5" s="201" t="s">
        <v>7</v>
      </c>
      <c r="C5" s="202"/>
      <c r="D5" s="203"/>
      <c r="E5" s="39"/>
      <c r="F5" s="199" t="s">
        <v>73</v>
      </c>
      <c r="G5" s="210"/>
      <c r="H5" s="193" t="s">
        <v>74</v>
      </c>
      <c r="I5" s="193"/>
      <c r="J5" s="198" t="s">
        <v>15</v>
      </c>
      <c r="K5" s="199"/>
      <c r="L5" s="199"/>
      <c r="M5" s="200"/>
    </row>
    <row r="6" spans="2:13" ht="20.25" customHeight="1">
      <c r="B6" s="204"/>
      <c r="C6" s="205"/>
      <c r="D6" s="206"/>
      <c r="E6" s="40" t="s">
        <v>11</v>
      </c>
      <c r="F6" s="151" t="s">
        <v>77</v>
      </c>
      <c r="G6" s="41" t="s">
        <v>78</v>
      </c>
      <c r="H6" s="151" t="s">
        <v>79</v>
      </c>
      <c r="I6" s="152" t="s">
        <v>80</v>
      </c>
      <c r="J6" s="41" t="s">
        <v>57</v>
      </c>
      <c r="K6" s="42" t="s">
        <v>16</v>
      </c>
      <c r="L6" s="43" t="s">
        <v>18</v>
      </c>
      <c r="M6" s="44" t="s">
        <v>16</v>
      </c>
    </row>
    <row r="7" spans="2:13" ht="21.2" customHeight="1">
      <c r="B7" s="185" t="s">
        <v>21</v>
      </c>
      <c r="C7" s="188" t="s">
        <v>12</v>
      </c>
      <c r="D7" s="189"/>
      <c r="E7" s="13">
        <f>SUM(E8:E9)</f>
        <v>17326</v>
      </c>
      <c r="F7" s="13">
        <f>SUM(F8:F9)</f>
        <v>1526</v>
      </c>
      <c r="G7" s="13">
        <f>SUM(G8:G9)</f>
        <v>14489</v>
      </c>
      <c r="H7" s="13">
        <f>SUM(H8:H9)</f>
        <v>1355</v>
      </c>
      <c r="I7" s="13">
        <f>SUM(I8:I9)</f>
        <v>13705</v>
      </c>
      <c r="J7" s="13">
        <f>H7-F7</f>
        <v>-171</v>
      </c>
      <c r="K7" s="16">
        <f>H7/F7</f>
        <v>0.88794233289646129</v>
      </c>
      <c r="L7" s="14">
        <f>I7-G7</f>
        <v>-784</v>
      </c>
      <c r="M7" s="24">
        <f>I7/G7</f>
        <v>0.94588998550624614</v>
      </c>
    </row>
    <row r="8" spans="2:13" ht="19.5" customHeight="1">
      <c r="B8" s="186"/>
      <c r="C8" s="176" t="s">
        <v>9</v>
      </c>
      <c r="D8" s="177"/>
      <c r="E8" s="20">
        <v>10177</v>
      </c>
      <c r="F8" s="20">
        <v>846</v>
      </c>
      <c r="G8" s="21">
        <v>8493</v>
      </c>
      <c r="H8" s="20">
        <v>840</v>
      </c>
      <c r="I8" s="20">
        <v>8364</v>
      </c>
      <c r="J8" s="4">
        <f t="shared" ref="J8:J28" si="0">H8-F8</f>
        <v>-6</v>
      </c>
      <c r="K8" s="18">
        <f t="shared" ref="K8:K28" si="1">H8/F8</f>
        <v>0.99290780141843971</v>
      </c>
      <c r="L8" s="19">
        <f t="shared" ref="L8:L28" si="2">I8-G8</f>
        <v>-129</v>
      </c>
      <c r="M8" s="26">
        <f t="shared" ref="M8:M28" si="3">I8/G8</f>
        <v>0.98481102084069239</v>
      </c>
    </row>
    <row r="9" spans="2:13" ht="19.5" customHeight="1">
      <c r="B9" s="187"/>
      <c r="C9" s="178" t="s">
        <v>10</v>
      </c>
      <c r="D9" s="179"/>
      <c r="E9" s="21">
        <v>7149</v>
      </c>
      <c r="F9" s="21">
        <v>680</v>
      </c>
      <c r="G9" s="21">
        <v>5996</v>
      </c>
      <c r="H9" s="21">
        <v>515</v>
      </c>
      <c r="I9" s="21">
        <v>5341</v>
      </c>
      <c r="J9" s="21">
        <f t="shared" si="0"/>
        <v>-165</v>
      </c>
      <c r="K9" s="22">
        <f t="shared" si="1"/>
        <v>0.75735294117647056</v>
      </c>
      <c r="L9" s="23">
        <f t="shared" si="2"/>
        <v>-655</v>
      </c>
      <c r="M9" s="27">
        <f t="shared" si="3"/>
        <v>0.8907605070046698</v>
      </c>
    </row>
    <row r="10" spans="2:13" ht="21.2" customHeight="1">
      <c r="B10" s="185" t="s">
        <v>22</v>
      </c>
      <c r="C10" s="188" t="s">
        <v>8</v>
      </c>
      <c r="D10" s="189"/>
      <c r="E10" s="45">
        <f>E11+E15</f>
        <v>106845294</v>
      </c>
      <c r="F10" s="45">
        <f>F11+F15</f>
        <v>10106202</v>
      </c>
      <c r="G10" s="45">
        <f>G11+G15</f>
        <v>87972244</v>
      </c>
      <c r="H10" s="45">
        <f>H11+H15</f>
        <v>9956154</v>
      </c>
      <c r="I10" s="45">
        <f>I11+I15</f>
        <v>96223328</v>
      </c>
      <c r="J10" s="45">
        <f t="shared" si="0"/>
        <v>-150048</v>
      </c>
      <c r="K10" s="16">
        <f t="shared" si="1"/>
        <v>0.98515287939029916</v>
      </c>
      <c r="L10" s="49">
        <f>I10-G10</f>
        <v>8251084</v>
      </c>
      <c r="M10" s="24">
        <f t="shared" si="3"/>
        <v>1.0937919010000472</v>
      </c>
    </row>
    <row r="11" spans="2:13" ht="19.5" customHeight="1">
      <c r="B11" s="186"/>
      <c r="C11" s="182" t="s">
        <v>1</v>
      </c>
      <c r="D11" s="97" t="s">
        <v>0</v>
      </c>
      <c r="E11" s="91">
        <f>SUM(E12:E14)</f>
        <v>95663945</v>
      </c>
      <c r="F11" s="91">
        <f>SUM(F12:F14)</f>
        <v>9049095</v>
      </c>
      <c r="G11" s="91">
        <f>SUM(G12:G14)</f>
        <v>78680692</v>
      </c>
      <c r="H11" s="91">
        <f>SUM(H12:H14)</f>
        <v>8923859</v>
      </c>
      <c r="I11" s="91">
        <f>SUM(I12:I14)</f>
        <v>86338884</v>
      </c>
      <c r="J11" s="92">
        <f t="shared" si="0"/>
        <v>-125236</v>
      </c>
      <c r="K11" s="93">
        <f t="shared" si="1"/>
        <v>0.98616038399420047</v>
      </c>
      <c r="L11" s="94">
        <f t="shared" si="2"/>
        <v>7658192</v>
      </c>
      <c r="M11" s="95">
        <f t="shared" si="3"/>
        <v>1.0973325450670921</v>
      </c>
    </row>
    <row r="12" spans="2:13" ht="19.5" customHeight="1">
      <c r="B12" s="186"/>
      <c r="C12" s="183"/>
      <c r="D12" s="5" t="s">
        <v>5</v>
      </c>
      <c r="E12" s="46">
        <v>76439827</v>
      </c>
      <c r="F12" s="46">
        <v>7223964</v>
      </c>
      <c r="G12" s="46">
        <v>62887320</v>
      </c>
      <c r="H12" s="46">
        <v>7180040</v>
      </c>
      <c r="I12" s="46">
        <v>69164925</v>
      </c>
      <c r="J12" s="172">
        <f t="shared" si="0"/>
        <v>-43924</v>
      </c>
      <c r="K12" s="18">
        <f t="shared" si="1"/>
        <v>0.99391968177028567</v>
      </c>
      <c r="L12" s="48">
        <f t="shared" si="2"/>
        <v>6277605</v>
      </c>
      <c r="M12" s="26">
        <f t="shared" si="3"/>
        <v>1.0998230644905842</v>
      </c>
    </row>
    <row r="13" spans="2:13" ht="19.5" customHeight="1">
      <c r="B13" s="186"/>
      <c r="C13" s="183"/>
      <c r="D13" s="5" t="s">
        <v>6</v>
      </c>
      <c r="E13" s="46">
        <v>13946411</v>
      </c>
      <c r="F13" s="46">
        <v>1292876</v>
      </c>
      <c r="G13" s="46">
        <v>11506141</v>
      </c>
      <c r="H13" s="46">
        <v>1308156</v>
      </c>
      <c r="I13" s="46">
        <v>12947198</v>
      </c>
      <c r="J13" s="172">
        <f t="shared" si="0"/>
        <v>15280</v>
      </c>
      <c r="K13" s="18">
        <f t="shared" si="1"/>
        <v>1.0118186121484194</v>
      </c>
      <c r="L13" s="48">
        <f t="shared" si="2"/>
        <v>1441057</v>
      </c>
      <c r="M13" s="26">
        <f t="shared" si="3"/>
        <v>1.1252424248929334</v>
      </c>
    </row>
    <row r="14" spans="2:13" ht="19.5" customHeight="1">
      <c r="B14" s="186"/>
      <c r="C14" s="184"/>
      <c r="D14" s="5" t="s">
        <v>13</v>
      </c>
      <c r="E14" s="46">
        <v>5277707</v>
      </c>
      <c r="F14" s="46">
        <v>532255</v>
      </c>
      <c r="G14" s="46">
        <v>4287231</v>
      </c>
      <c r="H14" s="46">
        <v>435663</v>
      </c>
      <c r="I14" s="46">
        <v>4226761</v>
      </c>
      <c r="J14" s="172">
        <f t="shared" si="0"/>
        <v>-96592</v>
      </c>
      <c r="K14" s="18">
        <f>H14/F14</f>
        <v>0.818523076344985</v>
      </c>
      <c r="L14" s="48">
        <f t="shared" si="2"/>
        <v>-60470</v>
      </c>
      <c r="M14" s="26">
        <f t="shared" si="3"/>
        <v>0.98589532497782373</v>
      </c>
    </row>
    <row r="15" spans="2:13" ht="19.5" customHeight="1">
      <c r="B15" s="186"/>
      <c r="C15" s="194" t="s">
        <v>2</v>
      </c>
      <c r="D15" s="96" t="s">
        <v>0</v>
      </c>
      <c r="E15" s="86">
        <f>SUM(E16:E18)</f>
        <v>11181349</v>
      </c>
      <c r="F15" s="86">
        <f>SUM(F16:F18)</f>
        <v>1057107</v>
      </c>
      <c r="G15" s="86">
        <f>SUM(G16:G18)</f>
        <v>9291552</v>
      </c>
      <c r="H15" s="86">
        <f>SUM(H16:H18)</f>
        <v>1032295</v>
      </c>
      <c r="I15" s="86">
        <f>SUM(I16:I18)</f>
        <v>9884444</v>
      </c>
      <c r="J15" s="87">
        <f t="shared" si="0"/>
        <v>-24812</v>
      </c>
      <c r="K15" s="88">
        <f t="shared" si="1"/>
        <v>0.97652839305765637</v>
      </c>
      <c r="L15" s="89">
        <f t="shared" si="2"/>
        <v>592892</v>
      </c>
      <c r="M15" s="90">
        <f t="shared" si="3"/>
        <v>1.0638097919486433</v>
      </c>
    </row>
    <row r="16" spans="2:13" ht="19.5" customHeight="1">
      <c r="B16" s="186"/>
      <c r="C16" s="195"/>
      <c r="D16" s="5" t="s">
        <v>3</v>
      </c>
      <c r="E16" s="46">
        <v>8023567</v>
      </c>
      <c r="F16" s="46">
        <v>761553</v>
      </c>
      <c r="G16" s="46">
        <v>6605771</v>
      </c>
      <c r="H16" s="46">
        <v>753234</v>
      </c>
      <c r="I16" s="46">
        <v>7096853</v>
      </c>
      <c r="J16" s="173">
        <f t="shared" si="0"/>
        <v>-8319</v>
      </c>
      <c r="K16" s="18">
        <f t="shared" si="1"/>
        <v>0.98907626915001323</v>
      </c>
      <c r="L16" s="48">
        <f t="shared" si="2"/>
        <v>491082</v>
      </c>
      <c r="M16" s="26">
        <f t="shared" si="3"/>
        <v>1.0743413600017317</v>
      </c>
    </row>
    <row r="17" spans="1:13" ht="19.5" customHeight="1">
      <c r="B17" s="186"/>
      <c r="C17" s="195"/>
      <c r="D17" s="6" t="s">
        <v>4</v>
      </c>
      <c r="E17" s="47">
        <v>3148861</v>
      </c>
      <c r="F17" s="47">
        <v>295554</v>
      </c>
      <c r="G17" s="47">
        <v>2676860</v>
      </c>
      <c r="H17" s="47">
        <v>279061</v>
      </c>
      <c r="I17" s="47">
        <v>2787591</v>
      </c>
      <c r="J17" s="174">
        <v>0</v>
      </c>
      <c r="K17" s="18">
        <f t="shared" si="1"/>
        <v>0.94419632283778943</v>
      </c>
      <c r="L17" s="48">
        <f t="shared" si="2"/>
        <v>110731</v>
      </c>
      <c r="M17" s="26">
        <f t="shared" si="3"/>
        <v>1.0413660034518055</v>
      </c>
    </row>
    <row r="18" spans="1:13" ht="19.5" customHeight="1">
      <c r="B18" s="187"/>
      <c r="C18" s="196"/>
      <c r="D18" s="6" t="s">
        <v>17</v>
      </c>
      <c r="E18" s="47">
        <v>8921</v>
      </c>
      <c r="F18" s="47"/>
      <c r="G18" s="47">
        <v>8921</v>
      </c>
      <c r="H18" s="141"/>
      <c r="I18" s="141"/>
      <c r="J18" s="87">
        <f t="shared" si="0"/>
        <v>0</v>
      </c>
      <c r="K18" s="18" t="e">
        <f t="shared" si="1"/>
        <v>#DIV/0!</v>
      </c>
      <c r="L18" s="48">
        <f t="shared" si="2"/>
        <v>-8921</v>
      </c>
      <c r="M18" s="26">
        <f t="shared" si="3"/>
        <v>0</v>
      </c>
    </row>
    <row r="19" spans="1:13" ht="20.100000000000001" customHeight="1">
      <c r="B19" s="29"/>
      <c r="C19" s="30"/>
      <c r="D19" s="7"/>
      <c r="E19" s="15"/>
      <c r="F19" s="1"/>
      <c r="G19" s="1"/>
      <c r="H19" s="1"/>
      <c r="I19" s="15"/>
      <c r="J19" s="17"/>
      <c r="K19" s="190" t="s">
        <v>23</v>
      </c>
      <c r="L19" s="191"/>
      <c r="M19" s="192"/>
    </row>
    <row r="20" spans="1:13" ht="21.2" customHeight="1">
      <c r="B20" s="28"/>
      <c r="C20" s="188" t="s">
        <v>8</v>
      </c>
      <c r="D20" s="189"/>
      <c r="E20" s="103">
        <f>SUM(E21,E25)</f>
        <v>792643</v>
      </c>
      <c r="F20" s="3">
        <f>SUM(F21,F25)</f>
        <v>68187</v>
      </c>
      <c r="G20" s="3">
        <f>SUM(G21,G25)</f>
        <v>641370</v>
      </c>
      <c r="H20" s="103">
        <f>SUM(H21,H25)</f>
        <v>70725</v>
      </c>
      <c r="I20" s="103">
        <f>SUM(I21,I25)</f>
        <v>767155</v>
      </c>
      <c r="J20" s="104">
        <f t="shared" si="0"/>
        <v>2538</v>
      </c>
      <c r="K20" s="105">
        <f t="shared" si="1"/>
        <v>1.0372211711909896</v>
      </c>
      <c r="L20" s="106">
        <f t="shared" si="2"/>
        <v>125785</v>
      </c>
      <c r="M20" s="24">
        <f>I20/G20</f>
        <v>1.1961192447417248</v>
      </c>
    </row>
    <row r="21" spans="1:13" ht="19.5" customHeight="1">
      <c r="B21" s="25"/>
      <c r="C21" s="175" t="s">
        <v>1</v>
      </c>
      <c r="D21" s="98" t="s">
        <v>0</v>
      </c>
      <c r="E21" s="99">
        <f>SUM(E22:E24)</f>
        <v>792643</v>
      </c>
      <c r="F21" s="99">
        <f>SUM(F22:F24)</f>
        <v>68187</v>
      </c>
      <c r="G21" s="99">
        <f>SUM(G22:G24)</f>
        <v>641370</v>
      </c>
      <c r="H21" s="99">
        <f>SUM(H22:H24)</f>
        <v>70725</v>
      </c>
      <c r="I21" s="99">
        <f>SUM(I22:I24)</f>
        <v>767155</v>
      </c>
      <c r="J21" s="100">
        <f t="shared" si="0"/>
        <v>2538</v>
      </c>
      <c r="K21" s="101">
        <f t="shared" si="1"/>
        <v>1.0372211711909896</v>
      </c>
      <c r="L21" s="102">
        <f t="shared" si="2"/>
        <v>125785</v>
      </c>
      <c r="M21" s="95">
        <f t="shared" si="3"/>
        <v>1.1961192447417248</v>
      </c>
    </row>
    <row r="22" spans="1:13" ht="19.5" customHeight="1">
      <c r="B22" s="143" t="s">
        <v>19</v>
      </c>
      <c r="C22" s="175"/>
      <c r="D22" s="52" t="s">
        <v>5</v>
      </c>
      <c r="E22" s="54">
        <v>391129</v>
      </c>
      <c r="F22" s="54">
        <v>33786</v>
      </c>
      <c r="G22" s="54">
        <v>315879</v>
      </c>
      <c r="H22" s="54">
        <v>34713</v>
      </c>
      <c r="I22" s="54">
        <v>382781</v>
      </c>
      <c r="J22" s="100">
        <f t="shared" si="0"/>
        <v>927</v>
      </c>
      <c r="K22" s="51">
        <f t="shared" si="1"/>
        <v>1.0274374001065529</v>
      </c>
      <c r="L22" s="23">
        <f t="shared" si="2"/>
        <v>66902</v>
      </c>
      <c r="M22" s="26">
        <f t="shared" si="3"/>
        <v>1.2117962890853777</v>
      </c>
    </row>
    <row r="23" spans="1:13" ht="19.5" customHeight="1">
      <c r="B23" s="143" t="s">
        <v>20</v>
      </c>
      <c r="C23" s="175"/>
      <c r="D23" s="2" t="s">
        <v>14</v>
      </c>
      <c r="E23" s="54">
        <v>389634</v>
      </c>
      <c r="F23" s="54">
        <v>33402</v>
      </c>
      <c r="G23" s="54">
        <v>315599</v>
      </c>
      <c r="H23" s="54">
        <v>35028</v>
      </c>
      <c r="I23" s="54">
        <v>374300</v>
      </c>
      <c r="J23" s="100">
        <f t="shared" si="0"/>
        <v>1626</v>
      </c>
      <c r="K23" s="51">
        <f t="shared" si="1"/>
        <v>1.0486797197772588</v>
      </c>
      <c r="L23" s="19">
        <f t="shared" si="2"/>
        <v>58701</v>
      </c>
      <c r="M23" s="26">
        <f t="shared" si="3"/>
        <v>1.1859986882087712</v>
      </c>
    </row>
    <row r="24" spans="1:13" ht="19.5" customHeight="1">
      <c r="B24" s="31"/>
      <c r="C24" s="175"/>
      <c r="D24" s="2" t="s">
        <v>13</v>
      </c>
      <c r="E24" s="54">
        <v>11880</v>
      </c>
      <c r="F24" s="54">
        <v>999</v>
      </c>
      <c r="G24" s="54">
        <v>9892</v>
      </c>
      <c r="H24" s="54">
        <v>984</v>
      </c>
      <c r="I24" s="54">
        <v>10074</v>
      </c>
      <c r="J24" s="100">
        <f t="shared" si="0"/>
        <v>-15</v>
      </c>
      <c r="K24" s="51">
        <f t="shared" si="1"/>
        <v>0.98498498498498499</v>
      </c>
      <c r="L24" s="19">
        <f t="shared" si="2"/>
        <v>182</v>
      </c>
      <c r="M24" s="26">
        <f t="shared" si="3"/>
        <v>1.0183987060250708</v>
      </c>
    </row>
    <row r="25" spans="1:13" ht="19.5" customHeight="1">
      <c r="B25" s="25"/>
      <c r="C25" s="213" t="s">
        <v>2</v>
      </c>
      <c r="D25" s="98" t="s">
        <v>70</v>
      </c>
      <c r="E25" s="99">
        <f>SUM(E26:E27)</f>
        <v>0</v>
      </c>
      <c r="F25" s="99">
        <f>SUM(F26:F27)</f>
        <v>0</v>
      </c>
      <c r="G25" s="99">
        <f>SUM(G26:G27)</f>
        <v>0</v>
      </c>
      <c r="H25" s="99">
        <v>0</v>
      </c>
      <c r="I25" s="99">
        <f>SUM(I26:I27)</f>
        <v>0</v>
      </c>
      <c r="J25" s="100">
        <f t="shared" si="0"/>
        <v>0</v>
      </c>
      <c r="K25" s="51" t="e">
        <f t="shared" si="1"/>
        <v>#DIV/0!</v>
      </c>
      <c r="L25" s="19">
        <f t="shared" si="2"/>
        <v>0</v>
      </c>
      <c r="M25" s="26" t="e">
        <f t="shared" si="3"/>
        <v>#DIV/0!</v>
      </c>
    </row>
    <row r="26" spans="1:13" ht="19.5" customHeight="1">
      <c r="B26" s="25"/>
      <c r="C26" s="213"/>
      <c r="D26" s="98" t="s">
        <v>70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100">
        <f t="shared" si="0"/>
        <v>0</v>
      </c>
      <c r="K26" s="51" t="e">
        <f t="shared" si="1"/>
        <v>#DIV/0!</v>
      </c>
      <c r="L26" s="19">
        <f t="shared" si="2"/>
        <v>0</v>
      </c>
      <c r="M26" s="26" t="e">
        <f t="shared" si="3"/>
        <v>#DIV/0!</v>
      </c>
    </row>
    <row r="27" spans="1:13" ht="19.5" customHeight="1">
      <c r="B27" s="32"/>
      <c r="C27" s="213"/>
      <c r="D27" s="98" t="s">
        <v>70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100">
        <f t="shared" si="0"/>
        <v>0</v>
      </c>
      <c r="K27" s="51" t="e">
        <f t="shared" si="1"/>
        <v>#DIV/0!</v>
      </c>
      <c r="L27" s="19">
        <f t="shared" si="2"/>
        <v>0</v>
      </c>
      <c r="M27" s="26" t="e">
        <f t="shared" si="3"/>
        <v>#DIV/0!</v>
      </c>
    </row>
    <row r="28" spans="1:13" s="126" customFormat="1" ht="21.2" customHeight="1" thickBot="1">
      <c r="B28" s="214" t="s">
        <v>68</v>
      </c>
      <c r="C28" s="215"/>
      <c r="D28" s="216"/>
      <c r="E28" s="127">
        <v>1260128</v>
      </c>
      <c r="F28" s="127">
        <v>126992</v>
      </c>
      <c r="G28" s="127">
        <v>1010036</v>
      </c>
      <c r="H28" s="127">
        <v>121959</v>
      </c>
      <c r="I28" s="127">
        <v>1193596</v>
      </c>
      <c r="J28" s="128">
        <f t="shared" si="0"/>
        <v>-5033</v>
      </c>
      <c r="K28" s="129">
        <f t="shared" si="1"/>
        <v>0.96036758220990304</v>
      </c>
      <c r="L28" s="130">
        <f t="shared" si="2"/>
        <v>183560</v>
      </c>
      <c r="M28" s="131">
        <f t="shared" si="3"/>
        <v>1.1817360965351731</v>
      </c>
    </row>
    <row r="29" spans="1:13" ht="12.75" customHeight="1">
      <c r="B29" s="33"/>
      <c r="C29" s="33"/>
      <c r="D29" s="33"/>
      <c r="E29" s="34"/>
      <c r="F29" s="35"/>
      <c r="G29" s="35"/>
      <c r="H29" s="35"/>
      <c r="I29" s="35"/>
      <c r="J29" s="34"/>
      <c r="K29" s="36"/>
      <c r="L29" s="37"/>
      <c r="M29" s="38"/>
    </row>
    <row r="30" spans="1:13" s="219" customFormat="1" ht="18.75" customHeight="1">
      <c r="A30" s="219" t="s">
        <v>27</v>
      </c>
    </row>
    <row r="31" spans="1:13" s="53" customFormat="1" ht="21.2" customHeight="1">
      <c r="B31" s="218" t="s">
        <v>24</v>
      </c>
      <c r="C31" s="218"/>
      <c r="D31" s="121"/>
      <c r="E31" s="121"/>
      <c r="F31" s="121"/>
      <c r="G31" s="121"/>
      <c r="H31" s="218" t="s">
        <v>25</v>
      </c>
      <c r="I31" s="218"/>
    </row>
    <row r="32" spans="1:13" s="50" customFormat="1" ht="24" customHeight="1">
      <c r="B32"/>
      <c r="C32"/>
      <c r="D32"/>
      <c r="E32"/>
      <c r="F32"/>
      <c r="G32"/>
      <c r="H32"/>
      <c r="I32"/>
      <c r="J32" s="10"/>
      <c r="K32" s="9"/>
      <c r="L32" s="11"/>
      <c r="M32" s="12"/>
    </row>
    <row r="33" spans="2:13" s="50" customFormat="1" ht="30.2" customHeight="1">
      <c r="B33"/>
      <c r="C33"/>
      <c r="D33"/>
      <c r="E33"/>
      <c r="F33"/>
      <c r="G33"/>
      <c r="H33"/>
      <c r="I33"/>
      <c r="J33" s="10"/>
      <c r="K33" s="9"/>
      <c r="L33" s="11"/>
      <c r="M33" s="12"/>
    </row>
    <row r="34" spans="2:13" s="50" customFormat="1" ht="37.15" customHeight="1">
      <c r="B34"/>
      <c r="C34"/>
      <c r="D34"/>
      <c r="E34"/>
      <c r="F34"/>
      <c r="G34"/>
      <c r="H34"/>
      <c r="I34"/>
      <c r="J34" s="10"/>
      <c r="K34" s="9"/>
      <c r="L34" s="11"/>
      <c r="M34" s="12"/>
    </row>
    <row r="35" spans="2:13" s="50" customFormat="1" ht="37.15" customHeight="1">
      <c r="B35"/>
      <c r="C35"/>
      <c r="D35"/>
      <c r="E35"/>
      <c r="F35"/>
      <c r="G35"/>
      <c r="H35"/>
      <c r="I35"/>
      <c r="J35" s="10"/>
      <c r="K35" s="9"/>
      <c r="L35" s="11"/>
      <c r="M35" s="12"/>
    </row>
    <row r="40" spans="2:13" s="217" customFormat="1" ht="24" customHeight="1"/>
    <row r="41" spans="2:13" ht="19.5" customHeight="1">
      <c r="B41" s="211"/>
      <c r="C41" s="212"/>
      <c r="D41" s="212"/>
      <c r="E41" s="212"/>
      <c r="F41" s="212"/>
      <c r="G41" s="212"/>
      <c r="H41" s="212"/>
      <c r="I41" s="212"/>
      <c r="J41" s="212"/>
      <c r="K41" s="212"/>
      <c r="L41" s="212"/>
      <c r="M41" s="212"/>
    </row>
    <row r="42" spans="2:13" ht="19.5" customHeight="1">
      <c r="B42" s="211"/>
      <c r="C42" s="212"/>
      <c r="D42" s="212"/>
      <c r="E42" s="212"/>
      <c r="F42" s="212"/>
      <c r="G42" s="212"/>
      <c r="H42" s="212"/>
      <c r="I42" s="212"/>
      <c r="J42" s="212"/>
      <c r="K42" s="212"/>
      <c r="L42" s="212"/>
      <c r="M42" s="212"/>
    </row>
  </sheetData>
  <mergeCells count="27">
    <mergeCell ref="B41:M41"/>
    <mergeCell ref="B42:M42"/>
    <mergeCell ref="C25:C27"/>
    <mergeCell ref="B28:D28"/>
    <mergeCell ref="A40:XFD40"/>
    <mergeCell ref="B31:C31"/>
    <mergeCell ref="H31:I31"/>
    <mergeCell ref="A30:XFD30"/>
    <mergeCell ref="L1:M1"/>
    <mergeCell ref="C10:D10"/>
    <mergeCell ref="C7:D7"/>
    <mergeCell ref="J5:M5"/>
    <mergeCell ref="B5:D6"/>
    <mergeCell ref="B2:M2"/>
    <mergeCell ref="B3:M3"/>
    <mergeCell ref="F5:G5"/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</mergeCells>
  <phoneticPr fontId="5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zoomScale="85" zoomScaleNormal="85" workbookViewId="0">
      <selection activeCell="Q30" sqref="Q30"/>
    </sheetView>
  </sheetViews>
  <sheetFormatPr defaultRowHeight="14.25"/>
  <cols>
    <col min="1" max="1" width="11.25" customWidth="1"/>
    <col min="2" max="6" width="8.75" customWidth="1"/>
    <col min="7" max="7" width="9.5" customWidth="1"/>
    <col min="8" max="8" width="12.125" customWidth="1"/>
    <col min="9" max="13" width="8.875" customWidth="1"/>
    <col min="14" max="14" width="12.25" customWidth="1"/>
    <col min="17" max="17" width="10.75" bestFit="1" customWidth="1"/>
  </cols>
  <sheetData>
    <row r="1" spans="1:27" s="58" customFormat="1" ht="18.75">
      <c r="A1" s="57" t="s">
        <v>28</v>
      </c>
    </row>
    <row r="2" spans="1:27" s="58" customFormat="1" ht="15" thickBot="1">
      <c r="A2"/>
      <c r="B2"/>
      <c r="C2"/>
      <c r="D2" s="142"/>
      <c r="E2" s="142"/>
      <c r="F2" s="220" t="s">
        <v>71</v>
      </c>
      <c r="G2" s="220"/>
      <c r="H2"/>
      <c r="I2"/>
      <c r="J2"/>
      <c r="K2" s="142"/>
      <c r="L2" s="142"/>
      <c r="M2" s="220" t="s">
        <v>29</v>
      </c>
      <c r="N2" s="220"/>
    </row>
    <row r="3" spans="1:27" s="58" customFormat="1" ht="32.25" customHeight="1">
      <c r="A3" s="59" t="s">
        <v>30</v>
      </c>
      <c r="B3" s="60">
        <v>15</v>
      </c>
      <c r="C3" s="60">
        <v>16</v>
      </c>
      <c r="D3" s="60">
        <v>17</v>
      </c>
      <c r="E3" s="60">
        <v>18</v>
      </c>
      <c r="F3" s="60">
        <v>19</v>
      </c>
      <c r="G3" s="154">
        <v>21.1</v>
      </c>
      <c r="H3" s="61" t="s">
        <v>30</v>
      </c>
      <c r="I3" s="60">
        <v>15</v>
      </c>
      <c r="J3" s="60">
        <v>16</v>
      </c>
      <c r="K3" s="60">
        <v>17</v>
      </c>
      <c r="L3" s="60">
        <v>18</v>
      </c>
      <c r="M3" s="60">
        <v>19</v>
      </c>
      <c r="N3" s="155">
        <f>$G$3</f>
        <v>21.1</v>
      </c>
    </row>
    <row r="4" spans="1:27" s="58" customFormat="1" ht="39.200000000000003" customHeight="1" thickBot="1">
      <c r="A4" s="83" t="s">
        <v>31</v>
      </c>
      <c r="B4" s="145">
        <v>19166</v>
      </c>
      <c r="C4" s="145">
        <v>19916</v>
      </c>
      <c r="D4" s="145">
        <v>19440</v>
      </c>
      <c r="E4" s="145">
        <v>18829</v>
      </c>
      <c r="F4" s="145">
        <v>18385</v>
      </c>
      <c r="G4" s="146">
        <f>통계요약!I7</f>
        <v>13705</v>
      </c>
      <c r="H4" s="83" t="s">
        <v>32</v>
      </c>
      <c r="I4" s="145">
        <v>102121</v>
      </c>
      <c r="J4" s="145">
        <v>112948</v>
      </c>
      <c r="K4" s="145">
        <v>112491</v>
      </c>
      <c r="L4" s="145">
        <v>115147</v>
      </c>
      <c r="M4" s="145">
        <v>112966</v>
      </c>
      <c r="N4" s="147">
        <f>통계요약!I10/1000</f>
        <v>96223.327999999994</v>
      </c>
    </row>
    <row r="5" spans="1:27" s="58" customFormat="1" ht="30.2" customHeight="1" thickBot="1">
      <c r="A5"/>
      <c r="B5"/>
      <c r="C5"/>
      <c r="D5" s="142"/>
      <c r="E5" s="142"/>
      <c r="F5" s="221" t="s">
        <v>33</v>
      </c>
      <c r="G5" s="221"/>
      <c r="H5" s="62"/>
      <c r="I5" s="63"/>
      <c r="J5" s="63"/>
      <c r="K5" s="142"/>
      <c r="L5" s="142"/>
      <c r="M5" s="221" t="s">
        <v>34</v>
      </c>
      <c r="N5" s="221"/>
    </row>
    <row r="6" spans="1:27" s="58" customFormat="1" ht="32.25" customHeight="1">
      <c r="A6" s="59" t="s">
        <v>30</v>
      </c>
      <c r="B6" s="60">
        <v>15</v>
      </c>
      <c r="C6" s="60">
        <v>16</v>
      </c>
      <c r="D6" s="60">
        <v>17</v>
      </c>
      <c r="E6" s="60">
        <v>18</v>
      </c>
      <c r="F6" s="60">
        <v>19</v>
      </c>
      <c r="G6" s="155">
        <f>$G$3</f>
        <v>21.1</v>
      </c>
      <c r="H6" s="61" t="s">
        <v>30</v>
      </c>
      <c r="I6" s="60">
        <v>15</v>
      </c>
      <c r="J6" s="60">
        <v>16</v>
      </c>
      <c r="K6" s="60">
        <v>17</v>
      </c>
      <c r="L6" s="60">
        <v>18</v>
      </c>
      <c r="M6" s="60">
        <v>19</v>
      </c>
      <c r="N6" s="155">
        <f>$G$3</f>
        <v>21.1</v>
      </c>
    </row>
    <row r="7" spans="1:27" s="58" customFormat="1" ht="37.5" customHeight="1" thickBot="1">
      <c r="A7" s="83" t="s">
        <v>35</v>
      </c>
      <c r="B7" s="148">
        <v>565661</v>
      </c>
      <c r="C7" s="148">
        <v>623339</v>
      </c>
      <c r="D7" s="148">
        <v>643233</v>
      </c>
      <c r="E7" s="148">
        <v>689852</v>
      </c>
      <c r="F7" s="148">
        <v>723427</v>
      </c>
      <c r="G7" s="149">
        <f>통계요약!I20</f>
        <v>767155</v>
      </c>
      <c r="H7" s="83" t="s">
        <v>36</v>
      </c>
      <c r="I7" s="145">
        <v>494740</v>
      </c>
      <c r="J7" s="145">
        <v>435104</v>
      </c>
      <c r="K7" s="145">
        <v>482428</v>
      </c>
      <c r="L7" s="145">
        <v>452480</v>
      </c>
      <c r="M7" s="145">
        <v>623733</v>
      </c>
      <c r="N7" s="150">
        <v>40267</v>
      </c>
      <c r="AA7" s="124">
        <f>(19166/188141)^(1/4)-1</f>
        <v>-0.43504740355323723</v>
      </c>
    </row>
    <row r="12" spans="1:27" s="69" customFormat="1" ht="25.5" customHeight="1">
      <c r="A12" s="69" t="s">
        <v>37</v>
      </c>
    </row>
    <row r="13" spans="1:27" s="58" customFormat="1" ht="21.2" customHeight="1">
      <c r="A13" s="120" t="s">
        <v>52</v>
      </c>
      <c r="H13" s="120" t="s">
        <v>51</v>
      </c>
      <c r="I13" s="64"/>
      <c r="J13" s="65"/>
      <c r="K13" s="66"/>
      <c r="L13" s="67"/>
      <c r="M13" s="67"/>
      <c r="N13" s="67"/>
    </row>
    <row r="14" spans="1:27" s="58" customFormat="1" ht="24" customHeight="1">
      <c r="I14" s="64"/>
      <c r="J14" s="65"/>
      <c r="K14" s="66"/>
      <c r="L14" s="67"/>
      <c r="M14" s="67"/>
      <c r="N14" s="67"/>
    </row>
    <row r="15" spans="1:27" s="58" customFormat="1" ht="24" customHeight="1">
      <c r="I15" s="64"/>
      <c r="J15" s="65"/>
      <c r="K15" s="66"/>
      <c r="L15" s="67"/>
      <c r="M15" s="67"/>
      <c r="N15" s="67"/>
    </row>
    <row r="16" spans="1:27" s="58" customFormat="1" ht="24" customHeight="1">
      <c r="I16" s="64"/>
      <c r="J16" s="65"/>
      <c r="K16" s="66"/>
      <c r="L16" s="67"/>
      <c r="M16" s="67"/>
      <c r="N16" s="67"/>
    </row>
    <row r="17" spans="1:14" s="58" customFormat="1" ht="24" customHeight="1">
      <c r="I17" s="64"/>
      <c r="J17" s="65"/>
      <c r="K17" s="66"/>
      <c r="L17" s="67"/>
      <c r="M17" s="67"/>
      <c r="N17" s="67"/>
    </row>
    <row r="18" spans="1:14" s="58" customFormat="1" ht="24" customHeight="1">
      <c r="I18" s="64"/>
      <c r="J18" s="65"/>
      <c r="K18" s="66"/>
      <c r="L18" s="67"/>
      <c r="M18" s="67"/>
      <c r="N18" s="67"/>
    </row>
    <row r="19" spans="1:14" s="58" customFormat="1" ht="24" customHeight="1">
      <c r="I19" s="64"/>
      <c r="J19" s="65"/>
      <c r="K19" s="66"/>
      <c r="L19" s="67"/>
      <c r="M19" s="67"/>
      <c r="N19" s="67"/>
    </row>
    <row r="20" spans="1:14" s="58" customFormat="1" ht="24" customHeight="1">
      <c r="I20" s="64"/>
      <c r="J20" s="65"/>
      <c r="K20" s="66"/>
      <c r="L20" s="67"/>
      <c r="M20" s="67"/>
      <c r="N20" s="67"/>
    </row>
    <row r="21" spans="1:14" s="58" customFormat="1" ht="24" customHeight="1">
      <c r="I21" s="64"/>
      <c r="J21" s="65"/>
      <c r="K21" s="66"/>
      <c r="L21" s="67"/>
      <c r="M21" s="67"/>
      <c r="N21" s="67"/>
    </row>
    <row r="22" spans="1:14" s="58" customFormat="1" ht="36" customHeight="1">
      <c r="I22" s="64"/>
      <c r="J22" s="65"/>
      <c r="K22" s="66"/>
      <c r="L22" s="67"/>
      <c r="M22" s="67"/>
      <c r="N22" s="67"/>
    </row>
    <row r="23" spans="1:14" s="58" customFormat="1" ht="27.75" customHeight="1">
      <c r="A23" s="68" t="s">
        <v>25</v>
      </c>
      <c r="H23" s="120" t="s">
        <v>50</v>
      </c>
      <c r="I23" s="64"/>
      <c r="J23" s="65"/>
      <c r="K23" s="66"/>
      <c r="L23" s="67"/>
      <c r="M23" s="67"/>
      <c r="N23" s="67"/>
    </row>
    <row r="24" spans="1:14" s="58" customFormat="1" ht="24" customHeight="1">
      <c r="I24" s="64"/>
      <c r="J24" s="65"/>
      <c r="K24" s="66"/>
      <c r="L24" s="67"/>
      <c r="M24" s="67"/>
      <c r="N24" s="67"/>
    </row>
    <row r="25" spans="1:14" s="58" customFormat="1" ht="24" customHeight="1">
      <c r="I25" s="64"/>
      <c r="J25" s="65"/>
      <c r="K25" s="66"/>
      <c r="L25" s="67"/>
      <c r="M25" s="67"/>
      <c r="N25" s="67"/>
    </row>
    <row r="26" spans="1:14" s="58" customFormat="1" ht="24" customHeight="1">
      <c r="I26" s="64"/>
      <c r="J26" s="65"/>
      <c r="K26" s="66"/>
      <c r="L26" s="67"/>
      <c r="M26" s="67"/>
      <c r="N26" s="67"/>
    </row>
    <row r="27" spans="1:14" s="58" customFormat="1" ht="24" customHeight="1">
      <c r="I27" s="64"/>
      <c r="J27" s="65"/>
      <c r="K27" s="66"/>
      <c r="L27" s="67"/>
      <c r="M27" s="67"/>
      <c r="N27" s="67"/>
    </row>
    <row r="28" spans="1:14" s="58" customFormat="1" ht="24" customHeight="1">
      <c r="I28" s="64"/>
      <c r="J28" s="65"/>
      <c r="K28" s="66"/>
      <c r="L28" s="67"/>
      <c r="M28" s="67"/>
      <c r="N28" s="67"/>
    </row>
    <row r="29" spans="1:14" s="58" customFormat="1" ht="24" customHeight="1">
      <c r="I29" s="64"/>
      <c r="J29" s="65"/>
      <c r="K29" s="66"/>
      <c r="L29" s="67"/>
      <c r="M29" s="67"/>
      <c r="N29" s="67"/>
    </row>
    <row r="30" spans="1:14" s="58" customFormat="1" ht="24" customHeight="1">
      <c r="I30" s="64"/>
      <c r="J30" s="65"/>
      <c r="K30" s="66"/>
      <c r="L30" s="67"/>
      <c r="M30" s="67"/>
      <c r="N30" s="67"/>
    </row>
    <row r="31" spans="1:14" s="58" customFormat="1" ht="24" customHeight="1">
      <c r="I31" s="64"/>
      <c r="J31" s="65"/>
      <c r="K31" s="66"/>
      <c r="L31" s="67"/>
      <c r="M31" s="67"/>
      <c r="N31" s="67"/>
    </row>
  </sheetData>
  <mergeCells count="4">
    <mergeCell ref="F2:G2"/>
    <mergeCell ref="M2:N2"/>
    <mergeCell ref="F5:G5"/>
    <mergeCell ref="M5:N5"/>
  </mergeCells>
  <phoneticPr fontId="20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/>
    </sheetView>
  </sheetViews>
  <sheetFormatPr defaultColWidth="10" defaultRowHeight="13.5"/>
  <cols>
    <col min="1" max="1" width="10" style="70" customWidth="1"/>
    <col min="2" max="2" width="5.75" style="70" customWidth="1"/>
    <col min="3" max="3" width="1" style="70" customWidth="1"/>
    <col min="4" max="4" width="8" style="70" customWidth="1"/>
    <col min="5" max="5" width="14.875" style="70" bestFit="1" customWidth="1"/>
    <col min="6" max="6" width="11" style="70" customWidth="1"/>
    <col min="7" max="7" width="13.25" style="70" customWidth="1"/>
    <col min="8" max="8" width="11" style="70" customWidth="1"/>
    <col min="9" max="9" width="13.25" style="70" customWidth="1"/>
    <col min="10" max="10" width="12.25" style="70" customWidth="1"/>
    <col min="11" max="11" width="11" style="70" customWidth="1"/>
    <col min="12" max="12" width="12.75" style="70" customWidth="1"/>
    <col min="13" max="13" width="11" style="70" customWidth="1"/>
    <col min="14" max="16384" width="10" style="70"/>
  </cols>
  <sheetData>
    <row r="1" spans="1:13" ht="50.25" customHeight="1" thickBot="1">
      <c r="A1" s="85" t="s">
        <v>38</v>
      </c>
      <c r="F1" s="153"/>
      <c r="G1" s="153"/>
      <c r="H1" s="153"/>
      <c r="I1" s="153"/>
      <c r="J1" s="71"/>
      <c r="K1" s="72"/>
      <c r="L1" s="73"/>
      <c r="M1" s="74"/>
    </row>
    <row r="2" spans="1:13" ht="21.95" customHeight="1">
      <c r="A2" s="234" t="s">
        <v>39</v>
      </c>
      <c r="B2" s="235"/>
      <c r="C2" s="235"/>
      <c r="D2" s="238" t="s">
        <v>40</v>
      </c>
      <c r="E2" s="75"/>
      <c r="F2" s="240" t="s">
        <v>73</v>
      </c>
      <c r="G2" s="241"/>
      <c r="H2" s="228" t="s">
        <v>75</v>
      </c>
      <c r="I2" s="228"/>
      <c r="J2" s="228" t="s">
        <v>41</v>
      </c>
      <c r="K2" s="228"/>
      <c r="L2" s="228"/>
      <c r="M2" s="229"/>
    </row>
    <row r="3" spans="1:13" ht="21.95" customHeight="1">
      <c r="A3" s="236"/>
      <c r="B3" s="237"/>
      <c r="C3" s="237"/>
      <c r="D3" s="239"/>
      <c r="E3" s="76" t="s">
        <v>42</v>
      </c>
      <c r="F3" s="76" t="str">
        <f>통계요약!F6</f>
        <v>10월(A)</v>
      </c>
      <c r="G3" s="76" t="str">
        <f>통계요약!G6</f>
        <v>10월누계(B)</v>
      </c>
      <c r="H3" s="144" t="str">
        <f>통계요약!H6</f>
        <v>10월(C)</v>
      </c>
      <c r="I3" s="76" t="str">
        <f>통계요약!I6</f>
        <v>10월누계(D)</v>
      </c>
      <c r="J3" s="76" t="s">
        <v>43</v>
      </c>
      <c r="K3" s="77" t="s">
        <v>44</v>
      </c>
      <c r="L3" s="78" t="s">
        <v>45</v>
      </c>
      <c r="M3" s="157" t="s">
        <v>44</v>
      </c>
    </row>
    <row r="4" spans="1:13" ht="21.95" customHeight="1">
      <c r="A4" s="230" t="s">
        <v>46</v>
      </c>
      <c r="B4" s="231"/>
      <c r="C4" s="231"/>
      <c r="D4" s="156" t="s">
        <v>47</v>
      </c>
      <c r="E4" s="117">
        <f>SUM(E6,E8,E10,E12,E14,E16,E18,E20,E22,E26,E28,E30,E32,E24,)</f>
        <v>792643</v>
      </c>
      <c r="F4" s="117">
        <f>SUM(F6,F8,F10,F12,F14,F16,F18,F20,F22,F26,F28,F30,F32,F24,)</f>
        <v>68187</v>
      </c>
      <c r="G4" s="117">
        <f>SUM(G6,G8,G10,G12,G14,G16,G18,G20,G22,G26,G28,G30,G32,G24,)</f>
        <v>641370</v>
      </c>
      <c r="H4" s="117">
        <f>SUM(H6,H8,H10,H12,H14,H16,H18,H20,H22,H26,H28,H30,H32,H24,)</f>
        <v>70725</v>
      </c>
      <c r="I4" s="117">
        <f>SUM(I6,I8,I10,I12,I14,I16,I18,I20,I22,I26,I28,I30,I32,I24,)</f>
        <v>767155</v>
      </c>
      <c r="J4" s="107">
        <f t="shared" ref="J4:J31" si="0">H4-F4</f>
        <v>2538</v>
      </c>
      <c r="K4" s="108">
        <f t="shared" ref="K4:K33" si="1">(H4/F4*100)-100</f>
        <v>3.7221171190989537</v>
      </c>
      <c r="L4" s="109">
        <f t="shared" ref="L4:M31" si="2">I4-G4</f>
        <v>125785</v>
      </c>
      <c r="M4" s="158">
        <f t="shared" ref="M4:M33" si="3">(I4/G4*100)-100</f>
        <v>19.611924474172483</v>
      </c>
    </row>
    <row r="5" spans="1:13" ht="21.95" customHeight="1">
      <c r="A5" s="230"/>
      <c r="B5" s="231"/>
      <c r="C5" s="231"/>
      <c r="D5" s="156" t="s">
        <v>48</v>
      </c>
      <c r="E5" s="117">
        <f>SUM(E7,E9,E11,E13,E15,E17,E19,E21,E23,E27,E29,E31,E33,E25)</f>
        <v>11993976</v>
      </c>
      <c r="F5" s="117">
        <f>SUM(F7,F9,F11,F13,F15,F17,F19,F21,F23,F27,F29,F31,F33,F25)</f>
        <v>1045391</v>
      </c>
      <c r="G5" s="117">
        <f>SUM(G7,G9,G11,G13,G15,G17,G19,G21,G23,G27,G29,G31,G33,G25)</f>
        <v>9681019</v>
      </c>
      <c r="H5" s="117">
        <f>SUM(H7,H9,H11,H13,H15,H17,H19,H21,H23,H27,H29,H31,H33,H25)</f>
        <v>1100977</v>
      </c>
      <c r="I5" s="117">
        <f>SUM(I7,I9,I11,I13,I15,I17,I19,I21,I23,I27,I29,I31,I33,I25)</f>
        <v>11706595</v>
      </c>
      <c r="J5" s="107">
        <f t="shared" si="0"/>
        <v>55586</v>
      </c>
      <c r="K5" s="108">
        <f t="shared" si="1"/>
        <v>5.3172449351486648</v>
      </c>
      <c r="L5" s="109">
        <f t="shared" si="2"/>
        <v>2025576</v>
      </c>
      <c r="M5" s="158">
        <f t="shared" si="3"/>
        <v>20.92316934818534</v>
      </c>
    </row>
    <row r="6" spans="1:13" ht="21.2" customHeight="1">
      <c r="A6" s="232" t="s">
        <v>53</v>
      </c>
      <c r="B6" s="233"/>
      <c r="C6" s="233"/>
      <c r="D6" s="79" t="s">
        <v>47</v>
      </c>
      <c r="E6" s="118">
        <v>40012</v>
      </c>
      <c r="F6" s="118">
        <v>4063</v>
      </c>
      <c r="G6" s="118">
        <v>31398</v>
      </c>
      <c r="H6" s="118">
        <v>3687</v>
      </c>
      <c r="I6" s="118">
        <v>44679</v>
      </c>
      <c r="J6" s="110">
        <f>I6-F6</f>
        <v>40616</v>
      </c>
      <c r="K6" s="111">
        <f>(I6/F6*100)-100</f>
        <v>999.65542702436619</v>
      </c>
      <c r="L6" s="112">
        <f>I6-G6</f>
        <v>13281</v>
      </c>
      <c r="M6" s="159">
        <f>(I6/G6*100)-100</f>
        <v>42.298872539652223</v>
      </c>
    </row>
    <row r="7" spans="1:13" ht="21.2" customHeight="1">
      <c r="A7" s="232"/>
      <c r="B7" s="233"/>
      <c r="C7" s="233"/>
      <c r="D7" s="79" t="s">
        <v>48</v>
      </c>
      <c r="E7" s="118">
        <v>733864</v>
      </c>
      <c r="F7" s="118">
        <v>72849</v>
      </c>
      <c r="G7" s="118">
        <v>578497</v>
      </c>
      <c r="H7" s="118">
        <v>70395</v>
      </c>
      <c r="I7" s="118">
        <v>819325</v>
      </c>
      <c r="J7" s="110">
        <f t="shared" ref="J7:J23" si="4">H7-F7</f>
        <v>-2454</v>
      </c>
      <c r="K7" s="111">
        <f t="shared" ref="K7:K19" si="5">(H7/F7*100)-100</f>
        <v>-3.3686117860231519</v>
      </c>
      <c r="L7" s="112">
        <f t="shared" si="2"/>
        <v>240828</v>
      </c>
      <c r="M7" s="159">
        <f t="shared" si="3"/>
        <v>41.629947951329029</v>
      </c>
    </row>
    <row r="8" spans="1:13" ht="21.2" customHeight="1">
      <c r="A8" s="232" t="s">
        <v>54</v>
      </c>
      <c r="B8" s="233"/>
      <c r="C8" s="233"/>
      <c r="D8" s="79" t="s">
        <v>47</v>
      </c>
      <c r="E8" s="118">
        <v>64529</v>
      </c>
      <c r="F8" s="118">
        <v>3780</v>
      </c>
      <c r="G8" s="118">
        <v>51445</v>
      </c>
      <c r="H8" s="118">
        <v>4727</v>
      </c>
      <c r="I8" s="118">
        <v>59662</v>
      </c>
      <c r="J8" s="110">
        <f>I8-F8</f>
        <v>55882</v>
      </c>
      <c r="K8" s="111">
        <f>(I8/F8*100)-100</f>
        <v>1478.3597883597884</v>
      </c>
      <c r="L8" s="112">
        <f>I8-G8</f>
        <v>8217</v>
      </c>
      <c r="M8" s="159">
        <f>(I8/G8*100)-100</f>
        <v>15.972397706288262</v>
      </c>
    </row>
    <row r="9" spans="1:13" ht="21.2" customHeight="1">
      <c r="A9" s="232"/>
      <c r="B9" s="233"/>
      <c r="C9" s="233"/>
      <c r="D9" s="79" t="s">
        <v>48</v>
      </c>
      <c r="E9" s="118">
        <v>1014764</v>
      </c>
      <c r="F9" s="118">
        <v>61263</v>
      </c>
      <c r="G9" s="118">
        <v>809979</v>
      </c>
      <c r="H9" s="118">
        <v>69245</v>
      </c>
      <c r="I9" s="118">
        <v>913386</v>
      </c>
      <c r="J9" s="110">
        <f t="shared" si="4"/>
        <v>7982</v>
      </c>
      <c r="K9" s="111">
        <f t="shared" si="5"/>
        <v>13.029071380768158</v>
      </c>
      <c r="L9" s="112">
        <f t="shared" si="2"/>
        <v>103407</v>
      </c>
      <c r="M9" s="159">
        <f t="shared" si="3"/>
        <v>12.766627282929562</v>
      </c>
    </row>
    <row r="10" spans="1:13" ht="21.2" customHeight="1">
      <c r="A10" s="222" t="s">
        <v>82</v>
      </c>
      <c r="B10" s="223"/>
      <c r="C10" s="224"/>
      <c r="D10" s="79" t="s">
        <v>47</v>
      </c>
      <c r="E10" s="118"/>
      <c r="F10" s="140">
        <v>0</v>
      </c>
      <c r="G10" s="140">
        <v>0</v>
      </c>
      <c r="H10" s="140">
        <v>0</v>
      </c>
      <c r="I10" s="118">
        <v>12</v>
      </c>
      <c r="J10" s="110">
        <f t="shared" si="4"/>
        <v>0</v>
      </c>
      <c r="K10" s="140">
        <v>0</v>
      </c>
      <c r="L10" s="112">
        <f t="shared" si="2"/>
        <v>12</v>
      </c>
      <c r="M10" s="159" t="s">
        <v>84</v>
      </c>
    </row>
    <row r="11" spans="1:13" ht="21.2" customHeight="1">
      <c r="A11" s="225"/>
      <c r="B11" s="226"/>
      <c r="C11" s="227"/>
      <c r="D11" s="79" t="s">
        <v>48</v>
      </c>
      <c r="E11" s="118"/>
      <c r="F11" s="140">
        <v>0</v>
      </c>
      <c r="G11" s="140">
        <v>0</v>
      </c>
      <c r="H11" s="140">
        <v>0</v>
      </c>
      <c r="I11" s="140">
        <v>310</v>
      </c>
      <c r="J11" s="110">
        <f t="shared" si="4"/>
        <v>0</v>
      </c>
      <c r="K11" s="140">
        <v>0</v>
      </c>
      <c r="L11" s="112">
        <f t="shared" si="2"/>
        <v>310</v>
      </c>
      <c r="M11" s="159" t="s">
        <v>84</v>
      </c>
    </row>
    <row r="12" spans="1:13" ht="21.2" customHeight="1">
      <c r="A12" s="222" t="s">
        <v>66</v>
      </c>
      <c r="B12" s="223"/>
      <c r="C12" s="224"/>
      <c r="D12" s="79" t="s">
        <v>47</v>
      </c>
      <c r="E12" s="118">
        <v>11</v>
      </c>
      <c r="F12" s="140">
        <v>11</v>
      </c>
      <c r="G12" s="140">
        <v>11</v>
      </c>
      <c r="H12" s="140">
        <v>0</v>
      </c>
      <c r="I12" s="140">
        <v>0</v>
      </c>
      <c r="J12" s="110">
        <f t="shared" si="4"/>
        <v>-11</v>
      </c>
      <c r="K12" s="111">
        <f t="shared" si="5"/>
        <v>-100</v>
      </c>
      <c r="L12" s="112">
        <f t="shared" si="2"/>
        <v>-11</v>
      </c>
      <c r="M12" s="159">
        <f t="shared" si="3"/>
        <v>-100</v>
      </c>
    </row>
    <row r="13" spans="1:13" ht="21.2" customHeight="1">
      <c r="A13" s="225"/>
      <c r="B13" s="226"/>
      <c r="C13" s="227"/>
      <c r="D13" s="79" t="s">
        <v>65</v>
      </c>
      <c r="E13" s="140">
        <v>0</v>
      </c>
      <c r="F13" s="140">
        <v>0</v>
      </c>
      <c r="G13" s="140">
        <v>0</v>
      </c>
      <c r="H13" s="140">
        <v>0</v>
      </c>
      <c r="I13" s="140">
        <v>0</v>
      </c>
      <c r="J13" s="110">
        <f t="shared" si="4"/>
        <v>0</v>
      </c>
      <c r="K13" s="140">
        <v>0</v>
      </c>
      <c r="L13" s="112">
        <f t="shared" si="2"/>
        <v>0</v>
      </c>
      <c r="M13" s="160">
        <f t="shared" si="2"/>
        <v>0</v>
      </c>
    </row>
    <row r="14" spans="1:13" ht="21.2" customHeight="1">
      <c r="A14" s="232" t="s">
        <v>55</v>
      </c>
      <c r="B14" s="233"/>
      <c r="C14" s="233"/>
      <c r="D14" s="79" t="s">
        <v>47</v>
      </c>
      <c r="E14" s="118">
        <v>94591</v>
      </c>
      <c r="F14" s="118">
        <v>5440</v>
      </c>
      <c r="G14" s="118">
        <v>75986</v>
      </c>
      <c r="H14" s="118">
        <v>6729</v>
      </c>
      <c r="I14" s="118">
        <v>92712</v>
      </c>
      <c r="J14" s="110">
        <f>I14-F14</f>
        <v>87272</v>
      </c>
      <c r="K14" s="111">
        <f>(I14/F14*100)-100</f>
        <v>1604.2647058823529</v>
      </c>
      <c r="L14" s="112">
        <f>I14-G14</f>
        <v>16726</v>
      </c>
      <c r="M14" s="159">
        <f>(I14/G14*100)-100</f>
        <v>22.011949569657574</v>
      </c>
    </row>
    <row r="15" spans="1:13" ht="21.2" customHeight="1">
      <c r="A15" s="232"/>
      <c r="B15" s="233"/>
      <c r="C15" s="233"/>
      <c r="D15" s="79" t="s">
        <v>48</v>
      </c>
      <c r="E15" s="118">
        <v>1458673</v>
      </c>
      <c r="F15" s="118">
        <v>92261</v>
      </c>
      <c r="G15" s="118">
        <v>1174635</v>
      </c>
      <c r="H15" s="118">
        <v>120253</v>
      </c>
      <c r="I15" s="118">
        <v>1428407</v>
      </c>
      <c r="J15" s="110">
        <f t="shared" si="4"/>
        <v>27992</v>
      </c>
      <c r="K15" s="111">
        <f t="shared" si="5"/>
        <v>30.340013656908127</v>
      </c>
      <c r="L15" s="112">
        <f t="shared" si="2"/>
        <v>253772</v>
      </c>
      <c r="M15" s="159">
        <f t="shared" si="3"/>
        <v>21.604328153000722</v>
      </c>
    </row>
    <row r="16" spans="1:13" ht="21.2" customHeight="1">
      <c r="A16" s="232" t="s">
        <v>62</v>
      </c>
      <c r="B16" s="233"/>
      <c r="C16" s="233"/>
      <c r="D16" s="79" t="s">
        <v>47</v>
      </c>
      <c r="E16" s="118">
        <v>230422</v>
      </c>
      <c r="F16" s="118">
        <v>23428</v>
      </c>
      <c r="G16" s="118">
        <v>186302</v>
      </c>
      <c r="H16" s="118">
        <v>17726</v>
      </c>
      <c r="I16" s="118">
        <v>219920</v>
      </c>
      <c r="J16" s="110">
        <f t="shared" si="4"/>
        <v>-5702</v>
      </c>
      <c r="K16" s="111">
        <f t="shared" si="5"/>
        <v>-24.338398497524324</v>
      </c>
      <c r="L16" s="112">
        <f t="shared" si="2"/>
        <v>33618</v>
      </c>
      <c r="M16" s="159">
        <f t="shared" si="3"/>
        <v>18.044894848149767</v>
      </c>
    </row>
    <row r="17" spans="1:13" ht="21.2" customHeight="1">
      <c r="A17" s="232"/>
      <c r="B17" s="233"/>
      <c r="C17" s="233"/>
      <c r="D17" s="79" t="s">
        <v>48</v>
      </c>
      <c r="E17" s="118">
        <v>3151058</v>
      </c>
      <c r="F17" s="118">
        <v>325060</v>
      </c>
      <c r="G17" s="118">
        <v>2533784</v>
      </c>
      <c r="H17" s="118">
        <v>244046</v>
      </c>
      <c r="I17" s="118">
        <v>3007308</v>
      </c>
      <c r="J17" s="110">
        <f t="shared" si="4"/>
        <v>-81014</v>
      </c>
      <c r="K17" s="111">
        <f t="shared" si="5"/>
        <v>-24.922783486125638</v>
      </c>
      <c r="L17" s="112">
        <f t="shared" si="2"/>
        <v>473524</v>
      </c>
      <c r="M17" s="159">
        <f t="shared" si="3"/>
        <v>18.688412271922147</v>
      </c>
    </row>
    <row r="18" spans="1:13" ht="21.2" customHeight="1">
      <c r="A18" s="232" t="s">
        <v>56</v>
      </c>
      <c r="B18" s="233"/>
      <c r="C18" s="233"/>
      <c r="D18" s="79" t="s">
        <v>47</v>
      </c>
      <c r="E18" s="118">
        <v>142475</v>
      </c>
      <c r="F18" s="118">
        <v>9091</v>
      </c>
      <c r="G18" s="118">
        <v>119290</v>
      </c>
      <c r="H18" s="118">
        <v>11913</v>
      </c>
      <c r="I18" s="118">
        <v>121238</v>
      </c>
      <c r="J18" s="110">
        <f t="shared" si="4"/>
        <v>2822</v>
      </c>
      <c r="K18" s="80">
        <f t="shared" si="5"/>
        <v>31.041689583104159</v>
      </c>
      <c r="L18" s="81">
        <f t="shared" si="2"/>
        <v>1948</v>
      </c>
      <c r="M18" s="161">
        <f t="shared" si="3"/>
        <v>1.6329952217285495</v>
      </c>
    </row>
    <row r="19" spans="1:13" ht="21.2" customHeight="1">
      <c r="A19" s="232"/>
      <c r="B19" s="233"/>
      <c r="C19" s="233"/>
      <c r="D19" s="79" t="s">
        <v>48</v>
      </c>
      <c r="E19" s="118">
        <v>2264820</v>
      </c>
      <c r="F19" s="118">
        <v>144755</v>
      </c>
      <c r="G19" s="118">
        <v>1889166</v>
      </c>
      <c r="H19" s="118">
        <v>183760</v>
      </c>
      <c r="I19" s="118">
        <v>1912993</v>
      </c>
      <c r="J19" s="110">
        <f t="shared" si="4"/>
        <v>39005</v>
      </c>
      <c r="K19" s="80">
        <f t="shared" si="5"/>
        <v>26.945528651860045</v>
      </c>
      <c r="L19" s="81">
        <f t="shared" si="2"/>
        <v>23827</v>
      </c>
      <c r="M19" s="161">
        <f t="shared" si="3"/>
        <v>1.2612443797951158</v>
      </c>
    </row>
    <row r="20" spans="1:13" ht="21.2" customHeight="1">
      <c r="A20" s="244" t="s">
        <v>69</v>
      </c>
      <c r="B20" s="245"/>
      <c r="C20" s="245"/>
      <c r="D20" s="133" t="s">
        <v>47</v>
      </c>
      <c r="E20" s="132">
        <v>670</v>
      </c>
      <c r="F20" s="140">
        <v>0</v>
      </c>
      <c r="G20" s="139">
        <v>670</v>
      </c>
      <c r="H20" s="140">
        <v>0</v>
      </c>
      <c r="I20" s="140">
        <v>0</v>
      </c>
      <c r="J20" s="110">
        <f t="shared" si="4"/>
        <v>0</v>
      </c>
      <c r="K20" s="134" t="s">
        <v>67</v>
      </c>
      <c r="L20" s="135">
        <f t="shared" si="2"/>
        <v>-670</v>
      </c>
      <c r="M20" s="162" t="s">
        <v>85</v>
      </c>
    </row>
    <row r="21" spans="1:13" ht="21.2" customHeight="1">
      <c r="A21" s="246"/>
      <c r="B21" s="247"/>
      <c r="C21" s="247"/>
      <c r="D21" s="136" t="s">
        <v>48</v>
      </c>
      <c r="E21" s="132">
        <v>6371</v>
      </c>
      <c r="F21" s="140">
        <v>0</v>
      </c>
      <c r="G21" s="139">
        <v>6371</v>
      </c>
      <c r="H21" s="140">
        <v>0</v>
      </c>
      <c r="I21" s="140">
        <v>0</v>
      </c>
      <c r="J21" s="110">
        <f t="shared" si="4"/>
        <v>0</v>
      </c>
      <c r="K21" s="137" t="s">
        <v>67</v>
      </c>
      <c r="L21" s="138">
        <f t="shared" si="2"/>
        <v>-6371</v>
      </c>
      <c r="M21" s="163" t="s">
        <v>85</v>
      </c>
    </row>
    <row r="22" spans="1:13" ht="21.2" customHeight="1">
      <c r="A22" s="250" t="s">
        <v>81</v>
      </c>
      <c r="B22" s="251"/>
      <c r="C22" s="252"/>
      <c r="D22" s="133" t="s">
        <v>47</v>
      </c>
      <c r="E22" s="132"/>
      <c r="F22" s="140">
        <v>0</v>
      </c>
      <c r="G22" s="140">
        <v>0</v>
      </c>
      <c r="H22" s="139">
        <v>8</v>
      </c>
      <c r="I22" s="139">
        <v>8</v>
      </c>
      <c r="J22" s="110">
        <f t="shared" si="4"/>
        <v>8</v>
      </c>
      <c r="K22" s="137" t="s">
        <v>83</v>
      </c>
      <c r="L22" s="138">
        <f t="shared" si="2"/>
        <v>8</v>
      </c>
      <c r="M22" s="163" t="s">
        <v>86</v>
      </c>
    </row>
    <row r="23" spans="1:13" ht="21.2" customHeight="1">
      <c r="A23" s="253"/>
      <c r="B23" s="254"/>
      <c r="C23" s="255"/>
      <c r="D23" s="136" t="s">
        <v>48</v>
      </c>
      <c r="E23" s="132"/>
      <c r="F23" s="140">
        <v>0</v>
      </c>
      <c r="G23" s="140">
        <v>0</v>
      </c>
      <c r="H23" s="140">
        <v>43</v>
      </c>
      <c r="I23" s="140">
        <v>43</v>
      </c>
      <c r="J23" s="110">
        <f t="shared" si="4"/>
        <v>43</v>
      </c>
      <c r="K23" s="137" t="s">
        <v>83</v>
      </c>
      <c r="L23" s="138">
        <f t="shared" si="2"/>
        <v>43</v>
      </c>
      <c r="M23" s="163" t="s">
        <v>86</v>
      </c>
    </row>
    <row r="24" spans="1:13" ht="21.2" customHeight="1">
      <c r="A24" s="222" t="s">
        <v>63</v>
      </c>
      <c r="B24" s="223"/>
      <c r="C24" s="224"/>
      <c r="D24" s="82" t="s">
        <v>64</v>
      </c>
      <c r="E24" s="118">
        <v>112</v>
      </c>
      <c r="F24" s="140">
        <v>0</v>
      </c>
      <c r="G24" s="139">
        <v>112</v>
      </c>
      <c r="H24" s="139">
        <v>12</v>
      </c>
      <c r="I24" s="139">
        <v>43</v>
      </c>
      <c r="J24" s="110">
        <f t="shared" si="0"/>
        <v>12</v>
      </c>
      <c r="K24" s="125" t="s">
        <v>83</v>
      </c>
      <c r="L24" s="114">
        <f t="shared" si="2"/>
        <v>-69</v>
      </c>
      <c r="M24" s="164">
        <f t="shared" si="3"/>
        <v>-61.607142857142854</v>
      </c>
    </row>
    <row r="25" spans="1:13" ht="21.2" customHeight="1">
      <c r="A25" s="225"/>
      <c r="B25" s="226"/>
      <c r="C25" s="227"/>
      <c r="D25" s="82" t="s">
        <v>65</v>
      </c>
      <c r="E25" s="118">
        <v>776</v>
      </c>
      <c r="F25" s="140">
        <v>0</v>
      </c>
      <c r="G25" s="139">
        <v>776</v>
      </c>
      <c r="H25" s="139">
        <v>69</v>
      </c>
      <c r="I25" s="139">
        <v>492</v>
      </c>
      <c r="J25" s="110">
        <f t="shared" si="0"/>
        <v>69</v>
      </c>
      <c r="K25" s="125" t="s">
        <v>83</v>
      </c>
      <c r="L25" s="114">
        <f t="shared" si="2"/>
        <v>-284</v>
      </c>
      <c r="M25" s="164">
        <f t="shared" si="3"/>
        <v>-36.597938144329902</v>
      </c>
    </row>
    <row r="26" spans="1:13" ht="21.2" customHeight="1">
      <c r="A26" s="232" t="s">
        <v>58</v>
      </c>
      <c r="B26" s="233"/>
      <c r="C26" s="233"/>
      <c r="D26" s="79" t="s">
        <v>47</v>
      </c>
      <c r="E26" s="118">
        <v>544</v>
      </c>
      <c r="F26" s="140">
        <v>0</v>
      </c>
      <c r="G26" s="118">
        <v>476</v>
      </c>
      <c r="H26" s="118">
        <v>48</v>
      </c>
      <c r="I26" s="140">
        <v>266</v>
      </c>
      <c r="J26" s="110">
        <f t="shared" si="0"/>
        <v>48</v>
      </c>
      <c r="K26" s="125" t="s">
        <v>83</v>
      </c>
      <c r="L26" s="112">
        <f t="shared" si="2"/>
        <v>-210</v>
      </c>
      <c r="M26" s="159">
        <f t="shared" si="3"/>
        <v>-44.117647058823529</v>
      </c>
    </row>
    <row r="27" spans="1:13" ht="21.2" customHeight="1">
      <c r="A27" s="248"/>
      <c r="B27" s="249"/>
      <c r="C27" s="249"/>
      <c r="D27" s="82" t="s">
        <v>48</v>
      </c>
      <c r="E27" s="118">
        <v>4339</v>
      </c>
      <c r="F27" s="140">
        <v>0</v>
      </c>
      <c r="G27" s="118">
        <v>3960</v>
      </c>
      <c r="H27" s="118">
        <v>427</v>
      </c>
      <c r="I27" s="140">
        <v>2342</v>
      </c>
      <c r="J27" s="110">
        <f t="shared" si="0"/>
        <v>427</v>
      </c>
      <c r="K27" s="125" t="s">
        <v>83</v>
      </c>
      <c r="L27" s="114">
        <f t="shared" si="2"/>
        <v>-1618</v>
      </c>
      <c r="M27" s="164">
        <f t="shared" si="3"/>
        <v>-40.858585858585862</v>
      </c>
    </row>
    <row r="28" spans="1:13" ht="21.2" customHeight="1">
      <c r="A28" s="232" t="s">
        <v>59</v>
      </c>
      <c r="B28" s="233"/>
      <c r="C28" s="233"/>
      <c r="D28" s="79" t="s">
        <v>47</v>
      </c>
      <c r="E28" s="118">
        <v>75409</v>
      </c>
      <c r="F28" s="118">
        <v>7148</v>
      </c>
      <c r="G28" s="118">
        <v>59348</v>
      </c>
      <c r="H28" s="118">
        <v>8735</v>
      </c>
      <c r="I28" s="118">
        <v>78482</v>
      </c>
      <c r="J28" s="110">
        <f t="shared" si="0"/>
        <v>1587</v>
      </c>
      <c r="K28" s="111">
        <f t="shared" si="1"/>
        <v>22.20201454952435</v>
      </c>
      <c r="L28" s="112">
        <f t="shared" si="2"/>
        <v>19134</v>
      </c>
      <c r="M28" s="159">
        <f t="shared" si="3"/>
        <v>32.240345083237855</v>
      </c>
    </row>
    <row r="29" spans="1:13" ht="21.2" customHeight="1">
      <c r="A29" s="232"/>
      <c r="B29" s="233"/>
      <c r="C29" s="233"/>
      <c r="D29" s="79" t="s">
        <v>48</v>
      </c>
      <c r="E29" s="118">
        <v>1215186</v>
      </c>
      <c r="F29" s="118">
        <v>122749</v>
      </c>
      <c r="G29" s="118">
        <v>954553</v>
      </c>
      <c r="H29" s="118">
        <v>161052</v>
      </c>
      <c r="I29" s="118">
        <v>1322906</v>
      </c>
      <c r="J29" s="110">
        <f t="shared" si="0"/>
        <v>38303</v>
      </c>
      <c r="K29" s="111">
        <f t="shared" si="1"/>
        <v>31.20432753016317</v>
      </c>
      <c r="L29" s="112">
        <f t="shared" si="2"/>
        <v>368353</v>
      </c>
      <c r="M29" s="159">
        <f t="shared" si="3"/>
        <v>38.589056867455241</v>
      </c>
    </row>
    <row r="30" spans="1:13" ht="21.2" customHeight="1">
      <c r="A30" s="232" t="s">
        <v>60</v>
      </c>
      <c r="B30" s="233"/>
      <c r="C30" s="233"/>
      <c r="D30" s="84" t="s">
        <v>47</v>
      </c>
      <c r="E30" s="119">
        <v>105261</v>
      </c>
      <c r="F30" s="119">
        <v>10240</v>
      </c>
      <c r="G30" s="119">
        <v>86335</v>
      </c>
      <c r="H30" s="118">
        <v>13006</v>
      </c>
      <c r="I30" s="119">
        <v>106009</v>
      </c>
      <c r="J30" s="110">
        <f t="shared" si="0"/>
        <v>2766</v>
      </c>
      <c r="K30" s="115">
        <f t="shared" si="1"/>
        <v>27.011718749999986</v>
      </c>
      <c r="L30" s="116">
        <f t="shared" si="2"/>
        <v>19674</v>
      </c>
      <c r="M30" s="165">
        <f t="shared" si="3"/>
        <v>22.787977066079804</v>
      </c>
    </row>
    <row r="31" spans="1:13" ht="21.2" customHeight="1">
      <c r="A31" s="232"/>
      <c r="B31" s="233"/>
      <c r="C31" s="233"/>
      <c r="D31" s="82" t="s">
        <v>48</v>
      </c>
      <c r="E31" s="122">
        <v>1550056</v>
      </c>
      <c r="F31" s="122">
        <v>149789</v>
      </c>
      <c r="G31" s="122">
        <v>1259729</v>
      </c>
      <c r="H31" s="118">
        <v>179227</v>
      </c>
      <c r="I31" s="122">
        <v>1583253</v>
      </c>
      <c r="J31" s="123">
        <f t="shared" si="0"/>
        <v>29438</v>
      </c>
      <c r="K31" s="113">
        <f t="shared" si="1"/>
        <v>19.652978523122528</v>
      </c>
      <c r="L31" s="114">
        <f t="shared" si="2"/>
        <v>323524</v>
      </c>
      <c r="M31" s="164">
        <f t="shared" si="3"/>
        <v>25.682031611560902</v>
      </c>
    </row>
    <row r="32" spans="1:13" ht="21.2" customHeight="1">
      <c r="A32" s="232" t="s">
        <v>61</v>
      </c>
      <c r="B32" s="233"/>
      <c r="C32" s="233"/>
      <c r="D32" s="79" t="s">
        <v>47</v>
      </c>
      <c r="E32" s="118">
        <v>38607</v>
      </c>
      <c r="F32" s="118">
        <v>4986</v>
      </c>
      <c r="G32" s="118">
        <v>29997</v>
      </c>
      <c r="H32" s="118">
        <v>4134</v>
      </c>
      <c r="I32" s="118">
        <v>44124</v>
      </c>
      <c r="J32" s="110">
        <f>H32-F32</f>
        <v>-852</v>
      </c>
      <c r="K32" s="113">
        <f t="shared" si="1"/>
        <v>-17.087845968712386</v>
      </c>
      <c r="L32" s="112">
        <f>I32-G32</f>
        <v>14127</v>
      </c>
      <c r="M32" s="164">
        <f t="shared" si="3"/>
        <v>47.094709470947095</v>
      </c>
    </row>
    <row r="33" spans="1:13" ht="21.2" customHeight="1" thickBot="1">
      <c r="A33" s="242"/>
      <c r="B33" s="243"/>
      <c r="C33" s="243"/>
      <c r="D33" s="166" t="s">
        <v>48</v>
      </c>
      <c r="E33" s="167">
        <v>594069</v>
      </c>
      <c r="F33" s="167">
        <v>76665</v>
      </c>
      <c r="G33" s="167">
        <v>469569</v>
      </c>
      <c r="H33" s="167">
        <v>72460</v>
      </c>
      <c r="I33" s="167">
        <v>715830</v>
      </c>
      <c r="J33" s="168">
        <f>H33-F33</f>
        <v>-4205</v>
      </c>
      <c r="K33" s="169">
        <f t="shared" si="1"/>
        <v>-5.4849018456923062</v>
      </c>
      <c r="L33" s="170">
        <f>I33-G33</f>
        <v>246261</v>
      </c>
      <c r="M33" s="171">
        <f t="shared" si="3"/>
        <v>52.444049756265855</v>
      </c>
    </row>
  </sheetData>
  <mergeCells count="20">
    <mergeCell ref="A12:C13"/>
    <mergeCell ref="A32:C33"/>
    <mergeCell ref="A28:C29"/>
    <mergeCell ref="A30:C31"/>
    <mergeCell ref="A20:C21"/>
    <mergeCell ref="A14:C15"/>
    <mergeCell ref="A16:C17"/>
    <mergeCell ref="A18:C19"/>
    <mergeCell ref="A26:C27"/>
    <mergeCell ref="A24:C25"/>
    <mergeCell ref="A22:C23"/>
    <mergeCell ref="A10:C11"/>
    <mergeCell ref="J2:M2"/>
    <mergeCell ref="A4:C5"/>
    <mergeCell ref="A6:C7"/>
    <mergeCell ref="A8:C9"/>
    <mergeCell ref="A2:C3"/>
    <mergeCell ref="D2:D3"/>
    <mergeCell ref="F2:G2"/>
    <mergeCell ref="H2:I2"/>
  </mergeCells>
  <phoneticPr fontId="21" type="noConversion"/>
  <pageMargins left="0.74803149606299213" right="0.70866141732283472" top="0.98425196850393704" bottom="0.39370078740157483" header="0.27559055118110237" footer="0.27559055118110237"/>
  <pageSetup paperSize="9" scale="6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2021-10-25T06:06:48Z</cp:lastPrinted>
  <dcterms:created xsi:type="dcterms:W3CDTF">1998-03-31T03:01:22Z</dcterms:created>
  <dcterms:modified xsi:type="dcterms:W3CDTF">2021-12-23T23:31:04Z</dcterms:modified>
</cp:coreProperties>
</file>