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-15" windowWidth="14415" windowHeight="12675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</workbook>
</file>

<file path=xl/calcChain.xml><?xml version="1.0" encoding="utf-8"?>
<calcChain xmlns="http://schemas.openxmlformats.org/spreadsheetml/2006/main">
  <c r="H7" i="21" l="1"/>
  <c r="AA7" i="33" l="1"/>
  <c r="N6" i="33"/>
  <c r="G6" i="33"/>
  <c r="N3" i="33"/>
  <c r="I15" i="21" l="1"/>
  <c r="F15" i="21" l="1"/>
  <c r="G21" i="21" l="1"/>
  <c r="I3" i="32" l="1"/>
  <c r="H3" i="32"/>
  <c r="G3" i="32"/>
  <c r="F3" i="32"/>
  <c r="E7" i="21" l="1"/>
  <c r="L28" i="21" l="1"/>
  <c r="J28" i="21"/>
  <c r="K28" i="21"/>
  <c r="M26" i="21"/>
  <c r="M27" i="21"/>
  <c r="L26" i="21"/>
  <c r="L27" i="21"/>
  <c r="K26" i="21"/>
  <c r="K27" i="21"/>
  <c r="M18" i="21"/>
  <c r="L18" i="21"/>
  <c r="K18" i="21"/>
  <c r="H11" i="21" l="1"/>
  <c r="J22" i="21" l="1"/>
  <c r="J23" i="21"/>
  <c r="J24" i="21"/>
  <c r="J26" i="21"/>
  <c r="J27" i="21"/>
  <c r="J16" i="21"/>
  <c r="J18" i="21"/>
  <c r="J12" i="21"/>
  <c r="J13" i="21"/>
  <c r="J14" i="21"/>
  <c r="M21" i="32" l="1"/>
  <c r="L21" i="32"/>
  <c r="M20" i="32"/>
  <c r="I25" i="21"/>
  <c r="I21" i="21"/>
  <c r="H21" i="21"/>
  <c r="J6" i="32"/>
  <c r="E25" i="21" l="1"/>
  <c r="E21" i="21"/>
  <c r="E15" i="21"/>
  <c r="E11" i="21"/>
  <c r="E10" i="21" l="1"/>
  <c r="E20" i="21"/>
  <c r="G5" i="32"/>
  <c r="F5" i="32"/>
  <c r="E4" i="32"/>
  <c r="E5" i="32"/>
  <c r="F4" i="32"/>
  <c r="G4" i="32"/>
  <c r="H25" i="21" l="1"/>
  <c r="H15" i="21"/>
  <c r="G15" i="21"/>
  <c r="I5" i="32"/>
  <c r="H5" i="32"/>
  <c r="I4" i="32"/>
  <c r="H4" i="32"/>
  <c r="L11" i="32"/>
  <c r="M11" i="32"/>
  <c r="J11" i="32"/>
  <c r="K11" i="32"/>
  <c r="L10" i="32"/>
  <c r="M10" i="32"/>
  <c r="J10" i="32"/>
  <c r="K10" i="32"/>
  <c r="L20" i="32"/>
  <c r="J21" i="32"/>
  <c r="J20" i="32"/>
  <c r="F21" i="21" l="1"/>
  <c r="I11" i="21"/>
  <c r="G11" i="21"/>
  <c r="F11" i="21"/>
  <c r="I7" i="21"/>
  <c r="G4" i="33" s="1"/>
  <c r="G7" i="21"/>
  <c r="F7" i="21"/>
  <c r="I10" i="21" l="1"/>
  <c r="N4" i="33" s="1"/>
  <c r="F25" i="21"/>
  <c r="G25" i="21"/>
  <c r="G20" i="21" s="1"/>
  <c r="J25" i="21" l="1"/>
  <c r="K25" i="21"/>
  <c r="L25" i="21"/>
  <c r="M25" i="21"/>
  <c r="K14" i="21"/>
  <c r="M15" i="32" l="1"/>
  <c r="J15" i="32"/>
  <c r="L14" i="32"/>
  <c r="J14" i="32"/>
  <c r="M24" i="21"/>
  <c r="M16" i="32"/>
  <c r="M17" i="32"/>
  <c r="M22" i="32"/>
  <c r="M23" i="32"/>
  <c r="M24" i="32"/>
  <c r="M25" i="32"/>
  <c r="M26" i="32"/>
  <c r="M27" i="32"/>
  <c r="K16" i="32"/>
  <c r="K17" i="32"/>
  <c r="K22" i="32"/>
  <c r="K23" i="32"/>
  <c r="K24" i="32"/>
  <c r="K25" i="32"/>
  <c r="K26" i="32"/>
  <c r="K27" i="32"/>
  <c r="L29" i="32"/>
  <c r="J29" i="32"/>
  <c r="L28" i="32"/>
  <c r="J28" i="32"/>
  <c r="K6" i="32"/>
  <c r="L6" i="32"/>
  <c r="M6" i="32"/>
  <c r="J7" i="32"/>
  <c r="K7" i="32"/>
  <c r="L7" i="32"/>
  <c r="M7" i="32"/>
  <c r="J8" i="32"/>
  <c r="K8" i="32"/>
  <c r="L8" i="32"/>
  <c r="M8" i="32"/>
  <c r="J9" i="32"/>
  <c r="K9" i="32"/>
  <c r="L9" i="32"/>
  <c r="M9" i="32"/>
  <c r="J12" i="32"/>
  <c r="K12" i="32"/>
  <c r="L12" i="32"/>
  <c r="M12" i="32"/>
  <c r="J13" i="32"/>
  <c r="K13" i="32"/>
  <c r="L13" i="32"/>
  <c r="M13" i="32"/>
  <c r="J16" i="32"/>
  <c r="L16" i="32"/>
  <c r="J17" i="32"/>
  <c r="L17" i="32"/>
  <c r="J18" i="32"/>
  <c r="L18" i="32"/>
  <c r="J19" i="32"/>
  <c r="L19" i="32"/>
  <c r="J22" i="32"/>
  <c r="L22" i="32"/>
  <c r="J23" i="32"/>
  <c r="L23" i="32"/>
  <c r="J24" i="32"/>
  <c r="L24" i="32"/>
  <c r="J25" i="32"/>
  <c r="L25" i="32"/>
  <c r="J26" i="32"/>
  <c r="L26" i="32"/>
  <c r="J27" i="32"/>
  <c r="L27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4" i="32"/>
  <c r="I20" i="21" l="1"/>
  <c r="G7" i="33" s="1"/>
  <c r="H20" i="21"/>
  <c r="J15" i="21"/>
  <c r="L15" i="32"/>
  <c r="M5" i="32"/>
  <c r="J4" i="32"/>
  <c r="M11" i="21"/>
  <c r="K15" i="21"/>
  <c r="L4" i="32"/>
  <c r="M21" i="21"/>
  <c r="K21" i="21"/>
  <c r="F20" i="21"/>
  <c r="L21" i="21"/>
  <c r="J21" i="21"/>
  <c r="L15" i="21"/>
  <c r="H10" i="21"/>
  <c r="K11" i="21"/>
  <c r="G10" i="21"/>
  <c r="M15" i="21"/>
  <c r="L11" i="21"/>
  <c r="F10" i="21"/>
  <c r="J11" i="21"/>
  <c r="M7" i="21"/>
  <c r="L7" i="21"/>
  <c r="J7" i="21"/>
  <c r="K7" i="21"/>
  <c r="K15" i="32"/>
  <c r="K14" i="32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<sst xmlns="http://schemas.openxmlformats.org/spreadsheetml/2006/main" count="126" uniqueCount="82">
  <si>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</si>
  <si>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</si>
  <si>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</si>
  <si>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</si>
  <si>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</si>
  <si>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</si>
  <si>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</si>
  <si>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5" type="noConversion"/>
  </si>
  <si>
    <t xml:space="preserve"> 합  계</t>
    <phoneticPr fontId="5" type="noConversion"/>
  </si>
  <si>
    <t xml:space="preserve"> 외  항</t>
    <phoneticPr fontId="5" type="noConversion"/>
  </si>
  <si>
    <t xml:space="preserve"> 내  항</t>
    <phoneticPr fontId="5" type="noConversion"/>
  </si>
  <si>
    <t>연간누계</t>
    <phoneticPr fontId="5" type="noConversion"/>
  </si>
  <si>
    <t>계</t>
    <phoneticPr fontId="5" type="noConversion"/>
  </si>
  <si>
    <t>환적</t>
    <phoneticPr fontId="5" type="noConversion"/>
  </si>
  <si>
    <t>수출</t>
    <phoneticPr fontId="5" type="noConversion"/>
  </si>
  <si>
    <t>전년동기대비</t>
    <phoneticPr fontId="5" type="noConversion"/>
  </si>
  <si>
    <t>(%)</t>
    <phoneticPr fontId="5" type="noConversion"/>
  </si>
  <si>
    <t>환적</t>
    <phoneticPr fontId="5" type="noConversion"/>
  </si>
  <si>
    <t>D-B</t>
    <phoneticPr fontId="5" type="noConversion"/>
  </si>
  <si>
    <t>컨테</t>
    <phoneticPr fontId="5" type="noConversion"/>
  </si>
  <si>
    <t>이너</t>
    <phoneticPr fontId="5" type="noConversion"/>
  </si>
  <si>
    <t>선박</t>
    <phoneticPr fontId="5" type="noConversion"/>
  </si>
  <si>
    <t>화물</t>
    <phoneticPr fontId="5" type="noConversion"/>
  </si>
  <si>
    <t>(단위:TEU, 100% 기준)</t>
    <phoneticPr fontId="5" type="noConversion"/>
  </si>
  <si>
    <t>(화물)</t>
    <phoneticPr fontId="5" type="noConversion"/>
  </si>
  <si>
    <t xml:space="preserve">   (컨테이너)</t>
    <phoneticPr fontId="5" type="noConversion"/>
  </si>
  <si>
    <t>(평택·당진항)</t>
    <phoneticPr fontId="5" type="noConversion"/>
  </si>
  <si>
    <t xml:space="preserve">  □ 전년 동기대비 비교표</t>
    <phoneticPr fontId="5" type="noConversion"/>
  </si>
  <si>
    <t>■ 연도별 수송실적</t>
    <phoneticPr fontId="21" type="noConversion"/>
  </si>
  <si>
    <t>(단위 : 천톤)</t>
    <phoneticPr fontId="5" type="noConversion"/>
  </si>
  <si>
    <t xml:space="preserve">구분 </t>
    <phoneticPr fontId="5" type="noConversion"/>
  </si>
  <si>
    <t>선박입출항</t>
    <phoneticPr fontId="5" type="noConversion"/>
  </si>
  <si>
    <t>화물입출항</t>
    <phoneticPr fontId="5" type="noConversion"/>
  </si>
  <si>
    <t>(단위 : TEU)</t>
    <phoneticPr fontId="5" type="noConversion"/>
  </si>
  <si>
    <t>(단위 : 명)</t>
    <phoneticPr fontId="5" type="noConversion"/>
  </si>
  <si>
    <t>컨테이너</t>
    <phoneticPr fontId="5" type="noConversion"/>
  </si>
  <si>
    <t>여    객</t>
    <phoneticPr fontId="5" type="noConversion"/>
  </si>
  <si>
    <t xml:space="preserve">  □ 연도별 추이 </t>
  </si>
  <si>
    <t>□ 부두별 컨테이너 물동량</t>
    <phoneticPr fontId="5" type="noConversion"/>
  </si>
  <si>
    <t>구     분</t>
    <phoneticPr fontId="5" type="noConversion"/>
  </si>
  <si>
    <t>단위</t>
    <phoneticPr fontId="21" type="noConversion"/>
  </si>
  <si>
    <t>전년동기대비</t>
    <phoneticPr fontId="5" type="noConversion"/>
  </si>
  <si>
    <t>연간누계</t>
    <phoneticPr fontId="5" type="noConversion"/>
  </si>
  <si>
    <t>C-A</t>
    <phoneticPr fontId="5" type="noConversion"/>
  </si>
  <si>
    <t>(%)</t>
    <phoneticPr fontId="5" type="noConversion"/>
  </si>
  <si>
    <t>D-B</t>
    <phoneticPr fontId="5" type="noConversion"/>
  </si>
  <si>
    <t>합  계</t>
    <phoneticPr fontId="5" type="noConversion"/>
  </si>
  <si>
    <t>TEU</t>
    <phoneticPr fontId="21" type="noConversion"/>
  </si>
  <si>
    <t>톤</t>
    <phoneticPr fontId="21" type="noConversion"/>
  </si>
  <si>
    <t>선박입항 및 화물수송</t>
    <phoneticPr fontId="5" type="noConversion"/>
  </si>
  <si>
    <t xml:space="preserve">     (여객)</t>
    <phoneticPr fontId="5" type="noConversion"/>
  </si>
  <si>
    <t xml:space="preserve">     (화물입출항)</t>
    <phoneticPr fontId="5" type="noConversion"/>
  </si>
  <si>
    <t xml:space="preserve">   (선박입출항)</t>
    <phoneticPr fontId="5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</si>
  <si>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</si>
  <si>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</si>
  <si>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</si>
  <si>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</si>
  <si>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5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</si>
  <si>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</si>
  <si>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</si>
  <si>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</si>
  <si>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</si>
  <si>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</si>
  <si>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</si>
  <si>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</si>
  <si>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</si>
  <si>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</si>
  <si>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-</t>
    <phoneticPr fontId="21" type="noConversion"/>
  </si>
  <si>
    <t>-</t>
    <phoneticPr fontId="21" type="noConversion"/>
  </si>
  <si>
    <t>자동차(대)</t>
    <phoneticPr fontId="5" type="noConversion"/>
  </si>
  <si>
    <t>동부두 9</t>
    <phoneticPr fontId="21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</si>
  <si>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5" type="noConversion"/>
  </si>
  <si>
    <t>소계</t>
    <phoneticPr fontId="5" type="noConversion"/>
  </si>
  <si>
    <t>2019년도</t>
    <phoneticPr fontId="5" type="noConversion"/>
  </si>
  <si>
    <t>2020년도</t>
    <phoneticPr fontId="5" type="noConversion"/>
  </si>
  <si>
    <t>2020년도</t>
    <phoneticPr fontId="5" type="noConversion"/>
  </si>
  <si>
    <t>(단위 : 척)</t>
    <phoneticPr fontId="5" type="noConversion"/>
  </si>
  <si>
    <t>(2020. 5월분)</t>
    <phoneticPr fontId="5" type="noConversion"/>
  </si>
  <si>
    <t>5월(A)</t>
    <phoneticPr fontId="5" type="noConversion"/>
  </si>
  <si>
    <t>5월누계(B)</t>
    <phoneticPr fontId="5" type="noConversion"/>
  </si>
  <si>
    <t>5월(C)</t>
    <phoneticPr fontId="5" type="noConversion"/>
  </si>
  <si>
    <t>5월누계(D)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</si>
</sst>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_);[Red]\(0.0\)"/>
  </numFmts>
  <fonts count="35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1">
    <xf numFmtId="0" fontId="0" fillId="0" borderId="0"/>
    <xf numFmtId="38" fontId="6" fillId="0" borderId="0" applyFont="0" applyFill="0" applyBorder="0" applyAlignment="0" applyProtection="0"/>
    <xf numFmtId="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9" fillId="2" borderId="0" applyNumberFormat="0" applyBorder="0" applyAlignment="0" applyProtection="0"/>
    <xf numFmtId="10" fontId="9" fillId="3" borderId="1" applyNumberFormat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7" fillId="0" borderId="0"/>
    <xf numFmtId="0" fontId="6" fillId="0" borderId="0"/>
    <xf numFmtId="10" fontId="7" fillId="0" borderId="0" applyFont="0" applyFill="0" applyBorder="0" applyAlignment="0" applyProtection="0"/>
    <xf numFmtId="9" fontId="8" fillId="0" borderId="2" applyNumberFormat="0" applyBorder="0"/>
    <xf numFmtId="176" fontId="3" fillId="0" borderId="0" applyFont="0" applyFill="0" applyBorder="0" applyAlignment="0" applyProtection="0"/>
    <xf numFmtId="0" fontId="3" fillId="0" borderId="0"/>
    <xf numFmtId="0" fontId="24" fillId="0" borderId="0">
      <alignment vertical="center"/>
    </xf>
    <xf numFmtId="0" fontId="1" fillId="0" borderId="0">
      <alignment vertical="center"/>
    </xf>
    <xf numFmtId="0" fontId="3" fillId="0" borderId="0"/>
    <xf numFmtId="176" fontId="3" fillId="0" borderId="0" applyFont="0" applyFill="0" applyBorder="0" applyAlignment="0" applyProtection="0"/>
  </cellStyleXfs>
  <cellXfs count="249">
    <xf numFmtId="0" fontId="0" fillId="0" borderId="0" xfId="0"/>
    <xf numFmtId="176" fontId="11" fillId="0" borderId="0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176" fontId="11" fillId="5" borderId="0" xfId="0" applyNumberFormat="1" applyFont="1" applyFill="1" applyBorder="1" applyAlignment="1">
      <alignment horizontal="center" vertical="center"/>
    </xf>
    <xf numFmtId="0" fontId="14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center"/>
    </xf>
    <xf numFmtId="180" fontId="4" fillId="0" borderId="0" xfId="0" applyNumberFormat="1" applyFont="1" applyAlignment="1">
      <alignment horizontal="right" vertical="center"/>
    </xf>
    <xf numFmtId="176" fontId="12" fillId="4" borderId="3" xfId="0" applyNumberFormat="1" applyFont="1" applyFill="1" applyBorder="1" applyAlignment="1">
      <alignment horizontal="right" vertical="center"/>
    </xf>
    <xf numFmtId="176" fontId="15" fillId="4" borderId="1" xfId="0" applyNumberFormat="1" applyFont="1" applyFill="1" applyBorder="1" applyAlignment="1">
      <alignment horizontal="right" vertical="center"/>
    </xf>
    <xf numFmtId="176" fontId="11" fillId="0" borderId="0" xfId="0" applyNumberFormat="1" applyFont="1" applyBorder="1" applyAlignment="1">
      <alignment horizontal="right" vertical="center"/>
    </xf>
    <xf numFmtId="9" fontId="12" fillId="4" borderId="5" xfId="0" quotePrefix="1" applyNumberFormat="1" applyFont="1" applyFill="1" applyBorder="1" applyAlignment="1">
      <alignment horizontal="right" vertical="center"/>
    </xf>
    <xf numFmtId="176" fontId="12" fillId="5" borderId="6" xfId="0" applyNumberFormat="1" applyFont="1" applyFill="1" applyBorder="1" applyAlignment="1">
      <alignment horizontal="right" vertical="center"/>
    </xf>
    <xf numFmtId="9" fontId="11" fillId="5" borderId="5" xfId="0" quotePrefix="1" applyNumberFormat="1" applyFont="1" applyFill="1" applyBorder="1" applyAlignment="1">
      <alignment horizontal="right" vertical="center"/>
    </xf>
    <xf numFmtId="176" fontId="4" fillId="5" borderId="1" xfId="0" applyNumberFormat="1" applyFont="1" applyFill="1" applyBorder="1" applyAlignment="1">
      <alignment horizontal="right" vertical="center"/>
    </xf>
    <xf numFmtId="176" fontId="11" fillId="0" borderId="3" xfId="0" applyNumberFormat="1" applyFont="1" applyBorder="1" applyAlignment="1">
      <alignment horizontal="right" vertical="center"/>
    </xf>
    <xf numFmtId="176" fontId="11" fillId="0" borderId="3" xfId="0" applyNumberFormat="1" applyFont="1" applyFill="1" applyBorder="1" applyAlignment="1">
      <alignment horizontal="right" vertical="center"/>
    </xf>
    <xf numFmtId="9" fontId="11" fillId="0" borderId="5" xfId="0" quotePrefix="1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/>
    </xf>
    <xf numFmtId="9" fontId="15" fillId="4" borderId="7" xfId="0" applyNumberFormat="1" applyFont="1" applyFill="1" applyBorder="1" applyAlignment="1">
      <alignment horizontal="right" vertical="center"/>
    </xf>
    <xf numFmtId="176" fontId="11" fillId="6" borderId="8" xfId="0" applyNumberFormat="1" applyFont="1" applyFill="1" applyBorder="1" applyAlignment="1">
      <alignment horizontal="center" vertical="center"/>
    </xf>
    <xf numFmtId="9" fontId="4" fillId="5" borderId="7" xfId="0" applyNumberFormat="1" applyFont="1" applyFill="1" applyBorder="1" applyAlignment="1">
      <alignment horizontal="right" vertical="center"/>
    </xf>
    <xf numFmtId="9" fontId="4" fillId="0" borderId="7" xfId="0" applyNumberFormat="1" applyFont="1" applyFill="1" applyBorder="1" applyAlignment="1">
      <alignment horizontal="right" vertical="center"/>
    </xf>
    <xf numFmtId="176" fontId="11" fillId="6" borderId="9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left"/>
    </xf>
    <xf numFmtId="0" fontId="11" fillId="5" borderId="0" xfId="0" applyFont="1" applyFill="1" applyBorder="1" applyAlignment="1">
      <alignment horizontal="center"/>
    </xf>
    <xf numFmtId="176" fontId="11" fillId="6" borderId="8" xfId="0" applyNumberFormat="1" applyFont="1" applyFill="1" applyBorder="1" applyAlignment="1">
      <alignment horizontal="left" vertical="center"/>
    </xf>
    <xf numFmtId="176" fontId="11" fillId="6" borderId="11" xfId="0" applyNumberFormat="1" applyFont="1" applyFill="1" applyBorder="1" applyAlignment="1">
      <alignment vertical="center"/>
    </xf>
    <xf numFmtId="176" fontId="11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right" vertical="center"/>
    </xf>
    <xf numFmtId="181" fontId="12" fillId="0" borderId="0" xfId="0" applyNumberFormat="1" applyFont="1" applyFill="1" applyBorder="1" applyAlignment="1">
      <alignment horizontal="right" vertical="center"/>
    </xf>
    <xf numFmtId="9" fontId="12" fillId="0" borderId="0" xfId="0" quotePrefix="1" applyNumberFormat="1" applyFont="1" applyFill="1" applyBorder="1" applyAlignment="1">
      <alignment horizontal="right" vertical="center"/>
    </xf>
    <xf numFmtId="176" fontId="15" fillId="0" borderId="0" xfId="0" applyNumberFormat="1" applyFont="1" applyFill="1" applyBorder="1" applyAlignment="1">
      <alignment horizontal="right" vertical="center"/>
    </xf>
    <xf numFmtId="9" fontId="15" fillId="0" borderId="0" xfId="0" applyNumberFormat="1" applyFont="1" applyFill="1" applyBorder="1" applyAlignment="1">
      <alignment horizontal="right" vertical="center"/>
    </xf>
    <xf numFmtId="176" fontId="12" fillId="6" borderId="15" xfId="0" quotePrefix="1" applyNumberFormat="1" applyFont="1" applyFill="1" applyBorder="1" applyAlignment="1">
      <alignment horizontal="center" vertical="center"/>
    </xf>
    <xf numFmtId="176" fontId="12" fillId="6" borderId="16" xfId="0" applyNumberFormat="1" applyFont="1" applyFill="1" applyBorder="1" applyAlignment="1">
      <alignment horizontal="center" vertical="center"/>
    </xf>
    <xf numFmtId="176" fontId="12" fillId="6" borderId="1" xfId="0" applyNumberFormat="1" applyFont="1" applyFill="1" applyBorder="1" applyAlignment="1">
      <alignment horizontal="center" vertical="center"/>
    </xf>
    <xf numFmtId="9" fontId="12" fillId="6" borderId="5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80" fontId="12" fillId="6" borderId="7" xfId="0" applyNumberFormat="1" applyFont="1" applyFill="1" applyBorder="1" applyAlignment="1">
      <alignment horizontal="center" vertical="center"/>
    </xf>
    <xf numFmtId="182" fontId="12" fillId="4" borderId="3" xfId="0" applyNumberFormat="1" applyFont="1" applyFill="1" applyBorder="1" applyAlignment="1">
      <alignment horizontal="right" vertical="center"/>
    </xf>
    <xf numFmtId="182" fontId="11" fillId="0" borderId="4" xfId="0" applyNumberFormat="1" applyFont="1" applyBorder="1" applyAlignment="1">
      <alignment horizontal="right" vertical="center"/>
    </xf>
    <xf numFmtId="182" fontId="11" fillId="0" borderId="1" xfId="0" applyNumberFormat="1" applyFont="1" applyBorder="1" applyAlignment="1">
      <alignment horizontal="right" vertical="center"/>
    </xf>
    <xf numFmtId="182" fontId="4" fillId="5" borderId="1" xfId="0" applyNumberFormat="1" applyFont="1" applyFill="1" applyBorder="1" applyAlignment="1">
      <alignment horizontal="right" vertical="center"/>
    </xf>
    <xf numFmtId="182" fontId="15" fillId="4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9" fontId="4" fillId="5" borderId="1" xfId="0" applyNumberFormat="1" applyFont="1" applyFill="1" applyBorder="1" applyAlignment="1">
      <alignment horizontal="right" vertical="center"/>
    </xf>
    <xf numFmtId="176" fontId="13" fillId="0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76" fontId="11" fillId="0" borderId="4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41" fontId="11" fillId="0" borderId="1" xfId="0" applyNumberFormat="1" applyFont="1" applyFill="1" applyBorder="1" applyAlignment="1">
      <alignment horizontal="center" vertical="center"/>
    </xf>
    <xf numFmtId="0" fontId="19" fillId="0" borderId="0" xfId="0" applyFont="1"/>
    <xf numFmtId="0" fontId="3" fillId="0" borderId="0" xfId="16"/>
    <xf numFmtId="0" fontId="22" fillId="6" borderId="19" xfId="0" applyFont="1" applyFill="1" applyBorder="1" applyAlignment="1">
      <alignment horizontal="center" vertical="center"/>
    </xf>
    <xf numFmtId="180" fontId="22" fillId="6" borderId="20" xfId="0" quotePrefix="1" applyNumberFormat="1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183" fontId="23" fillId="0" borderId="12" xfId="0" applyNumberFormat="1" applyFont="1" applyBorder="1" applyAlignment="1">
      <alignment vertical="center"/>
    </xf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3" fillId="0" borderId="0" xfId="16" applyAlignment="1">
      <alignment horizontal="right"/>
    </xf>
    <xf numFmtId="180" fontId="3" fillId="0" borderId="0" xfId="16" applyNumberFormat="1" applyAlignment="1">
      <alignment horizontal="right"/>
    </xf>
    <xf numFmtId="0" fontId="4" fillId="0" borderId="0" xfId="16" applyFont="1" applyAlignment="1">
      <alignment horizontal="right" vertical="center"/>
    </xf>
    <xf numFmtId="180" fontId="4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14" fillId="0" borderId="0" xfId="16" applyFont="1" applyAlignment="1">
      <alignment vertical="center"/>
    </xf>
    <xf numFmtId="0" fontId="24" fillId="0" borderId="0" xfId="17">
      <alignment vertical="center"/>
    </xf>
    <xf numFmtId="0" fontId="24" fillId="0" borderId="0" xfId="17" applyAlignment="1">
      <alignment horizontal="right"/>
    </xf>
    <xf numFmtId="180" fontId="24" fillId="0" borderId="0" xfId="17" applyNumberFormat="1" applyAlignment="1">
      <alignment horizontal="right"/>
    </xf>
    <xf numFmtId="0" fontId="4" fillId="0" borderId="0" xfId="17" applyFont="1" applyAlignment="1">
      <alignment horizontal="right" vertical="center"/>
    </xf>
    <xf numFmtId="180" fontId="4" fillId="0" borderId="0" xfId="17" applyNumberFormat="1" applyFont="1" applyAlignment="1">
      <alignment horizontal="right" vertical="center"/>
    </xf>
    <xf numFmtId="176" fontId="12" fillId="6" borderId="20" xfId="17" quotePrefix="1" applyNumberFormat="1" applyFont="1" applyFill="1" applyBorder="1" applyAlignment="1">
      <alignment horizontal="center" vertical="center"/>
    </xf>
    <xf numFmtId="176" fontId="12" fillId="6" borderId="1" xfId="17" applyNumberFormat="1" applyFont="1" applyFill="1" applyBorder="1" applyAlignment="1">
      <alignment horizontal="center" vertical="center"/>
    </xf>
    <xf numFmtId="9" fontId="12" fillId="6" borderId="1" xfId="17" applyNumberFormat="1" applyFont="1" applyFill="1" applyBorder="1" applyAlignment="1">
      <alignment horizontal="center" vertical="center"/>
    </xf>
    <xf numFmtId="0" fontId="15" fillId="6" borderId="1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0" fontId="22" fillId="5" borderId="1" xfId="17" applyFont="1" applyFill="1" applyBorder="1" applyAlignment="1">
      <alignment horizontal="center" vertical="center"/>
    </xf>
    <xf numFmtId="184" fontId="12" fillId="5" borderId="1" xfId="17" quotePrefix="1" applyNumberFormat="1" applyFont="1" applyFill="1" applyBorder="1" applyAlignment="1">
      <alignment horizontal="right" vertical="center"/>
    </xf>
    <xf numFmtId="176" fontId="15" fillId="5" borderId="1" xfId="17" applyNumberFormat="1" applyFont="1" applyFill="1" applyBorder="1" applyAlignment="1">
      <alignment horizontal="right" vertical="center"/>
    </xf>
    <xf numFmtId="0" fontId="22" fillId="5" borderId="4" xfId="17" applyFon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2" fillId="5" borderId="16" xfId="17" applyFont="1" applyFill="1" applyBorder="1" applyAlignment="1">
      <alignment horizontal="center" vertical="center"/>
    </xf>
    <xf numFmtId="0" fontId="27" fillId="0" borderId="0" xfId="17" applyFont="1">
      <alignment vertical="center"/>
    </xf>
    <xf numFmtId="182" fontId="28" fillId="0" borderId="4" xfId="0" applyNumberFormat="1" applyFont="1" applyFill="1" applyBorder="1" applyAlignment="1">
      <alignment horizontal="right" vertical="center"/>
    </xf>
    <xf numFmtId="182" fontId="28" fillId="0" borderId="3" xfId="0" applyNumberFormat="1" applyFont="1" applyFill="1" applyBorder="1" applyAlignment="1">
      <alignment horizontal="right" vertical="center"/>
    </xf>
    <xf numFmtId="9" fontId="28" fillId="0" borderId="5" xfId="0" quotePrefix="1" applyNumberFormat="1" applyFont="1" applyFill="1" applyBorder="1" applyAlignment="1">
      <alignment horizontal="right" vertical="center"/>
    </xf>
    <xf numFmtId="182" fontId="29" fillId="0" borderId="1" xfId="0" applyNumberFormat="1" applyFont="1" applyFill="1" applyBorder="1" applyAlignment="1">
      <alignment horizontal="right" vertical="center"/>
    </xf>
    <xf numFmtId="9" fontId="29" fillId="0" borderId="7" xfId="0" applyNumberFormat="1" applyFont="1" applyFill="1" applyBorder="1" applyAlignment="1">
      <alignment horizontal="right" vertical="center"/>
    </xf>
    <xf numFmtId="182" fontId="28" fillId="5" borderId="4" xfId="0" applyNumberFormat="1" applyFont="1" applyFill="1" applyBorder="1" applyAlignment="1">
      <alignment horizontal="right" vertical="center"/>
    </xf>
    <xf numFmtId="182" fontId="28" fillId="5" borderId="3" xfId="0" applyNumberFormat="1" applyFont="1" applyFill="1" applyBorder="1" applyAlignment="1">
      <alignment horizontal="right" vertical="center"/>
    </xf>
    <xf numFmtId="9" fontId="28" fillId="5" borderId="5" xfId="0" quotePrefix="1" applyNumberFormat="1" applyFont="1" applyFill="1" applyBorder="1" applyAlignment="1">
      <alignment horizontal="right" vertical="center"/>
    </xf>
    <xf numFmtId="182" fontId="29" fillId="5" borderId="1" xfId="0" applyNumberFormat="1" applyFont="1" applyFill="1" applyBorder="1" applyAlignment="1">
      <alignment horizontal="right" vertical="center"/>
    </xf>
    <xf numFmtId="9" fontId="29" fillId="5" borderId="7" xfId="0" applyNumberFormat="1" applyFont="1" applyFill="1" applyBorder="1" applyAlignment="1">
      <alignment horizontal="right" vertical="center"/>
    </xf>
    <xf numFmtId="176" fontId="30" fillId="0" borderId="4" xfId="0" applyNumberFormat="1" applyFont="1" applyFill="1" applyBorder="1" applyAlignment="1">
      <alignment horizontal="center" vertical="center"/>
    </xf>
    <xf numFmtId="176" fontId="30" fillId="5" borderId="4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right" vertical="center"/>
    </xf>
    <xf numFmtId="9" fontId="29" fillId="5" borderId="1" xfId="0" applyNumberFormat="1" applyFont="1" applyFill="1" applyBorder="1" applyAlignment="1">
      <alignment horizontal="right" vertical="center"/>
    </xf>
    <xf numFmtId="176" fontId="29" fillId="5" borderId="1" xfId="0" applyNumberFormat="1" applyFont="1" applyFill="1" applyBorder="1" applyAlignment="1">
      <alignment horizontal="right" vertical="center"/>
    </xf>
    <xf numFmtId="176" fontId="12" fillId="4" borderId="3" xfId="0" applyNumberFormat="1" applyFont="1" applyFill="1" applyBorder="1" applyAlignment="1">
      <alignment horizontal="center" vertical="center" shrinkToFit="1"/>
    </xf>
    <xf numFmtId="176" fontId="12" fillId="4" borderId="3" xfId="0" applyNumberFormat="1" applyFont="1" applyFill="1" applyBorder="1" applyAlignment="1">
      <alignment horizontal="right" vertical="center" shrinkToFit="1"/>
    </xf>
    <xf numFmtId="9" fontId="12" fillId="4" borderId="5" xfId="0" quotePrefix="1" applyNumberFormat="1" applyFont="1" applyFill="1" applyBorder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right" vertical="center" shrinkToFit="1"/>
    </xf>
    <xf numFmtId="183" fontId="31" fillId="0" borderId="23" xfId="0" applyNumberFormat="1" applyFont="1" applyBorder="1" applyAlignment="1">
      <alignment vertical="center"/>
    </xf>
    <xf numFmtId="185" fontId="12" fillId="4" borderId="1" xfId="17" applyNumberFormat="1" applyFont="1" applyFill="1" applyBorder="1" applyAlignment="1">
      <alignment horizontal="right" vertical="center" shrinkToFit="1"/>
    </xf>
    <xf numFmtId="184" fontId="12" fillId="4" borderId="1" xfId="17" quotePrefix="1" applyNumberFormat="1" applyFont="1" applyFill="1" applyBorder="1" applyAlignment="1">
      <alignment horizontal="right" vertical="center" shrinkToFit="1"/>
    </xf>
    <xf numFmtId="176" fontId="15" fillId="4" borderId="1" xfId="17" applyNumberFormat="1" applyFont="1" applyFill="1" applyBorder="1" applyAlignment="1">
      <alignment horizontal="right" vertical="center" shrinkToFit="1"/>
    </xf>
    <xf numFmtId="185" fontId="12" fillId="5" borderId="1" xfId="17" applyNumberFormat="1" applyFont="1" applyFill="1" applyBorder="1" applyAlignment="1">
      <alignment horizontal="right" vertical="center" shrinkToFit="1"/>
    </xf>
    <xf numFmtId="184" fontId="12" fillId="5" borderId="1" xfId="17" quotePrefix="1" applyNumberFormat="1" applyFont="1" applyFill="1" applyBorder="1" applyAlignment="1">
      <alignment horizontal="right" vertical="center" shrinkToFit="1"/>
    </xf>
    <xf numFmtId="176" fontId="15" fillId="5" borderId="1" xfId="17" applyNumberFormat="1" applyFont="1" applyFill="1" applyBorder="1" applyAlignment="1">
      <alignment horizontal="right" vertical="center" shrinkToFit="1"/>
    </xf>
    <xf numFmtId="184" fontId="12" fillId="5" borderId="4" xfId="17" quotePrefix="1" applyNumberFormat="1" applyFont="1" applyFill="1" applyBorder="1" applyAlignment="1">
      <alignment horizontal="right" vertical="center" shrinkToFit="1"/>
    </xf>
    <xf numFmtId="176" fontId="15" fillId="5" borderId="4" xfId="17" applyNumberFormat="1" applyFont="1" applyFill="1" applyBorder="1" applyAlignment="1">
      <alignment horizontal="right" vertical="center" shrinkToFit="1"/>
    </xf>
    <xf numFmtId="184" fontId="12" fillId="5" borderId="16" xfId="17" quotePrefix="1" applyNumberFormat="1" applyFont="1" applyFill="1" applyBorder="1" applyAlignment="1">
      <alignment horizontal="right" vertical="center" shrinkToFit="1"/>
    </xf>
    <xf numFmtId="176" fontId="15" fillId="5" borderId="16" xfId="17" applyNumberFormat="1" applyFont="1" applyFill="1" applyBorder="1" applyAlignment="1">
      <alignment horizontal="right" vertical="center" shrinkToFit="1"/>
    </xf>
    <xf numFmtId="176" fontId="31" fillId="0" borderId="23" xfId="15" applyFont="1" applyBorder="1" applyAlignment="1">
      <alignment vertical="center" shrinkToFit="1"/>
    </xf>
    <xf numFmtId="183" fontId="22" fillId="4" borderId="1" xfId="17" applyNumberFormat="1" applyFont="1" applyFill="1" applyBorder="1" applyAlignment="1">
      <alignment vertical="center" shrinkToFit="1"/>
    </xf>
    <xf numFmtId="183" fontId="23" fillId="0" borderId="1" xfId="17" applyNumberFormat="1" applyFont="1" applyBorder="1" applyAlignment="1">
      <alignment vertical="center" shrinkToFit="1"/>
    </xf>
    <xf numFmtId="183" fontId="23" fillId="0" borderId="16" xfId="17" applyNumberFormat="1" applyFont="1" applyBorder="1" applyAlignment="1">
      <alignment vertical="center" shrinkToFit="1"/>
    </xf>
    <xf numFmtId="183" fontId="23" fillId="0" borderId="12" xfId="0" applyNumberFormat="1" applyFont="1" applyBorder="1" applyAlignment="1">
      <alignment vertical="center" shrinkToFit="1"/>
    </xf>
    <xf numFmtId="183" fontId="31" fillId="0" borderId="23" xfId="0" applyNumberFormat="1" applyFont="1" applyBorder="1" applyAlignment="1">
      <alignment vertical="center" shrinkToFit="1"/>
    </xf>
    <xf numFmtId="180" fontId="12" fillId="6" borderId="25" xfId="17" applyNumberFormat="1" applyFont="1" applyFill="1" applyBorder="1" applyAlignment="1">
      <alignment horizontal="center" vertical="center"/>
    </xf>
    <xf numFmtId="184" fontId="12" fillId="4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/>
    </xf>
    <xf numFmtId="184" fontId="12" fillId="5" borderId="26" xfId="17" quotePrefix="1" applyNumberFormat="1" applyFont="1" applyFill="1" applyBorder="1" applyAlignment="1">
      <alignment horizontal="right" vertical="center" shrinkToFit="1"/>
    </xf>
    <xf numFmtId="184" fontId="12" fillId="5" borderId="27" xfId="17" quotePrefix="1" applyNumberFormat="1" applyFont="1" applyFill="1" applyBorder="1" applyAlignment="1">
      <alignment horizontal="right" vertical="center" shrinkToFit="1"/>
    </xf>
    <xf numFmtId="0" fontId="16" fillId="0" borderId="0" xfId="16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183" fontId="23" fillId="0" borderId="4" xfId="17" applyNumberFormat="1" applyFont="1" applyBorder="1" applyAlignment="1">
      <alignment vertical="center" shrinkToFit="1"/>
    </xf>
    <xf numFmtId="185" fontId="12" fillId="5" borderId="4" xfId="17" applyNumberFormat="1" applyFont="1" applyFill="1" applyBorder="1" applyAlignment="1">
      <alignment horizontal="right" vertical="center" shrinkToFit="1"/>
    </xf>
    <xf numFmtId="0" fontId="22" fillId="5" borderId="28" xfId="17" applyFont="1" applyFill="1" applyBorder="1" applyAlignment="1">
      <alignment horizontal="center" vertical="center"/>
    </xf>
    <xf numFmtId="183" fontId="23" fillId="0" borderId="28" xfId="17" applyNumberFormat="1" applyFont="1" applyBorder="1" applyAlignment="1">
      <alignment vertical="center" shrinkToFit="1"/>
    </xf>
    <xf numFmtId="185" fontId="12" fillId="5" borderId="28" xfId="17" applyNumberFormat="1" applyFont="1" applyFill="1" applyBorder="1" applyAlignment="1">
      <alignment horizontal="right" vertical="center" shrinkToFit="1"/>
    </xf>
    <xf numFmtId="176" fontId="15" fillId="5" borderId="28" xfId="17" applyNumberFormat="1" applyFont="1" applyFill="1" applyBorder="1" applyAlignment="1">
      <alignment horizontal="right" vertical="center" shrinkToFit="1"/>
    </xf>
    <xf numFmtId="0" fontId="0" fillId="0" borderId="0" xfId="16" applyFont="1"/>
    <xf numFmtId="184" fontId="12" fillId="5" borderId="1" xfId="17" applyNumberFormat="1" applyFont="1" applyFill="1" applyBorder="1" applyAlignment="1">
      <alignment horizontal="right" vertical="center" shrinkToFit="1"/>
    </xf>
    <xf numFmtId="184" fontId="12" fillId="5" borderId="28" xfId="17" applyNumberFormat="1" applyFont="1" applyFill="1" applyBorder="1" applyAlignment="1">
      <alignment horizontal="right" vertical="center" shrinkToFit="1"/>
    </xf>
    <xf numFmtId="184" fontId="12" fillId="5" borderId="25" xfId="17" applyNumberFormat="1" applyFont="1" applyFill="1" applyBorder="1" applyAlignment="1">
      <alignment horizontal="right" vertical="center" shrinkToFit="1"/>
    </xf>
    <xf numFmtId="184" fontId="12" fillId="5" borderId="29" xfId="17" applyNumberFormat="1" applyFont="1" applyFill="1" applyBorder="1" applyAlignment="1">
      <alignment horizontal="right" vertical="center" shrinkToFit="1"/>
    </xf>
    <xf numFmtId="184" fontId="12" fillId="5" borderId="4" xfId="17" applyNumberFormat="1" applyFont="1" applyFill="1" applyBorder="1" applyAlignment="1">
      <alignment horizontal="right" vertical="center" shrinkToFit="1"/>
    </xf>
    <xf numFmtId="0" fontId="0" fillId="0" borderId="0" xfId="0" applyFont="1"/>
    <xf numFmtId="181" fontId="12" fillId="4" borderId="12" xfId="0" applyNumberFormat="1" applyFont="1" applyFill="1" applyBorder="1" applyAlignment="1">
      <alignment horizontal="right" vertical="center"/>
    </xf>
    <xf numFmtId="176" fontId="12" fillId="4" borderId="24" xfId="0" applyNumberFormat="1" applyFont="1" applyFill="1" applyBorder="1" applyAlignment="1">
      <alignment horizontal="right" vertical="center" shrinkToFit="1"/>
    </xf>
    <xf numFmtId="9" fontId="12" fillId="4" borderId="13" xfId="0" quotePrefix="1" applyNumberFormat="1" applyFont="1" applyFill="1" applyBorder="1" applyAlignment="1">
      <alignment horizontal="right" vertical="center"/>
    </xf>
    <xf numFmtId="176" fontId="15" fillId="4" borderId="12" xfId="0" applyNumberFormat="1" applyFont="1" applyFill="1" applyBorder="1" applyAlignment="1">
      <alignment horizontal="right" vertical="center"/>
    </xf>
    <xf numFmtId="9" fontId="15" fillId="4" borderId="14" xfId="0" applyNumberFormat="1" applyFont="1" applyFill="1" applyBorder="1" applyAlignment="1">
      <alignment horizontal="right" vertical="center"/>
    </xf>
    <xf numFmtId="176" fontId="33" fillId="0" borderId="23" xfId="15" applyFont="1" applyBorder="1" applyAlignment="1">
      <alignment vertical="center" shrinkToFit="1"/>
    </xf>
    <xf numFmtId="183" fontId="23" fillId="0" borderId="1" xfId="17" applyNumberFormat="1" applyFont="1" applyFill="1" applyBorder="1" applyAlignment="1">
      <alignment vertical="center" shrinkToFit="1"/>
    </xf>
    <xf numFmtId="0" fontId="22" fillId="0" borderId="1" xfId="17" applyFont="1" applyFill="1" applyBorder="1" applyAlignment="1">
      <alignment horizontal="center" vertical="center"/>
    </xf>
    <xf numFmtId="185" fontId="12" fillId="0" borderId="1" xfId="17" applyNumberFormat="1" applyFont="1" applyFill="1" applyBorder="1" applyAlignment="1">
      <alignment horizontal="right" vertical="center" shrinkToFit="1"/>
    </xf>
    <xf numFmtId="184" fontId="12" fillId="0" borderId="1" xfId="17" applyNumberFormat="1" applyFont="1" applyFill="1" applyBorder="1" applyAlignment="1">
      <alignment horizontal="right" vertical="center" shrinkToFit="1"/>
    </xf>
    <xf numFmtId="176" fontId="15" fillId="0" borderId="1" xfId="17" applyNumberFormat="1" applyFont="1" applyFill="1" applyBorder="1" applyAlignment="1">
      <alignment horizontal="right" vertical="center" shrinkToFit="1"/>
    </xf>
    <xf numFmtId="184" fontId="12" fillId="0" borderId="25" xfId="17" quotePrefix="1" applyNumberFormat="1" applyFont="1" applyFill="1" applyBorder="1" applyAlignment="1">
      <alignment horizontal="right" vertical="center" shrinkToFit="1"/>
    </xf>
    <xf numFmtId="0" fontId="22" fillId="0" borderId="4" xfId="17" applyFont="1" applyFill="1" applyBorder="1" applyAlignment="1">
      <alignment horizontal="center" vertical="center"/>
    </xf>
    <xf numFmtId="184" fontId="12" fillId="0" borderId="4" xfId="17" applyNumberFormat="1" applyFont="1" applyFill="1" applyBorder="1" applyAlignment="1">
      <alignment horizontal="right" vertical="center" shrinkToFit="1"/>
    </xf>
    <xf numFmtId="176" fontId="15" fillId="0" borderId="4" xfId="17" applyNumberFormat="1" applyFont="1" applyFill="1" applyBorder="1" applyAlignment="1">
      <alignment horizontal="right" vertical="center" shrinkToFit="1"/>
    </xf>
    <xf numFmtId="184" fontId="12" fillId="0" borderId="26" xfId="17" quotePrefix="1" applyNumberFormat="1" applyFont="1" applyFill="1" applyBorder="1" applyAlignment="1">
      <alignment horizontal="right" vertical="center" shrinkToFit="1"/>
    </xf>
    <xf numFmtId="41" fontId="23" fillId="0" borderId="1" xfId="17" applyNumberFormat="1" applyFont="1" applyFill="1" applyBorder="1" applyAlignment="1">
      <alignment vertical="center" shrinkToFit="1"/>
    </xf>
    <xf numFmtId="41" fontId="23" fillId="0" borderId="1" xfId="17" applyNumberFormat="1" applyFont="1" applyBorder="1" applyAlignment="1">
      <alignment vertical="center" shrinkToFit="1"/>
    </xf>
    <xf numFmtId="41" fontId="11" fillId="0" borderId="1" xfId="0" applyNumberFormat="1" applyFont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86" fontId="22" fillId="6" borderId="21" xfId="0" applyNumberFormat="1" applyFont="1" applyFill="1" applyBorder="1" applyAlignment="1">
      <alignment horizontal="center" vertical="center"/>
    </xf>
    <xf numFmtId="186" fontId="22" fillId="6" borderId="21" xfId="0" quotePrefix="1" applyNumberFormat="1" applyFont="1" applyFill="1" applyBorder="1" applyAlignment="1">
      <alignment horizontal="center" vertical="center"/>
    </xf>
    <xf numFmtId="176" fontId="12" fillId="6" borderId="8" xfId="0" applyNumberFormat="1" applyFont="1" applyFill="1" applyBorder="1" applyAlignment="1">
      <alignment horizontal="left" vertical="center"/>
    </xf>
    <xf numFmtId="176" fontId="34" fillId="6" borderId="17" xfId="0" applyNumberFormat="1" applyFont="1" applyFill="1" applyBorder="1" applyAlignment="1">
      <alignment horizontal="center" vertical="center"/>
    </xf>
    <xf numFmtId="176" fontId="34" fillId="6" borderId="1" xfId="0" applyNumberFormat="1" applyFont="1" applyFill="1" applyBorder="1" applyAlignment="1">
      <alignment horizontal="center" vertical="center"/>
    </xf>
    <xf numFmtId="176" fontId="34" fillId="6" borderId="5" xfId="0" applyNumberFormat="1" applyFont="1" applyFill="1" applyBorder="1" applyAlignment="1">
      <alignment horizontal="center" vertical="center"/>
    </xf>
    <xf numFmtId="41" fontId="28" fillId="0" borderId="3" xfId="0" applyNumberFormat="1" applyFont="1" applyFill="1" applyBorder="1" applyAlignment="1">
      <alignment horizontal="right" vertical="center"/>
    </xf>
    <xf numFmtId="0" fontId="17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/>
    </xf>
    <xf numFmtId="176" fontId="11" fillId="2" borderId="1" xfId="0" applyNumberFormat="1" applyFont="1" applyFill="1" applyBorder="1" applyAlignment="1">
      <alignment horizontal="center" vertical="center"/>
    </xf>
    <xf numFmtId="176" fontId="12" fillId="6" borderId="38" xfId="0" applyNumberFormat="1" applyFont="1" applyFill="1" applyBorder="1" applyAlignment="1">
      <alignment horizontal="center" vertical="center"/>
    </xf>
    <xf numFmtId="176" fontId="12" fillId="6" borderId="39" xfId="0" applyNumberFormat="1" applyFont="1" applyFill="1" applyBorder="1" applyAlignment="1">
      <alignment horizontal="center" vertical="center"/>
    </xf>
    <xf numFmtId="176" fontId="12" fillId="6" borderId="24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0" fontId="14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176" fontId="12" fillId="4" borderId="5" xfId="0" applyNumberFormat="1" applyFont="1" applyFill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2" fillId="6" borderId="32" xfId="0" applyNumberFormat="1" applyFont="1" applyFill="1" applyBorder="1" applyAlignment="1">
      <alignment horizontal="center" vertical="center"/>
    </xf>
    <xf numFmtId="176" fontId="12" fillId="6" borderId="15" xfId="0" applyNumberFormat="1" applyFont="1" applyFill="1" applyBorder="1" applyAlignment="1">
      <alignment horizontal="center" vertical="center"/>
    </xf>
    <xf numFmtId="176" fontId="12" fillId="6" borderId="21" xfId="0" applyNumberFormat="1" applyFont="1" applyFill="1" applyBorder="1" applyAlignment="1">
      <alignment horizontal="center" vertical="center"/>
    </xf>
    <xf numFmtId="176" fontId="12" fillId="6" borderId="33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176" fontId="10" fillId="0" borderId="0" xfId="0" applyNumberFormat="1" applyFont="1" applyAlignment="1">
      <alignment horizontal="center" wrapText="1"/>
    </xf>
    <xf numFmtId="176" fontId="10" fillId="0" borderId="0" xfId="0" applyNumberFormat="1" applyFont="1" applyAlignment="1">
      <alignment horizontal="center"/>
    </xf>
    <xf numFmtId="176" fontId="10" fillId="0" borderId="0" xfId="0" applyNumberFormat="1" applyFont="1" applyAlignment="1">
      <alignment horizontal="center" vertical="top" wrapText="1"/>
    </xf>
    <xf numFmtId="176" fontId="12" fillId="6" borderId="43" xfId="0" applyNumberFormat="1" applyFont="1" applyFill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76" fontId="11" fillId="5" borderId="5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center" vertical="center"/>
    </xf>
    <xf numFmtId="176" fontId="11" fillId="0" borderId="5" xfId="0" applyNumberFormat="1" applyFont="1" applyFill="1" applyBorder="1" applyAlignment="1">
      <alignment horizontal="center" vertical="center"/>
    </xf>
    <xf numFmtId="176" fontId="11" fillId="0" borderId="3" xfId="0" applyNumberFormat="1" applyFont="1" applyFill="1" applyBorder="1" applyAlignment="1">
      <alignment horizontal="center" vertical="center"/>
    </xf>
    <xf numFmtId="176" fontId="1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176" fontId="11" fillId="5" borderId="4" xfId="0" applyNumberFormat="1" applyFont="1" applyFill="1" applyBorder="1" applyAlignment="1">
      <alignment horizontal="center" vertical="center"/>
    </xf>
    <xf numFmtId="176" fontId="11" fillId="5" borderId="30" xfId="0" applyNumberFormat="1" applyFont="1" applyFill="1" applyBorder="1" applyAlignment="1">
      <alignment horizontal="center" vertical="center"/>
    </xf>
    <xf numFmtId="176" fontId="11" fillId="5" borderId="16" xfId="0" applyNumberFormat="1" applyFont="1" applyFill="1" applyBorder="1" applyAlignment="1">
      <alignment horizontal="center" vertical="center"/>
    </xf>
    <xf numFmtId="176" fontId="12" fillId="6" borderId="9" xfId="0" applyNumberFormat="1" applyFont="1" applyFill="1" applyBorder="1" applyAlignment="1">
      <alignment horizontal="center" vertical="center"/>
    </xf>
    <xf numFmtId="176" fontId="12" fillId="6" borderId="8" xfId="0" applyNumberFormat="1" applyFont="1" applyFill="1" applyBorder="1" applyAlignment="1">
      <alignment horizontal="center" vertical="center"/>
    </xf>
    <xf numFmtId="176" fontId="12" fillId="6" borderId="11" xfId="0" applyNumberFormat="1" applyFont="1" applyFill="1" applyBorder="1" applyAlignment="1">
      <alignment horizontal="center" vertical="center"/>
    </xf>
    <xf numFmtId="9" fontId="12" fillId="5" borderId="6" xfId="0" applyNumberFormat="1" applyFont="1" applyFill="1" applyBorder="1" applyAlignment="1">
      <alignment horizontal="right"/>
    </xf>
    <xf numFmtId="9" fontId="12" fillId="5" borderId="6" xfId="0" quotePrefix="1" applyNumberFormat="1" applyFont="1" applyFill="1" applyBorder="1" applyAlignment="1">
      <alignment horizontal="right"/>
    </xf>
    <xf numFmtId="9" fontId="12" fillId="5" borderId="31" xfId="0" quotePrefix="1" applyNumberFormat="1" applyFont="1" applyFill="1" applyBorder="1" applyAlignment="1">
      <alignment horizontal="right"/>
    </xf>
    <xf numFmtId="176" fontId="12" fillId="6" borderId="20" xfId="0" applyNumberFormat="1" applyFont="1" applyFill="1" applyBorder="1" applyAlignment="1">
      <alignment horizontal="center" vertical="center"/>
    </xf>
    <xf numFmtId="176" fontId="11" fillId="2" borderId="4" xfId="0" applyNumberFormat="1" applyFont="1" applyFill="1" applyBorder="1" applyAlignment="1">
      <alignment horizontal="center" vertical="center"/>
    </xf>
    <xf numFmtId="176" fontId="11" fillId="2" borderId="30" xfId="0" applyNumberFormat="1" applyFont="1" applyFill="1" applyBorder="1" applyAlignment="1">
      <alignment horizontal="center" vertical="center"/>
    </xf>
    <xf numFmtId="176" fontId="11" fillId="2" borderId="16" xfId="0" applyNumberFormat="1" applyFont="1" applyFill="1" applyBorder="1" applyAlignment="1">
      <alignment horizontal="center" vertical="center"/>
    </xf>
    <xf numFmtId="180" fontId="0" fillId="0" borderId="18" xfId="0" applyNumberFormat="1" applyBorder="1" applyAlignment="1">
      <alignment horizontal="center"/>
    </xf>
    <xf numFmtId="180" fontId="0" fillId="0" borderId="40" xfId="0" applyNumberFormat="1" applyBorder="1" applyAlignment="1">
      <alignment horizontal="center"/>
    </xf>
    <xf numFmtId="0" fontId="23" fillId="0" borderId="45" xfId="17" applyFont="1" applyBorder="1" applyAlignment="1">
      <alignment horizontal="center" vertical="center"/>
    </xf>
    <xf numFmtId="0" fontId="23" fillId="0" borderId="46" xfId="17" applyFont="1" applyBorder="1" applyAlignment="1">
      <alignment horizontal="center" vertical="center"/>
    </xf>
    <xf numFmtId="0" fontId="23" fillId="0" borderId="47" xfId="17" applyFont="1" applyBorder="1" applyAlignment="1">
      <alignment horizontal="center" vertical="center"/>
    </xf>
    <xf numFmtId="0" fontId="23" fillId="0" borderId="35" xfId="17" applyFont="1" applyBorder="1" applyAlignment="1">
      <alignment horizontal="center" vertical="center"/>
    </xf>
    <xf numFmtId="0" fontId="23" fillId="0" borderId="36" xfId="17" applyFont="1" applyBorder="1" applyAlignment="1">
      <alignment horizontal="center" vertical="center"/>
    </xf>
    <xf numFmtId="0" fontId="23" fillId="0" borderId="37" xfId="17" applyFont="1" applyBorder="1" applyAlignment="1">
      <alignment horizontal="center" vertical="center"/>
    </xf>
    <xf numFmtId="0" fontId="23" fillId="0" borderId="42" xfId="17" applyFont="1" applyBorder="1" applyAlignment="1">
      <alignment horizontal="center" vertical="center"/>
    </xf>
    <xf numFmtId="0" fontId="23" fillId="0" borderId="1" xfId="17" applyFont="1" applyBorder="1" applyAlignment="1">
      <alignment horizontal="center" vertical="center"/>
    </xf>
    <xf numFmtId="0" fontId="23" fillId="0" borderId="44" xfId="17" applyFont="1" applyBorder="1" applyAlignment="1">
      <alignment horizontal="center" vertical="center"/>
    </xf>
    <xf numFmtId="0" fontId="23" fillId="0" borderId="28" xfId="17" applyFont="1" applyBorder="1" applyAlignment="1">
      <alignment horizontal="center" vertical="center"/>
    </xf>
    <xf numFmtId="0" fontId="23" fillId="0" borderId="42" xfId="17" applyFont="1" applyFill="1" applyBorder="1" applyAlignment="1">
      <alignment horizontal="center" vertical="center"/>
    </xf>
    <xf numFmtId="0" fontId="23" fillId="0" borderId="1" xfId="17" applyFont="1" applyFill="1" applyBorder="1" applyAlignment="1">
      <alignment horizontal="center" vertical="center"/>
    </xf>
    <xf numFmtId="0" fontId="23" fillId="0" borderId="9" xfId="17" applyFont="1" applyFill="1" applyBorder="1" applyAlignment="1">
      <alignment horizontal="center" vertical="center"/>
    </xf>
    <xf numFmtId="0" fontId="23" fillId="0" borderId="4" xfId="17" applyFont="1" applyFill="1" applyBorder="1" applyAlignment="1">
      <alignment horizontal="center" vertical="center"/>
    </xf>
    <xf numFmtId="0" fontId="23" fillId="0" borderId="9" xfId="17" applyFont="1" applyBorder="1" applyAlignment="1">
      <alignment horizontal="center" vertical="center"/>
    </xf>
    <xf numFmtId="0" fontId="23" fillId="0" borderId="4" xfId="17" applyFont="1" applyBorder="1" applyAlignment="1">
      <alignment horizontal="center" vertical="center"/>
    </xf>
    <xf numFmtId="176" fontId="12" fillId="6" borderId="20" xfId="17" applyNumberFormat="1" applyFont="1" applyFill="1" applyBorder="1" applyAlignment="1">
      <alignment horizontal="center" vertical="center"/>
    </xf>
    <xf numFmtId="176" fontId="12" fillId="6" borderId="41" xfId="17" applyNumberFormat="1" applyFont="1" applyFill="1" applyBorder="1" applyAlignment="1">
      <alignment horizontal="center" vertical="center"/>
    </xf>
    <xf numFmtId="0" fontId="22" fillId="4" borderId="42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176" fontId="12" fillId="6" borderId="19" xfId="17" applyNumberFormat="1" applyFont="1" applyFill="1" applyBorder="1" applyAlignment="1">
      <alignment horizontal="center" vertical="center"/>
    </xf>
    <xf numFmtId="0" fontId="24" fillId="6" borderId="20" xfId="17" applyFill="1" applyBorder="1">
      <alignment vertical="center"/>
    </xf>
    <xf numFmtId="0" fontId="24" fillId="6" borderId="42" xfId="17" applyFill="1" applyBorder="1">
      <alignment vertical="center"/>
    </xf>
    <xf numFmtId="0" fontId="24" fillId="6" borderId="1" xfId="17" applyFill="1" applyBorder="1">
      <alignment vertical="center"/>
    </xf>
    <xf numFmtId="0" fontId="25" fillId="6" borderId="20" xfId="17" applyFont="1" applyFill="1" applyBorder="1" applyAlignment="1">
      <alignment horizontal="center" vertical="center"/>
    </xf>
    <xf numFmtId="0" fontId="25" fillId="6" borderId="1" xfId="17" applyFont="1" applyFill="1" applyBorder="1" applyAlignment="1">
      <alignment horizontal="center" vertical="center"/>
    </xf>
    <xf numFmtId="176" fontId="12" fillId="6" borderId="32" xfId="17" applyNumberFormat="1" applyFont="1" applyFill="1" applyBorder="1" applyAlignment="1">
      <alignment horizontal="center" vertical="center"/>
    </xf>
    <xf numFmtId="176" fontId="12" fillId="6" borderId="43" xfId="17" applyNumberFormat="1" applyFont="1" applyFill="1" applyBorder="1" applyAlignment="1">
      <alignment horizontal="center" vertical="center"/>
    </xf>
  </cellXfs>
  <cellStyles count="21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표준" xfId="0" builtinId="0"/>
    <cellStyle name="표준 2" xfId="19"/>
    <cellStyle name="표준 3" xfId="18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'19년 5월 누계</c:v>
          </c:tx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통계요약!$G$10</c:f>
              <c:numCache>
                <c:formatCode>#,###,</c:formatCode>
                <c:ptCount val="1"/>
                <c:pt idx="0">
                  <c:v>46298055</c:v>
                </c:pt>
              </c:numCache>
            </c:numRef>
          </c:val>
        </c:ser>
        <c:ser>
          <c:idx val="1"/>
          <c:order val="1"/>
          <c:tx>
            <c:v>'20년 5월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통계요약!$I$10</c:f>
              <c:numCache>
                <c:formatCode>#,###,</c:formatCode>
                <c:ptCount val="1"/>
                <c:pt idx="0">
                  <c:v>45652425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33275648"/>
        <c:axId val="133277184"/>
        <c:axId val="0"/>
      </c:bar3DChart>
      <c:catAx>
        <c:axId val="133275648"/>
        <c:scaling>
          <c:orientation val="minMax"/>
        </c:scaling>
        <c:delete val="1"/>
        <c:axPos val="b"/>
        <c:majorTickMark val="out"/>
        <c:minorTickMark val="none"/>
        <c:tickLblPos val="none"/>
        <c:crossAx val="133277184"/>
        <c:crosses val="autoZero"/>
        <c:auto val="1"/>
        <c:lblAlgn val="ctr"/>
        <c:lblOffset val="100"/>
        <c:noMultiLvlLbl val="0"/>
      </c:catAx>
      <c:valAx>
        <c:axId val="133277184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3275648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2892920642984141"/>
          <c:y val="9.0225651323785877E-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'19년 5월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286768</c:v>
                </c:pt>
              </c:numCache>
            </c:numRef>
          </c:val>
        </c:ser>
        <c:ser>
          <c:idx val="1"/>
          <c:order val="1"/>
          <c:tx>
            <c:v>'20년 5월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294247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33435776"/>
        <c:axId val="133437312"/>
        <c:axId val="0"/>
      </c:bar3DChart>
      <c:catAx>
        <c:axId val="133435776"/>
        <c:scaling>
          <c:orientation val="minMax"/>
        </c:scaling>
        <c:delete val="1"/>
        <c:axPos val="b"/>
        <c:majorTickMark val="out"/>
        <c:minorTickMark val="none"/>
        <c:tickLblPos val="none"/>
        <c:crossAx val="133437312"/>
        <c:crosses val="autoZero"/>
        <c:auto val="1"/>
        <c:lblAlgn val="ctr"/>
        <c:lblOffset val="100"/>
        <c:noMultiLvlLbl val="0"/>
      </c:catAx>
      <c:valAx>
        <c:axId val="133437312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3435776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20.5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102121</c:v>
                </c:pt>
                <c:pt idx="1">
                  <c:v>112948</c:v>
                </c:pt>
                <c:pt idx="2">
                  <c:v>112491</c:v>
                </c:pt>
                <c:pt idx="3">
                  <c:v>115147</c:v>
                </c:pt>
                <c:pt idx="4">
                  <c:v>112966</c:v>
                </c:pt>
                <c:pt idx="5" formatCode="_ * #,##0_ ;_ * \-#,##0_ ;_ * &quot;-&quot;_ ;_ @_ ">
                  <c:v>45652.425000000003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183744"/>
        <c:axId val="133214592"/>
      </c:lineChart>
      <c:catAx>
        <c:axId val="133183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32145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321459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318374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20.5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565661</c:v>
                </c:pt>
                <c:pt idx="1">
                  <c:v>623339</c:v>
                </c:pt>
                <c:pt idx="2">
                  <c:v>643233</c:v>
                </c:pt>
                <c:pt idx="3">
                  <c:v>689852</c:v>
                </c:pt>
                <c:pt idx="4">
                  <c:v>723427</c:v>
                </c:pt>
                <c:pt idx="5">
                  <c:v>294247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362880"/>
        <c:axId val="138364800"/>
      </c:lineChart>
      <c:catAx>
        <c:axId val="138362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83648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836480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836288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20.5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494740</c:v>
                </c:pt>
                <c:pt idx="1">
                  <c:v>435104</c:v>
                </c:pt>
                <c:pt idx="2">
                  <c:v>482428</c:v>
                </c:pt>
                <c:pt idx="3">
                  <c:v>452480</c:v>
                </c:pt>
                <c:pt idx="4">
                  <c:v>623733</c:v>
                </c:pt>
                <c:pt idx="5" formatCode="_ * #,##0_ ;_ * \-#,##0_ ;_ * &quot;-&quot;_ ;_ @_ ">
                  <c:v>40267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388992"/>
        <c:axId val="138390912"/>
      </c:lineChart>
      <c:catAx>
        <c:axId val="138388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83909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839091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838899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20.5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7225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085504"/>
        <c:axId val="138087424"/>
      </c:lineChart>
      <c:catAx>
        <c:axId val="138085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80874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808742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808550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20.5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7225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126464"/>
        <c:axId val="138128384"/>
      </c:lineChart>
      <c:catAx>
        <c:axId val="138126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81283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812838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812646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topLeftCell="A3" zoomScale="115" zoomScaleNormal="115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B3" sqref="B3:M3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3" ht="36" customHeight="1">
      <c r="B1" s="8" t="s">
        <v>26</v>
      </c>
      <c r="L1" s="183"/>
      <c r="M1" s="183"/>
    </row>
    <row r="2" spans="2:13" ht="33" customHeight="1">
      <c r="B2" s="195" t="s">
        <v>49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</row>
    <row r="3" spans="2:13" ht="27.75" customHeight="1">
      <c r="B3" s="197" t="s">
        <v>77</v>
      </c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</row>
    <row r="4" spans="2:13" ht="21.2" customHeight="1" thickBot="1">
      <c r="B4" s="204" t="s">
        <v>71</v>
      </c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</row>
    <row r="5" spans="2:13" ht="21.2" customHeight="1">
      <c r="B5" s="189" t="s">
        <v>7</v>
      </c>
      <c r="C5" s="190"/>
      <c r="D5" s="191"/>
      <c r="E5" s="39"/>
      <c r="F5" s="187" t="s">
        <v>73</v>
      </c>
      <c r="G5" s="198"/>
      <c r="H5" s="215" t="s">
        <v>74</v>
      </c>
      <c r="I5" s="215"/>
      <c r="J5" s="186" t="s">
        <v>15</v>
      </c>
      <c r="K5" s="187"/>
      <c r="L5" s="187"/>
      <c r="M5" s="188"/>
    </row>
    <row r="6" spans="2:13" ht="20.25" customHeight="1">
      <c r="B6" s="192"/>
      <c r="C6" s="193"/>
      <c r="D6" s="194"/>
      <c r="E6" s="40" t="s">
        <v>11</v>
      </c>
      <c r="F6" s="170" t="s">
        <v>78</v>
      </c>
      <c r="G6" s="171" t="s">
        <v>79</v>
      </c>
      <c r="H6" s="170" t="s">
        <v>80</v>
      </c>
      <c r="I6" s="172" t="s">
        <v>81</v>
      </c>
      <c r="J6" s="41" t="s">
        <v>57</v>
      </c>
      <c r="K6" s="42" t="s">
        <v>16</v>
      </c>
      <c r="L6" s="43" t="s">
        <v>18</v>
      </c>
      <c r="M6" s="44" t="s">
        <v>16</v>
      </c>
    </row>
    <row r="7" spans="2:13" ht="21.2" customHeight="1">
      <c r="B7" s="209" t="s">
        <v>21</v>
      </c>
      <c r="C7" s="184" t="s">
        <v>12</v>
      </c>
      <c r="D7" s="185"/>
      <c r="E7" s="13">
        <f>SUM(E8:E9)</f>
        <v>18416</v>
      </c>
      <c r="F7" s="13">
        <f>SUM(F8:F9)</f>
        <v>1607</v>
      </c>
      <c r="G7" s="13">
        <f>SUM(G8:G9)</f>
        <v>7768</v>
      </c>
      <c r="H7" s="13">
        <f>SUM(H8:H9)</f>
        <v>1381</v>
      </c>
      <c r="I7" s="13">
        <f>SUM(I8:I9)</f>
        <v>7225</v>
      </c>
      <c r="J7" s="13">
        <f>H7-F7</f>
        <v>-226</v>
      </c>
      <c r="K7" s="16">
        <f>H7/F7</f>
        <v>0.8593652769135034</v>
      </c>
      <c r="L7" s="14">
        <f>I7-G7</f>
        <v>-543</v>
      </c>
      <c r="M7" s="24">
        <f>I7/G7</f>
        <v>0.93009783728115347</v>
      </c>
    </row>
    <row r="8" spans="2:13" ht="19.5" customHeight="1">
      <c r="B8" s="210"/>
      <c r="C8" s="200" t="s">
        <v>9</v>
      </c>
      <c r="D8" s="201"/>
      <c r="E8" s="20">
        <v>11525</v>
      </c>
      <c r="F8" s="20">
        <v>1001</v>
      </c>
      <c r="G8" s="21">
        <v>4878</v>
      </c>
      <c r="H8" s="20">
        <v>856</v>
      </c>
      <c r="I8" s="20">
        <v>4494</v>
      </c>
      <c r="J8" s="4">
        <f t="shared" ref="J8:J28" si="0">H8-F8</f>
        <v>-145</v>
      </c>
      <c r="K8" s="18">
        <f t="shared" ref="K8:K28" si="1">H8/F8</f>
        <v>0.85514485514485516</v>
      </c>
      <c r="L8" s="19">
        <f t="shared" ref="L8:L28" si="2">I8-G8</f>
        <v>-384</v>
      </c>
      <c r="M8" s="26">
        <f t="shared" ref="M8:M28" si="3">I8/G8</f>
        <v>0.92127921279212788</v>
      </c>
    </row>
    <row r="9" spans="2:13" ht="19.5" customHeight="1">
      <c r="B9" s="211"/>
      <c r="C9" s="202" t="s">
        <v>10</v>
      </c>
      <c r="D9" s="203"/>
      <c r="E9" s="21">
        <v>6891</v>
      </c>
      <c r="F9" s="21">
        <v>606</v>
      </c>
      <c r="G9" s="21">
        <v>2890</v>
      </c>
      <c r="H9" s="21">
        <v>525</v>
      </c>
      <c r="I9" s="21">
        <v>2731</v>
      </c>
      <c r="J9" s="21">
        <f t="shared" si="0"/>
        <v>-81</v>
      </c>
      <c r="K9" s="22">
        <f t="shared" si="1"/>
        <v>0.86633663366336633</v>
      </c>
      <c r="L9" s="23">
        <f t="shared" si="2"/>
        <v>-159</v>
      </c>
      <c r="M9" s="27">
        <f t="shared" si="3"/>
        <v>0.94498269896193776</v>
      </c>
    </row>
    <row r="10" spans="2:13" ht="21.2" customHeight="1">
      <c r="B10" s="209" t="s">
        <v>22</v>
      </c>
      <c r="C10" s="184" t="s">
        <v>8</v>
      </c>
      <c r="D10" s="185"/>
      <c r="E10" s="45">
        <f>E11+E15</f>
        <v>113201331</v>
      </c>
      <c r="F10" s="45">
        <f>F11+F15</f>
        <v>10069283</v>
      </c>
      <c r="G10" s="45">
        <f>G11+G15</f>
        <v>46298055</v>
      </c>
      <c r="H10" s="45">
        <f>H11+H15</f>
        <v>8089720</v>
      </c>
      <c r="I10" s="45">
        <f>I11+I15</f>
        <v>45652425</v>
      </c>
      <c r="J10" s="45">
        <f t="shared" si="0"/>
        <v>-1979563</v>
      </c>
      <c r="K10" s="16">
        <f t="shared" si="1"/>
        <v>0.80340576384634332</v>
      </c>
      <c r="L10" s="49">
        <f>I10-G10</f>
        <v>-645630</v>
      </c>
      <c r="M10" s="24">
        <f t="shared" si="3"/>
        <v>0.9860549217456327</v>
      </c>
    </row>
    <row r="11" spans="2:13" ht="19.5" customHeight="1">
      <c r="B11" s="210"/>
      <c r="C11" s="206" t="s">
        <v>1</v>
      </c>
      <c r="D11" s="99" t="s">
        <v>0</v>
      </c>
      <c r="E11" s="93">
        <f>SUM(E12:E14)</f>
        <v>102609234</v>
      </c>
      <c r="F11" s="93">
        <f>SUM(F12:F14)</f>
        <v>9129521</v>
      </c>
      <c r="G11" s="93">
        <f>SUM(G12:G14)</f>
        <v>42057244</v>
      </c>
      <c r="H11" s="93">
        <f>SUM(H12:H14)</f>
        <v>7144776</v>
      </c>
      <c r="I11" s="93">
        <f>SUM(I12:I14)</f>
        <v>41006793</v>
      </c>
      <c r="J11" s="94">
        <f t="shared" si="0"/>
        <v>-1984745</v>
      </c>
      <c r="K11" s="95">
        <f t="shared" si="1"/>
        <v>0.78260140920865395</v>
      </c>
      <c r="L11" s="96">
        <f t="shared" si="2"/>
        <v>-1050451</v>
      </c>
      <c r="M11" s="97">
        <f t="shared" si="3"/>
        <v>0.97502330395210868</v>
      </c>
    </row>
    <row r="12" spans="2:13" ht="19.5" customHeight="1">
      <c r="B12" s="210"/>
      <c r="C12" s="207"/>
      <c r="D12" s="5" t="s">
        <v>5</v>
      </c>
      <c r="E12" s="46">
        <v>80537389</v>
      </c>
      <c r="F12" s="46">
        <v>7284812</v>
      </c>
      <c r="G12" s="46">
        <v>32653823</v>
      </c>
      <c r="H12" s="46">
        <v>5931604</v>
      </c>
      <c r="I12" s="46">
        <v>33206486</v>
      </c>
      <c r="J12" s="94">
        <f t="shared" si="0"/>
        <v>-1353208</v>
      </c>
      <c r="K12" s="18">
        <f t="shared" si="1"/>
        <v>0.81424256384378901</v>
      </c>
      <c r="L12" s="48">
        <f t="shared" si="2"/>
        <v>552663</v>
      </c>
      <c r="M12" s="26">
        <f t="shared" si="3"/>
        <v>1.0169249095274389</v>
      </c>
    </row>
    <row r="13" spans="2:13" ht="19.5" customHeight="1">
      <c r="B13" s="210"/>
      <c r="C13" s="207"/>
      <c r="D13" s="5" t="s">
        <v>6</v>
      </c>
      <c r="E13" s="46">
        <v>15743706</v>
      </c>
      <c r="F13" s="46">
        <v>1272392</v>
      </c>
      <c r="G13" s="46">
        <v>6869868</v>
      </c>
      <c r="H13" s="46">
        <v>895228</v>
      </c>
      <c r="I13" s="46">
        <v>5585881</v>
      </c>
      <c r="J13" s="94">
        <f t="shared" si="0"/>
        <v>-377164</v>
      </c>
      <c r="K13" s="18">
        <f t="shared" si="1"/>
        <v>0.70357877132204538</v>
      </c>
      <c r="L13" s="48">
        <f t="shared" si="2"/>
        <v>-1283987</v>
      </c>
      <c r="M13" s="26">
        <f t="shared" si="3"/>
        <v>0.81309873785056719</v>
      </c>
    </row>
    <row r="14" spans="2:13" ht="19.5" customHeight="1">
      <c r="B14" s="210"/>
      <c r="C14" s="208"/>
      <c r="D14" s="5" t="s">
        <v>13</v>
      </c>
      <c r="E14" s="46">
        <v>6328139</v>
      </c>
      <c r="F14" s="46">
        <v>572317</v>
      </c>
      <c r="G14" s="46">
        <v>2533553</v>
      </c>
      <c r="H14" s="46">
        <v>317944</v>
      </c>
      <c r="I14" s="46">
        <v>2214426</v>
      </c>
      <c r="J14" s="94">
        <f t="shared" si="0"/>
        <v>-254373</v>
      </c>
      <c r="K14" s="18">
        <f>H14/F14</f>
        <v>0.55553827686404567</v>
      </c>
      <c r="L14" s="48">
        <f t="shared" si="2"/>
        <v>-319127</v>
      </c>
      <c r="M14" s="26">
        <f t="shared" si="3"/>
        <v>0.87403973787009781</v>
      </c>
    </row>
    <row r="15" spans="2:13" ht="19.5" customHeight="1">
      <c r="B15" s="210"/>
      <c r="C15" s="216" t="s">
        <v>2</v>
      </c>
      <c r="D15" s="98" t="s">
        <v>0</v>
      </c>
      <c r="E15" s="88">
        <f>SUM(E16:E18)</f>
        <v>10592097</v>
      </c>
      <c r="F15" s="88">
        <f>SUM(F16:F18)</f>
        <v>939762</v>
      </c>
      <c r="G15" s="88">
        <f>SUM(G16:G18)</f>
        <v>4240811</v>
      </c>
      <c r="H15" s="88">
        <f>SUM(H16:H18)</f>
        <v>944944</v>
      </c>
      <c r="I15" s="88">
        <f>SUM(I16:I18)</f>
        <v>4645632</v>
      </c>
      <c r="J15" s="89">
        <f t="shared" si="0"/>
        <v>5182</v>
      </c>
      <c r="K15" s="90">
        <f t="shared" si="1"/>
        <v>1.0055141620963606</v>
      </c>
      <c r="L15" s="91">
        <f t="shared" si="2"/>
        <v>404821</v>
      </c>
      <c r="M15" s="92">
        <f t="shared" si="3"/>
        <v>1.0954583922744965</v>
      </c>
    </row>
    <row r="16" spans="2:13" ht="19.5" customHeight="1">
      <c r="B16" s="210"/>
      <c r="C16" s="217"/>
      <c r="D16" s="5" t="s">
        <v>3</v>
      </c>
      <c r="E16" s="46">
        <v>7499173</v>
      </c>
      <c r="F16" s="46">
        <v>674102</v>
      </c>
      <c r="G16" s="46">
        <v>2963182</v>
      </c>
      <c r="H16" s="46">
        <v>676569</v>
      </c>
      <c r="I16" s="46">
        <v>3321933</v>
      </c>
      <c r="J16" s="89">
        <f t="shared" si="0"/>
        <v>2467</v>
      </c>
      <c r="K16" s="18">
        <f t="shared" si="1"/>
        <v>1.0036596835493738</v>
      </c>
      <c r="L16" s="48">
        <f t="shared" si="2"/>
        <v>358751</v>
      </c>
      <c r="M16" s="26">
        <f t="shared" si="3"/>
        <v>1.121069512436293</v>
      </c>
    </row>
    <row r="17" spans="1:13" ht="19.5" customHeight="1">
      <c r="B17" s="210"/>
      <c r="C17" s="217"/>
      <c r="D17" s="6" t="s">
        <v>4</v>
      </c>
      <c r="E17" s="47">
        <v>3086684</v>
      </c>
      <c r="F17" s="47">
        <v>265660</v>
      </c>
      <c r="G17" s="47">
        <v>1277629</v>
      </c>
      <c r="H17" s="47">
        <v>266142</v>
      </c>
      <c r="I17" s="47">
        <v>1317297</v>
      </c>
      <c r="J17" s="173">
        <v>0</v>
      </c>
      <c r="K17" s="18">
        <f t="shared" si="1"/>
        <v>1.0018143491681095</v>
      </c>
      <c r="L17" s="48">
        <f t="shared" si="2"/>
        <v>39668</v>
      </c>
      <c r="M17" s="26">
        <f t="shared" si="3"/>
        <v>1.0310481368221918</v>
      </c>
    </row>
    <row r="18" spans="1:13" ht="19.5" customHeight="1">
      <c r="B18" s="211"/>
      <c r="C18" s="218"/>
      <c r="D18" s="6" t="s">
        <v>17</v>
      </c>
      <c r="E18" s="47">
        <v>6240</v>
      </c>
      <c r="F18" s="165">
        <v>0</v>
      </c>
      <c r="G18" s="165">
        <v>0</v>
      </c>
      <c r="H18" s="47">
        <v>2233</v>
      </c>
      <c r="I18" s="47">
        <v>6402</v>
      </c>
      <c r="J18" s="89">
        <f t="shared" si="0"/>
        <v>2233</v>
      </c>
      <c r="K18" s="18" t="e">
        <f t="shared" si="1"/>
        <v>#DIV/0!</v>
      </c>
      <c r="L18" s="48">
        <f t="shared" si="2"/>
        <v>6402</v>
      </c>
      <c r="M18" s="26" t="e">
        <f t="shared" si="3"/>
        <v>#DIV/0!</v>
      </c>
    </row>
    <row r="19" spans="1:13" ht="20.100000000000001" customHeight="1">
      <c r="B19" s="29"/>
      <c r="C19" s="30"/>
      <c r="D19" s="7"/>
      <c r="E19" s="15"/>
      <c r="F19" s="1"/>
      <c r="G19" s="1"/>
      <c r="H19" s="1"/>
      <c r="I19" s="15"/>
      <c r="J19" s="17"/>
      <c r="K19" s="212" t="s">
        <v>23</v>
      </c>
      <c r="L19" s="213"/>
      <c r="M19" s="214"/>
    </row>
    <row r="20" spans="1:13" ht="21.2" customHeight="1">
      <c r="B20" s="28"/>
      <c r="C20" s="184" t="s">
        <v>8</v>
      </c>
      <c r="D20" s="185"/>
      <c r="E20" s="105">
        <f>SUM(E21,E25)</f>
        <v>725047</v>
      </c>
      <c r="F20" s="3">
        <f>SUM(F21,F25)</f>
        <v>62781</v>
      </c>
      <c r="G20" s="3">
        <f>SUM(G21,G25)</f>
        <v>286768</v>
      </c>
      <c r="H20" s="105">
        <f>SUM(H21,H25)</f>
        <v>66398</v>
      </c>
      <c r="I20" s="105">
        <f>SUM(I21,I25)</f>
        <v>294247</v>
      </c>
      <c r="J20" s="106">
        <f t="shared" si="0"/>
        <v>3617</v>
      </c>
      <c r="K20" s="107">
        <f t="shared" si="1"/>
        <v>1.0576129720775393</v>
      </c>
      <c r="L20" s="108">
        <f t="shared" si="2"/>
        <v>7479</v>
      </c>
      <c r="M20" s="24">
        <f>I20/G20</f>
        <v>1.0260803157953469</v>
      </c>
    </row>
    <row r="21" spans="1:13" ht="19.5" customHeight="1">
      <c r="B21" s="25"/>
      <c r="C21" s="199" t="s">
        <v>1</v>
      </c>
      <c r="D21" s="100" t="s">
        <v>0</v>
      </c>
      <c r="E21" s="101">
        <f>SUM(E22:E24)</f>
        <v>725047</v>
      </c>
      <c r="F21" s="101">
        <f>SUM(F22:F24)</f>
        <v>62781</v>
      </c>
      <c r="G21" s="101">
        <f>SUM(G22:G24)</f>
        <v>286768</v>
      </c>
      <c r="H21" s="101">
        <f>SUM(H22:H24)</f>
        <v>66398</v>
      </c>
      <c r="I21" s="101">
        <f>SUM(I22:I24)</f>
        <v>294247</v>
      </c>
      <c r="J21" s="102">
        <f t="shared" si="0"/>
        <v>3617</v>
      </c>
      <c r="K21" s="103">
        <f t="shared" si="1"/>
        <v>1.0576129720775393</v>
      </c>
      <c r="L21" s="104">
        <f t="shared" si="2"/>
        <v>7479</v>
      </c>
      <c r="M21" s="97">
        <f t="shared" si="3"/>
        <v>1.0260803157953469</v>
      </c>
    </row>
    <row r="22" spans="1:13" ht="19.5" customHeight="1">
      <c r="B22" s="169" t="s">
        <v>19</v>
      </c>
      <c r="C22" s="199"/>
      <c r="D22" s="52" t="s">
        <v>5</v>
      </c>
      <c r="E22" s="54">
        <v>359665</v>
      </c>
      <c r="F22" s="54">
        <v>31124</v>
      </c>
      <c r="G22" s="54">
        <v>143582</v>
      </c>
      <c r="H22" s="54">
        <v>33487</v>
      </c>
      <c r="I22" s="54">
        <v>145999</v>
      </c>
      <c r="J22" s="102">
        <f t="shared" si="0"/>
        <v>2363</v>
      </c>
      <c r="K22" s="51">
        <f t="shared" si="1"/>
        <v>1.0759221179796941</v>
      </c>
      <c r="L22" s="23">
        <f t="shared" si="2"/>
        <v>2417</v>
      </c>
      <c r="M22" s="26">
        <f t="shared" si="3"/>
        <v>1.0168335863826943</v>
      </c>
    </row>
    <row r="23" spans="1:13" ht="19.5" customHeight="1">
      <c r="B23" s="169" t="s">
        <v>20</v>
      </c>
      <c r="C23" s="199"/>
      <c r="D23" s="2" t="s">
        <v>14</v>
      </c>
      <c r="E23" s="54">
        <v>353048</v>
      </c>
      <c r="F23" s="54">
        <v>30514</v>
      </c>
      <c r="G23" s="54">
        <v>138117</v>
      </c>
      <c r="H23" s="54">
        <v>32247</v>
      </c>
      <c r="I23" s="54">
        <v>142304</v>
      </c>
      <c r="J23" s="102">
        <f t="shared" si="0"/>
        <v>1733</v>
      </c>
      <c r="K23" s="51">
        <f t="shared" si="1"/>
        <v>1.0567936029363572</v>
      </c>
      <c r="L23" s="19">
        <f t="shared" si="2"/>
        <v>4187</v>
      </c>
      <c r="M23" s="26">
        <f t="shared" si="3"/>
        <v>1.0303148779657827</v>
      </c>
    </row>
    <row r="24" spans="1:13" ht="19.5" customHeight="1">
      <c r="B24" s="31"/>
      <c r="C24" s="199"/>
      <c r="D24" s="2" t="s">
        <v>13</v>
      </c>
      <c r="E24" s="54">
        <v>12334</v>
      </c>
      <c r="F24" s="54">
        <v>1143</v>
      </c>
      <c r="G24" s="54">
        <v>5069</v>
      </c>
      <c r="H24" s="54">
        <v>664</v>
      </c>
      <c r="I24" s="54">
        <v>5944</v>
      </c>
      <c r="J24" s="102">
        <f t="shared" si="0"/>
        <v>-479</v>
      </c>
      <c r="K24" s="51">
        <f t="shared" si="1"/>
        <v>0.58092738407699041</v>
      </c>
      <c r="L24" s="19">
        <f t="shared" si="2"/>
        <v>875</v>
      </c>
      <c r="M24" s="26">
        <f t="shared" si="3"/>
        <v>1.1726178733478003</v>
      </c>
    </row>
    <row r="25" spans="1:13" ht="19.5" customHeight="1">
      <c r="B25" s="25"/>
      <c r="C25" s="176" t="s">
        <v>2</v>
      </c>
      <c r="D25" s="100" t="s">
        <v>72</v>
      </c>
      <c r="E25" s="101">
        <f>SUM(E26:E27)</f>
        <v>0</v>
      </c>
      <c r="F25" s="101">
        <f>SUM(F26:F27)</f>
        <v>0</v>
      </c>
      <c r="G25" s="101">
        <f>SUM(G26:G27)</f>
        <v>0</v>
      </c>
      <c r="H25" s="101">
        <f>SUM(H26:H27)</f>
        <v>0</v>
      </c>
      <c r="I25" s="101">
        <f>SUM(I26:I27)</f>
        <v>0</v>
      </c>
      <c r="J25" s="102">
        <f t="shared" si="0"/>
        <v>0</v>
      </c>
      <c r="K25" s="51" t="e">
        <f t="shared" si="1"/>
        <v>#DIV/0!</v>
      </c>
      <c r="L25" s="19">
        <f t="shared" si="2"/>
        <v>0</v>
      </c>
      <c r="M25" s="26" t="e">
        <f t="shared" si="3"/>
        <v>#DIV/0!</v>
      </c>
    </row>
    <row r="26" spans="1:13" ht="19.5" customHeight="1">
      <c r="B26" s="25"/>
      <c r="C26" s="176"/>
      <c r="D26" s="100" t="s">
        <v>72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102">
        <f t="shared" si="0"/>
        <v>0</v>
      </c>
      <c r="K26" s="51" t="e">
        <f t="shared" si="1"/>
        <v>#DIV/0!</v>
      </c>
      <c r="L26" s="19">
        <f t="shared" si="2"/>
        <v>0</v>
      </c>
      <c r="M26" s="26" t="e">
        <f t="shared" si="3"/>
        <v>#DIV/0!</v>
      </c>
    </row>
    <row r="27" spans="1:13" ht="19.5" customHeight="1">
      <c r="B27" s="32"/>
      <c r="C27" s="176"/>
      <c r="D27" s="100" t="s">
        <v>72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102">
        <f t="shared" si="0"/>
        <v>0</v>
      </c>
      <c r="K27" s="51" t="e">
        <f t="shared" si="1"/>
        <v>#DIV/0!</v>
      </c>
      <c r="L27" s="19">
        <f t="shared" si="2"/>
        <v>0</v>
      </c>
      <c r="M27" s="26" t="e">
        <f t="shared" si="3"/>
        <v>#DIV/0!</v>
      </c>
    </row>
    <row r="28" spans="1:13" s="146" customFormat="1" ht="21.2" customHeight="1" thickBot="1">
      <c r="B28" s="177" t="s">
        <v>69</v>
      </c>
      <c r="C28" s="178"/>
      <c r="D28" s="179"/>
      <c r="E28" s="147">
        <v>1523131</v>
      </c>
      <c r="F28" s="147">
        <v>134531</v>
      </c>
      <c r="G28" s="147">
        <v>605983</v>
      </c>
      <c r="H28" s="147">
        <v>63462</v>
      </c>
      <c r="I28" s="147">
        <v>496501</v>
      </c>
      <c r="J28" s="148">
        <f t="shared" si="0"/>
        <v>-71069</v>
      </c>
      <c r="K28" s="149">
        <f t="shared" si="1"/>
        <v>0.4717277058819157</v>
      </c>
      <c r="L28" s="150">
        <f t="shared" si="2"/>
        <v>-109482</v>
      </c>
      <c r="M28" s="151">
        <f t="shared" si="3"/>
        <v>0.8193315654069504</v>
      </c>
    </row>
    <row r="29" spans="1:13" ht="12.75" customHeight="1">
      <c r="B29" s="33"/>
      <c r="C29" s="33"/>
      <c r="D29" s="33"/>
      <c r="E29" s="34"/>
      <c r="F29" s="35"/>
      <c r="G29" s="35"/>
      <c r="H29" s="35"/>
      <c r="I29" s="35"/>
      <c r="J29" s="34"/>
      <c r="K29" s="36"/>
      <c r="L29" s="37"/>
      <c r="M29" s="38"/>
    </row>
    <row r="30" spans="1:13" s="182" customFormat="1" ht="18.75" customHeight="1">
      <c r="A30" s="182" t="s">
        <v>27</v>
      </c>
    </row>
    <row r="31" spans="1:13" s="53" customFormat="1" ht="21.2" customHeight="1">
      <c r="B31" s="181" t="s">
        <v>24</v>
      </c>
      <c r="C31" s="181"/>
      <c r="D31" s="133"/>
      <c r="E31" s="133"/>
      <c r="F31" s="133"/>
      <c r="G31" s="133"/>
      <c r="H31" s="181" t="s">
        <v>25</v>
      </c>
      <c r="I31" s="181"/>
    </row>
    <row r="32" spans="1:13" s="50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50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50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50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180" customFormat="1" ht="24" customHeight="1"/>
    <row r="41" spans="2:13" ht="19.5" customHeight="1">
      <c r="B41" s="174"/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</row>
    <row r="42" spans="2:13" ht="19.5" customHeight="1">
      <c r="B42" s="174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</row>
  </sheetData>
  <mergeCells count="27"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  <mergeCell ref="L1:M1"/>
    <mergeCell ref="C10:D10"/>
    <mergeCell ref="C7:D7"/>
    <mergeCell ref="J5:M5"/>
    <mergeCell ref="B5:D6"/>
    <mergeCell ref="B2:M2"/>
    <mergeCell ref="B3:M3"/>
    <mergeCell ref="F5:G5"/>
    <mergeCell ref="B41:M41"/>
    <mergeCell ref="B42:M42"/>
    <mergeCell ref="C25:C27"/>
    <mergeCell ref="B28:D28"/>
    <mergeCell ref="A40:XFD40"/>
    <mergeCell ref="B31:C31"/>
    <mergeCell ref="H31:I31"/>
    <mergeCell ref="A30:XFD30"/>
  </mergeCells>
  <phoneticPr fontId="5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zoomScale="85" zoomScaleNormal="85" workbookViewId="0">
      <selection activeCell="A2" sqref="A2"/>
    </sheetView>
  </sheetViews>
  <sheetFormatPr defaultRowHeight="14.25"/>
  <cols>
    <col min="1" max="1" width="11.25" customWidth="1"/>
    <col min="2" max="6" width="8.75" customWidth="1"/>
    <col min="7" max="7" width="9.75" customWidth="1"/>
    <col min="8" max="8" width="12.125" customWidth="1"/>
    <col min="9" max="13" width="8.875" customWidth="1"/>
    <col min="14" max="14" width="13.375" customWidth="1"/>
    <col min="17" max="17" width="10.75" bestFit="1" customWidth="1"/>
  </cols>
  <sheetData>
    <row r="1" spans="1:27" s="58" customFormat="1" ht="18.75">
      <c r="A1" s="57" t="s">
        <v>28</v>
      </c>
    </row>
    <row r="2" spans="1:27" s="58" customFormat="1" ht="15" thickBot="1">
      <c r="A2"/>
      <c r="B2"/>
      <c r="C2"/>
      <c r="D2" s="166"/>
      <c r="E2" s="166"/>
      <c r="F2" s="219" t="s">
        <v>76</v>
      </c>
      <c r="G2" s="219"/>
      <c r="H2"/>
      <c r="I2"/>
      <c r="J2"/>
      <c r="K2" s="166"/>
      <c r="L2" s="166"/>
      <c r="M2" s="219" t="s">
        <v>29</v>
      </c>
      <c r="N2" s="219"/>
    </row>
    <row r="3" spans="1:27" s="58" customFormat="1" ht="32.25" customHeight="1">
      <c r="A3" s="59" t="s">
        <v>30</v>
      </c>
      <c r="B3" s="60">
        <v>15</v>
      </c>
      <c r="C3" s="60">
        <v>16</v>
      </c>
      <c r="D3" s="60">
        <v>17</v>
      </c>
      <c r="E3" s="60">
        <v>18</v>
      </c>
      <c r="F3" s="60">
        <v>19</v>
      </c>
      <c r="G3" s="167">
        <v>20.5</v>
      </c>
      <c r="H3" s="61" t="s">
        <v>30</v>
      </c>
      <c r="I3" s="60">
        <v>15</v>
      </c>
      <c r="J3" s="60">
        <v>16</v>
      </c>
      <c r="K3" s="60">
        <v>17</v>
      </c>
      <c r="L3" s="60">
        <v>18</v>
      </c>
      <c r="M3" s="60">
        <v>19</v>
      </c>
      <c r="N3" s="168">
        <f>$G$3</f>
        <v>20.5</v>
      </c>
    </row>
    <row r="4" spans="1:27" s="58" customFormat="1" ht="39.200000000000003" customHeight="1" thickBot="1">
      <c r="A4" s="85" t="s">
        <v>31</v>
      </c>
      <c r="B4" s="62">
        <v>19166</v>
      </c>
      <c r="C4" s="62">
        <v>19916</v>
      </c>
      <c r="D4" s="62">
        <v>19440</v>
      </c>
      <c r="E4" s="62">
        <v>18829</v>
      </c>
      <c r="F4" s="62">
        <v>18385</v>
      </c>
      <c r="G4" s="109">
        <f>통계요약!I7</f>
        <v>7225</v>
      </c>
      <c r="H4" s="85" t="s">
        <v>32</v>
      </c>
      <c r="I4" s="62">
        <v>102121</v>
      </c>
      <c r="J4" s="62">
        <v>112948</v>
      </c>
      <c r="K4" s="62">
        <v>112491</v>
      </c>
      <c r="L4" s="62">
        <v>115147</v>
      </c>
      <c r="M4" s="62">
        <v>112966</v>
      </c>
      <c r="N4" s="120">
        <f>통계요약!I10/1000</f>
        <v>45652.425000000003</v>
      </c>
    </row>
    <row r="5" spans="1:27" s="58" customFormat="1" ht="30.2" customHeight="1" thickBot="1">
      <c r="A5"/>
      <c r="B5"/>
      <c r="C5"/>
      <c r="D5" s="166"/>
      <c r="E5" s="166"/>
      <c r="F5" s="220" t="s">
        <v>33</v>
      </c>
      <c r="G5" s="220"/>
      <c r="H5" s="63"/>
      <c r="I5" s="64"/>
      <c r="J5" s="64"/>
      <c r="K5" s="166"/>
      <c r="L5" s="166"/>
      <c r="M5" s="220" t="s">
        <v>34</v>
      </c>
      <c r="N5" s="220"/>
    </row>
    <row r="6" spans="1:27" s="58" customFormat="1" ht="32.25" customHeight="1">
      <c r="A6" s="59" t="s">
        <v>30</v>
      </c>
      <c r="B6" s="60">
        <v>15</v>
      </c>
      <c r="C6" s="60">
        <v>16</v>
      </c>
      <c r="D6" s="60">
        <v>17</v>
      </c>
      <c r="E6" s="60">
        <v>18</v>
      </c>
      <c r="F6" s="60">
        <v>19</v>
      </c>
      <c r="G6" s="168">
        <f>$G$3</f>
        <v>20.5</v>
      </c>
      <c r="H6" s="61" t="s">
        <v>30</v>
      </c>
      <c r="I6" s="60">
        <v>15</v>
      </c>
      <c r="J6" s="60">
        <v>16</v>
      </c>
      <c r="K6" s="60">
        <v>17</v>
      </c>
      <c r="L6" s="60">
        <v>18</v>
      </c>
      <c r="M6" s="60">
        <v>19</v>
      </c>
      <c r="N6" s="168">
        <f>$G$3</f>
        <v>20.5</v>
      </c>
    </row>
    <row r="7" spans="1:27" s="58" customFormat="1" ht="37.5" customHeight="1" thickBot="1">
      <c r="A7" s="85" t="s">
        <v>35</v>
      </c>
      <c r="B7" s="124">
        <v>565661</v>
      </c>
      <c r="C7" s="124">
        <v>623339</v>
      </c>
      <c r="D7" s="124">
        <v>643233</v>
      </c>
      <c r="E7" s="124">
        <v>689852</v>
      </c>
      <c r="F7" s="124">
        <v>723427</v>
      </c>
      <c r="G7" s="125">
        <f>통계요약!I20</f>
        <v>294247</v>
      </c>
      <c r="H7" s="85" t="s">
        <v>36</v>
      </c>
      <c r="I7" s="62">
        <v>494740</v>
      </c>
      <c r="J7" s="62">
        <v>435104</v>
      </c>
      <c r="K7" s="62">
        <v>482428</v>
      </c>
      <c r="L7" s="62">
        <v>452480</v>
      </c>
      <c r="M7" s="62">
        <v>623733</v>
      </c>
      <c r="N7" s="152">
        <v>40267</v>
      </c>
      <c r="AA7" s="140">
        <f>(19166/188141)^(1/4)-1</f>
        <v>-0.43504740355323723</v>
      </c>
    </row>
    <row r="12" spans="1:27" s="70" customFormat="1" ht="25.5" customHeight="1">
      <c r="A12" s="70" t="s">
        <v>37</v>
      </c>
    </row>
    <row r="13" spans="1:27" s="58" customFormat="1" ht="21.2" customHeight="1">
      <c r="A13" s="132" t="s">
        <v>52</v>
      </c>
      <c r="H13" s="132" t="s">
        <v>51</v>
      </c>
      <c r="I13" s="65"/>
      <c r="J13" s="66"/>
      <c r="K13" s="67"/>
      <c r="L13" s="68"/>
      <c r="M13" s="68"/>
      <c r="N13" s="68"/>
    </row>
    <row r="14" spans="1:27" s="58" customFormat="1" ht="24" customHeight="1">
      <c r="I14" s="65"/>
      <c r="J14" s="66"/>
      <c r="K14" s="67"/>
      <c r="L14" s="68"/>
      <c r="M14" s="68"/>
      <c r="N14" s="68"/>
    </row>
    <row r="15" spans="1:27" s="58" customFormat="1" ht="24" customHeight="1">
      <c r="I15" s="65"/>
      <c r="J15" s="66"/>
      <c r="K15" s="67"/>
      <c r="L15" s="68"/>
      <c r="M15" s="68"/>
      <c r="N15" s="68"/>
    </row>
    <row r="16" spans="1:27" s="58" customFormat="1" ht="24" customHeight="1">
      <c r="I16" s="65"/>
      <c r="J16" s="66"/>
      <c r="K16" s="67"/>
      <c r="L16" s="68"/>
      <c r="M16" s="68"/>
      <c r="N16" s="68"/>
    </row>
    <row r="17" spans="1:14" s="58" customFormat="1" ht="24" customHeight="1">
      <c r="I17" s="65"/>
      <c r="J17" s="66"/>
      <c r="K17" s="67"/>
      <c r="L17" s="68"/>
      <c r="M17" s="68"/>
      <c r="N17" s="68"/>
    </row>
    <row r="18" spans="1:14" s="58" customFormat="1" ht="24" customHeight="1">
      <c r="I18" s="65"/>
      <c r="J18" s="66"/>
      <c r="K18" s="67"/>
      <c r="L18" s="68"/>
      <c r="M18" s="68"/>
      <c r="N18" s="68"/>
    </row>
    <row r="19" spans="1:14" s="58" customFormat="1" ht="24" customHeight="1">
      <c r="I19" s="65"/>
      <c r="J19" s="66"/>
      <c r="K19" s="67"/>
      <c r="L19" s="68"/>
      <c r="M19" s="68"/>
      <c r="N19" s="68"/>
    </row>
    <row r="20" spans="1:14" s="58" customFormat="1" ht="24" customHeight="1">
      <c r="I20" s="65"/>
      <c r="J20" s="66"/>
      <c r="K20" s="67"/>
      <c r="L20" s="68"/>
      <c r="M20" s="68"/>
      <c r="N20" s="68"/>
    </row>
    <row r="21" spans="1:14" s="58" customFormat="1" ht="24" customHeight="1">
      <c r="I21" s="65"/>
      <c r="J21" s="66"/>
      <c r="K21" s="67"/>
      <c r="L21" s="68"/>
      <c r="M21" s="68"/>
      <c r="N21" s="68"/>
    </row>
    <row r="22" spans="1:14" s="58" customFormat="1" ht="36" customHeight="1">
      <c r="I22" s="65"/>
      <c r="J22" s="66"/>
      <c r="K22" s="67"/>
      <c r="L22" s="68"/>
      <c r="M22" s="68"/>
      <c r="N22" s="68"/>
    </row>
    <row r="23" spans="1:14" s="58" customFormat="1" ht="27.75" customHeight="1">
      <c r="A23" s="69" t="s">
        <v>25</v>
      </c>
      <c r="H23" s="132" t="s">
        <v>50</v>
      </c>
      <c r="I23" s="65"/>
      <c r="J23" s="66"/>
      <c r="K23" s="67"/>
      <c r="L23" s="68"/>
      <c r="M23" s="68"/>
      <c r="N23" s="68"/>
    </row>
    <row r="24" spans="1:14" s="58" customFormat="1" ht="24" customHeight="1">
      <c r="I24" s="65"/>
      <c r="J24" s="66"/>
      <c r="K24" s="67"/>
      <c r="L24" s="68"/>
      <c r="M24" s="68"/>
      <c r="N24" s="68"/>
    </row>
    <row r="25" spans="1:14" s="58" customFormat="1" ht="24" customHeight="1">
      <c r="I25" s="65"/>
      <c r="J25" s="66"/>
      <c r="K25" s="67"/>
      <c r="L25" s="68"/>
      <c r="M25" s="68"/>
      <c r="N25" s="68"/>
    </row>
    <row r="26" spans="1:14" s="58" customFormat="1" ht="24" customHeight="1">
      <c r="I26" s="65"/>
      <c r="J26" s="66"/>
      <c r="K26" s="67"/>
      <c r="L26" s="68"/>
      <c r="M26" s="68"/>
      <c r="N26" s="68"/>
    </row>
    <row r="27" spans="1:14" s="58" customFormat="1" ht="24" customHeight="1">
      <c r="I27" s="65"/>
      <c r="J27" s="66"/>
      <c r="K27" s="67"/>
      <c r="L27" s="68"/>
      <c r="M27" s="68"/>
      <c r="N27" s="68"/>
    </row>
    <row r="28" spans="1:14" s="58" customFormat="1" ht="24" customHeight="1">
      <c r="I28" s="65"/>
      <c r="J28" s="66"/>
      <c r="K28" s="67"/>
      <c r="L28" s="68"/>
      <c r="M28" s="68"/>
      <c r="N28" s="68"/>
    </row>
    <row r="29" spans="1:14" s="58" customFormat="1" ht="24" customHeight="1">
      <c r="I29" s="65"/>
      <c r="J29" s="66"/>
      <c r="K29" s="67"/>
      <c r="L29" s="68"/>
      <c r="M29" s="68"/>
      <c r="N29" s="68"/>
    </row>
    <row r="30" spans="1:14" s="58" customFormat="1" ht="24" customHeight="1">
      <c r="I30" s="65"/>
      <c r="J30" s="66"/>
      <c r="K30" s="67"/>
      <c r="L30" s="68"/>
      <c r="M30" s="68"/>
      <c r="N30" s="68"/>
    </row>
    <row r="31" spans="1:14" s="58" customFormat="1" ht="24" customHeight="1">
      <c r="I31" s="65"/>
      <c r="J31" s="66"/>
      <c r="K31" s="67"/>
      <c r="L31" s="68"/>
      <c r="M31" s="68"/>
      <c r="N31" s="68"/>
    </row>
  </sheetData>
  <mergeCells count="4">
    <mergeCell ref="F2:G2"/>
    <mergeCell ref="M2:N2"/>
    <mergeCell ref="F5:G5"/>
    <mergeCell ref="M5:N5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N3" sqref="N3"/>
    </sheetView>
  </sheetViews>
  <sheetFormatPr defaultColWidth="10" defaultRowHeight="13.5"/>
  <cols>
    <col min="1" max="1" width="10" style="71" customWidth="1"/>
    <col min="2" max="2" width="5.75" style="71" customWidth="1"/>
    <col min="3" max="3" width="1" style="71" customWidth="1"/>
    <col min="4" max="4" width="8" style="71" customWidth="1"/>
    <col min="5" max="5" width="14.875" style="71" bestFit="1" customWidth="1"/>
    <col min="6" max="6" width="11" style="71" customWidth="1"/>
    <col min="7" max="7" width="13.25" style="71" customWidth="1"/>
    <col min="8" max="8" width="11" style="71" customWidth="1"/>
    <col min="9" max="9" width="13.25" style="71" customWidth="1"/>
    <col min="10" max="10" width="12.25" style="71" customWidth="1"/>
    <col min="11" max="13" width="11" style="71" customWidth="1"/>
    <col min="14" max="16384" width="10" style="71"/>
  </cols>
  <sheetData>
    <row r="1" spans="1:13" ht="50.25" customHeight="1" thickBot="1">
      <c r="A1" s="87" t="s">
        <v>38</v>
      </c>
      <c r="J1" s="72"/>
      <c r="K1" s="73"/>
      <c r="L1" s="74"/>
      <c r="M1" s="75"/>
    </row>
    <row r="2" spans="1:13" ht="21.95" customHeight="1">
      <c r="A2" s="241" t="s">
        <v>39</v>
      </c>
      <c r="B2" s="242"/>
      <c r="C2" s="242"/>
      <c r="D2" s="245" t="s">
        <v>40</v>
      </c>
      <c r="E2" s="76"/>
      <c r="F2" s="247" t="s">
        <v>73</v>
      </c>
      <c r="G2" s="248"/>
      <c r="H2" s="237" t="s">
        <v>75</v>
      </c>
      <c r="I2" s="237"/>
      <c r="J2" s="237" t="s">
        <v>41</v>
      </c>
      <c r="K2" s="237"/>
      <c r="L2" s="237"/>
      <c r="M2" s="238"/>
    </row>
    <row r="3" spans="1:13" ht="21.95" customHeight="1">
      <c r="A3" s="243"/>
      <c r="B3" s="244"/>
      <c r="C3" s="244"/>
      <c r="D3" s="246"/>
      <c r="E3" s="77" t="s">
        <v>42</v>
      </c>
      <c r="F3" s="77" t="str">
        <f>통계요약!F6</f>
        <v>5월(A)</v>
      </c>
      <c r="G3" s="77" t="str">
        <f>통계요약!G6</f>
        <v>5월누계(B)</v>
      </c>
      <c r="H3" s="77" t="str">
        <f>통계요약!H6</f>
        <v>5월(C)</v>
      </c>
      <c r="I3" s="77" t="str">
        <f>통계요약!I6</f>
        <v>5월누계(D)</v>
      </c>
      <c r="J3" s="77" t="s">
        <v>43</v>
      </c>
      <c r="K3" s="78" t="s">
        <v>44</v>
      </c>
      <c r="L3" s="79" t="s">
        <v>45</v>
      </c>
      <c r="M3" s="126" t="s">
        <v>44</v>
      </c>
    </row>
    <row r="4" spans="1:13" ht="21.95" customHeight="1">
      <c r="A4" s="239" t="s">
        <v>46</v>
      </c>
      <c r="B4" s="240"/>
      <c r="C4" s="240"/>
      <c r="D4" s="80" t="s">
        <v>47</v>
      </c>
      <c r="E4" s="121">
        <f>SUM(E6,E8,E10,E12,E14,E16,E18,E22,E24,E26,E28,E20,)</f>
        <v>724877</v>
      </c>
      <c r="F4" s="121">
        <f>SUM(F6,F8,F10,F12,F14,F16,F18,F22,F24,F26,F28,F20)</f>
        <v>62737</v>
      </c>
      <c r="G4" s="121">
        <f>SUM(G6,G8,G10,G12,G14,G16,G18,G22,G24,G26,G28,G20)</f>
        <v>286696</v>
      </c>
      <c r="H4" s="121">
        <f>SUM(H6,H8,H12,H14,H16,H18,H22,H24,H26,H28,H20,H10)</f>
        <v>66398</v>
      </c>
      <c r="I4" s="121">
        <f>SUM(I6,I8,I12,I14,I16,I18,I22,I24,I26,I28,I20,I10)</f>
        <v>294247</v>
      </c>
      <c r="J4" s="110">
        <f t="shared" ref="J4:J27" si="0">H4-F4</f>
        <v>3661</v>
      </c>
      <c r="K4" s="111">
        <f t="shared" ref="K4:K27" si="1">(H4/F4*100)-100</f>
        <v>5.8354718905908811</v>
      </c>
      <c r="L4" s="112">
        <f t="shared" ref="L4:L27" si="2">I4-G4</f>
        <v>7551</v>
      </c>
      <c r="M4" s="127">
        <f t="shared" ref="M4:M27" si="3">(I4/G4*100)-100</f>
        <v>2.6338002622987347</v>
      </c>
    </row>
    <row r="5" spans="1:13" ht="21.95" customHeight="1">
      <c r="A5" s="239"/>
      <c r="B5" s="240"/>
      <c r="C5" s="240"/>
      <c r="D5" s="80" t="s">
        <v>48</v>
      </c>
      <c r="E5" s="121">
        <f>SUM(E7,E9,E11,E13,E15,E17,E19,E23,E25,E27,E29,E21)</f>
        <v>11048672</v>
      </c>
      <c r="F5" s="121">
        <f>SUM(F7,F9,F11,F13,F15,F17,F19,F23,F25,F27,F29,F21)</f>
        <v>993908</v>
      </c>
      <c r="G5" s="121">
        <f>SUM(G7,G9,G11,G13,G15,G17,G19,G23,G25,G27,G29,G21)</f>
        <v>4663287</v>
      </c>
      <c r="H5" s="121">
        <f>SUM(H7,H9,H13,H15,H17,H19,H23,H25,H27,H29,H21,H11)</f>
        <v>1060332</v>
      </c>
      <c r="I5" s="121">
        <f>SUM(I7,I9,I13,I15,I17,I19,I23,I25,I27,I29,I21,I11)</f>
        <v>4388424</v>
      </c>
      <c r="J5" s="110">
        <f t="shared" si="0"/>
        <v>66424</v>
      </c>
      <c r="K5" s="111">
        <f t="shared" si="1"/>
        <v>6.6831135276102032</v>
      </c>
      <c r="L5" s="112">
        <f t="shared" si="2"/>
        <v>-274863</v>
      </c>
      <c r="M5" s="127">
        <f t="shared" si="3"/>
        <v>-5.8941900852338733</v>
      </c>
    </row>
    <row r="6" spans="1:13" ht="21.2" customHeight="1">
      <c r="A6" s="227" t="s">
        <v>53</v>
      </c>
      <c r="B6" s="228"/>
      <c r="C6" s="228"/>
      <c r="D6" s="81" t="s">
        <v>47</v>
      </c>
      <c r="E6" s="122">
        <v>35729</v>
      </c>
      <c r="F6" s="122">
        <v>2670</v>
      </c>
      <c r="G6" s="122">
        <v>13642</v>
      </c>
      <c r="H6" s="122">
        <v>2980</v>
      </c>
      <c r="I6" s="122">
        <v>13713</v>
      </c>
      <c r="J6" s="113">
        <f t="shared" ref="J6:J18" si="4">H6-F6</f>
        <v>310</v>
      </c>
      <c r="K6" s="114">
        <f t="shared" ref="K6:K17" si="5">(H6/F6*100)-100</f>
        <v>11.610486891385776</v>
      </c>
      <c r="L6" s="115">
        <f t="shared" si="2"/>
        <v>71</v>
      </c>
      <c r="M6" s="128">
        <f t="shared" si="3"/>
        <v>0.52045154669401938</v>
      </c>
    </row>
    <row r="7" spans="1:13" ht="21.2" customHeight="1">
      <c r="A7" s="227"/>
      <c r="B7" s="228"/>
      <c r="C7" s="228"/>
      <c r="D7" s="81" t="s">
        <v>48</v>
      </c>
      <c r="E7" s="122">
        <v>661078</v>
      </c>
      <c r="F7" s="122">
        <v>51506</v>
      </c>
      <c r="G7" s="122">
        <v>257086</v>
      </c>
      <c r="H7" s="122">
        <v>54112</v>
      </c>
      <c r="I7" s="122">
        <v>252351</v>
      </c>
      <c r="J7" s="113">
        <f t="shared" si="4"/>
        <v>2606</v>
      </c>
      <c r="K7" s="114">
        <f t="shared" si="5"/>
        <v>5.0596047062478249</v>
      </c>
      <c r="L7" s="115">
        <f t="shared" si="2"/>
        <v>-4735</v>
      </c>
      <c r="M7" s="128">
        <f t="shared" si="3"/>
        <v>-1.8417961304777322</v>
      </c>
    </row>
    <row r="8" spans="1:13" ht="21.2" customHeight="1">
      <c r="A8" s="227" t="s">
        <v>54</v>
      </c>
      <c r="B8" s="228"/>
      <c r="C8" s="228"/>
      <c r="D8" s="81" t="s">
        <v>47</v>
      </c>
      <c r="E8" s="122">
        <v>59188</v>
      </c>
      <c r="F8" s="122">
        <v>5564</v>
      </c>
      <c r="G8" s="122">
        <v>25046</v>
      </c>
      <c r="H8" s="122">
        <v>5665</v>
      </c>
      <c r="I8" s="122">
        <v>23634</v>
      </c>
      <c r="J8" s="113">
        <f t="shared" si="4"/>
        <v>101</v>
      </c>
      <c r="K8" s="114">
        <f t="shared" si="5"/>
        <v>1.8152408339324353</v>
      </c>
      <c r="L8" s="115">
        <f t="shared" si="2"/>
        <v>-1412</v>
      </c>
      <c r="M8" s="128">
        <f t="shared" si="3"/>
        <v>-5.6376267667491788</v>
      </c>
    </row>
    <row r="9" spans="1:13" ht="21.2" customHeight="1">
      <c r="A9" s="227"/>
      <c r="B9" s="228"/>
      <c r="C9" s="228"/>
      <c r="D9" s="81" t="s">
        <v>48</v>
      </c>
      <c r="E9" s="122">
        <v>905440</v>
      </c>
      <c r="F9" s="122">
        <v>84045</v>
      </c>
      <c r="G9" s="122">
        <v>380907</v>
      </c>
      <c r="H9" s="122">
        <v>86001</v>
      </c>
      <c r="I9" s="122">
        <v>374860</v>
      </c>
      <c r="J9" s="113">
        <f t="shared" si="4"/>
        <v>1956</v>
      </c>
      <c r="K9" s="114">
        <f t="shared" si="5"/>
        <v>2.3273246475102667</v>
      </c>
      <c r="L9" s="115">
        <f t="shared" si="2"/>
        <v>-6047</v>
      </c>
      <c r="M9" s="128">
        <f t="shared" si="3"/>
        <v>-1.587526614107901</v>
      </c>
    </row>
    <row r="10" spans="1:13" ht="21.2" customHeight="1">
      <c r="A10" s="221" t="s">
        <v>66</v>
      </c>
      <c r="B10" s="222"/>
      <c r="C10" s="223"/>
      <c r="D10" s="81" t="s">
        <v>47</v>
      </c>
      <c r="E10" s="122">
        <v>1727</v>
      </c>
      <c r="F10" s="122">
        <v>40</v>
      </c>
      <c r="G10" s="122">
        <v>411</v>
      </c>
      <c r="H10" s="164">
        <v>0</v>
      </c>
      <c r="I10" s="164">
        <v>0</v>
      </c>
      <c r="J10" s="113">
        <f t="shared" si="4"/>
        <v>-40</v>
      </c>
      <c r="K10" s="114">
        <f t="shared" si="5"/>
        <v>-100</v>
      </c>
      <c r="L10" s="115">
        <f t="shared" si="2"/>
        <v>-411</v>
      </c>
      <c r="M10" s="128">
        <f t="shared" si="3"/>
        <v>-100</v>
      </c>
    </row>
    <row r="11" spans="1:13" ht="21.2" customHeight="1">
      <c r="A11" s="224"/>
      <c r="B11" s="225"/>
      <c r="C11" s="226"/>
      <c r="D11" s="81" t="s">
        <v>65</v>
      </c>
      <c r="E11" s="122">
        <v>36095</v>
      </c>
      <c r="F11" s="122">
        <v>902</v>
      </c>
      <c r="G11" s="122">
        <v>7575</v>
      </c>
      <c r="H11" s="164">
        <v>0</v>
      </c>
      <c r="I11" s="164">
        <v>0</v>
      </c>
      <c r="J11" s="113">
        <f t="shared" si="4"/>
        <v>-902</v>
      </c>
      <c r="K11" s="114">
        <f t="shared" si="5"/>
        <v>-100</v>
      </c>
      <c r="L11" s="115">
        <f t="shared" si="2"/>
        <v>-7575</v>
      </c>
      <c r="M11" s="128">
        <f t="shared" si="3"/>
        <v>-100</v>
      </c>
    </row>
    <row r="12" spans="1:13" ht="21.2" customHeight="1">
      <c r="A12" s="227" t="s">
        <v>55</v>
      </c>
      <c r="B12" s="228"/>
      <c r="C12" s="228"/>
      <c r="D12" s="81" t="s">
        <v>47</v>
      </c>
      <c r="E12" s="122">
        <v>60588</v>
      </c>
      <c r="F12" s="122">
        <v>5612</v>
      </c>
      <c r="G12" s="122">
        <v>20613</v>
      </c>
      <c r="H12" s="122">
        <v>3672</v>
      </c>
      <c r="I12" s="122">
        <v>29077</v>
      </c>
      <c r="J12" s="113">
        <f t="shared" si="4"/>
        <v>-1940</v>
      </c>
      <c r="K12" s="114">
        <f t="shared" si="5"/>
        <v>-34.568781183178899</v>
      </c>
      <c r="L12" s="115">
        <f t="shared" si="2"/>
        <v>8464</v>
      </c>
      <c r="M12" s="128">
        <f t="shared" si="3"/>
        <v>41.061466065104554</v>
      </c>
    </row>
    <row r="13" spans="1:13" ht="21.2" customHeight="1">
      <c r="A13" s="227"/>
      <c r="B13" s="228"/>
      <c r="C13" s="228"/>
      <c r="D13" s="81" t="s">
        <v>48</v>
      </c>
      <c r="E13" s="122">
        <v>474427</v>
      </c>
      <c r="F13" s="122">
        <v>36562</v>
      </c>
      <c r="G13" s="122">
        <v>132622</v>
      </c>
      <c r="H13" s="122">
        <v>65618</v>
      </c>
      <c r="I13" s="122">
        <v>422580</v>
      </c>
      <c r="J13" s="113">
        <f t="shared" si="4"/>
        <v>29056</v>
      </c>
      <c r="K13" s="114">
        <f t="shared" si="5"/>
        <v>79.470488485312615</v>
      </c>
      <c r="L13" s="115">
        <f t="shared" si="2"/>
        <v>289958</v>
      </c>
      <c r="M13" s="128">
        <f t="shared" si="3"/>
        <v>218.6349172837086</v>
      </c>
    </row>
    <row r="14" spans="1:13" ht="21.2" customHeight="1">
      <c r="A14" s="227" t="s">
        <v>62</v>
      </c>
      <c r="B14" s="228"/>
      <c r="C14" s="228"/>
      <c r="D14" s="81" t="s">
        <v>47</v>
      </c>
      <c r="E14" s="122">
        <v>173357</v>
      </c>
      <c r="F14" s="122">
        <v>14885</v>
      </c>
      <c r="G14" s="122">
        <v>69845</v>
      </c>
      <c r="H14" s="122">
        <v>19847</v>
      </c>
      <c r="I14" s="122">
        <v>80525</v>
      </c>
      <c r="J14" s="113">
        <f t="shared" si="4"/>
        <v>4962</v>
      </c>
      <c r="K14" s="114">
        <f t="shared" si="5"/>
        <v>33.33557272421902</v>
      </c>
      <c r="L14" s="115">
        <f t="shared" si="2"/>
        <v>10680</v>
      </c>
      <c r="M14" s="128">
        <f t="shared" si="3"/>
        <v>15.2910015033288</v>
      </c>
    </row>
    <row r="15" spans="1:13" ht="21.2" customHeight="1">
      <c r="A15" s="227"/>
      <c r="B15" s="228"/>
      <c r="C15" s="228"/>
      <c r="D15" s="81" t="s">
        <v>48</v>
      </c>
      <c r="E15" s="122">
        <v>3000801</v>
      </c>
      <c r="F15" s="122">
        <v>315306</v>
      </c>
      <c r="G15" s="122">
        <v>1458944</v>
      </c>
      <c r="H15" s="122">
        <v>306995</v>
      </c>
      <c r="I15" s="122">
        <v>1057235</v>
      </c>
      <c r="J15" s="113">
        <f t="shared" si="4"/>
        <v>-8311</v>
      </c>
      <c r="K15" s="114">
        <f t="shared" si="5"/>
        <v>-2.6358521563179806</v>
      </c>
      <c r="L15" s="115">
        <f t="shared" si="2"/>
        <v>-401709</v>
      </c>
      <c r="M15" s="128">
        <f t="shared" si="3"/>
        <v>-27.534230237761008</v>
      </c>
    </row>
    <row r="16" spans="1:13" ht="21.2" customHeight="1">
      <c r="A16" s="227" t="s">
        <v>56</v>
      </c>
      <c r="B16" s="228"/>
      <c r="C16" s="228"/>
      <c r="D16" s="81" t="s">
        <v>47</v>
      </c>
      <c r="E16" s="122">
        <v>167550</v>
      </c>
      <c r="F16" s="122">
        <v>13106</v>
      </c>
      <c r="G16" s="122">
        <v>67586</v>
      </c>
      <c r="H16" s="122">
        <v>16858</v>
      </c>
      <c r="I16" s="122">
        <v>68744</v>
      </c>
      <c r="J16" s="113">
        <f t="shared" si="4"/>
        <v>3752</v>
      </c>
      <c r="K16" s="82">
        <f t="shared" si="5"/>
        <v>28.628109262933009</v>
      </c>
      <c r="L16" s="83">
        <f t="shared" si="2"/>
        <v>1158</v>
      </c>
      <c r="M16" s="129">
        <f t="shared" si="3"/>
        <v>1.7133725919569258</v>
      </c>
    </row>
    <row r="17" spans="1:13" ht="21.2" customHeight="1">
      <c r="A17" s="227"/>
      <c r="B17" s="228"/>
      <c r="C17" s="228"/>
      <c r="D17" s="81" t="s">
        <v>48</v>
      </c>
      <c r="E17" s="122">
        <v>2696085</v>
      </c>
      <c r="F17" s="122">
        <v>217239</v>
      </c>
      <c r="G17" s="122">
        <v>1110340</v>
      </c>
      <c r="H17" s="122">
        <v>277494</v>
      </c>
      <c r="I17" s="122">
        <v>1109594</v>
      </c>
      <c r="J17" s="113">
        <f t="shared" si="4"/>
        <v>60255</v>
      </c>
      <c r="K17" s="82">
        <f t="shared" si="5"/>
        <v>27.736732354687703</v>
      </c>
      <c r="L17" s="83">
        <f t="shared" si="2"/>
        <v>-746</v>
      </c>
      <c r="M17" s="129">
        <f t="shared" si="3"/>
        <v>-6.7186627519504327E-2</v>
      </c>
    </row>
    <row r="18" spans="1:13" ht="21.2" customHeight="1">
      <c r="A18" s="231" t="s">
        <v>70</v>
      </c>
      <c r="B18" s="232"/>
      <c r="C18" s="232"/>
      <c r="D18" s="154" t="s">
        <v>47</v>
      </c>
      <c r="E18" s="153">
        <v>225</v>
      </c>
      <c r="F18" s="163">
        <v>0</v>
      </c>
      <c r="G18" s="163">
        <v>0</v>
      </c>
      <c r="H18" s="163">
        <v>0</v>
      </c>
      <c r="I18" s="163">
        <v>0</v>
      </c>
      <c r="J18" s="155">
        <f t="shared" si="4"/>
        <v>0</v>
      </c>
      <c r="K18" s="156" t="s">
        <v>68</v>
      </c>
      <c r="L18" s="157">
        <f t="shared" si="2"/>
        <v>0</v>
      </c>
      <c r="M18" s="158">
        <v>0</v>
      </c>
    </row>
    <row r="19" spans="1:13" ht="21.2" customHeight="1">
      <c r="A19" s="233"/>
      <c r="B19" s="234"/>
      <c r="C19" s="234"/>
      <c r="D19" s="159" t="s">
        <v>48</v>
      </c>
      <c r="E19" s="153">
        <v>4766</v>
      </c>
      <c r="F19" s="163">
        <v>0</v>
      </c>
      <c r="G19" s="163">
        <v>0</v>
      </c>
      <c r="H19" s="163">
        <v>0</v>
      </c>
      <c r="I19" s="163">
        <v>0</v>
      </c>
      <c r="J19" s="155">
        <f t="shared" si="0"/>
        <v>0</v>
      </c>
      <c r="K19" s="160" t="s">
        <v>68</v>
      </c>
      <c r="L19" s="161">
        <f t="shared" si="2"/>
        <v>0</v>
      </c>
      <c r="M19" s="162">
        <v>0</v>
      </c>
    </row>
    <row r="20" spans="1:13" ht="21.2" customHeight="1">
      <c r="A20" s="221" t="s">
        <v>63</v>
      </c>
      <c r="B20" s="222"/>
      <c r="C20" s="223"/>
      <c r="D20" s="84" t="s">
        <v>64</v>
      </c>
      <c r="E20" s="122">
        <v>178</v>
      </c>
      <c r="F20" s="163">
        <v>42</v>
      </c>
      <c r="G20" s="163">
        <v>58</v>
      </c>
      <c r="H20" s="163">
        <v>0</v>
      </c>
      <c r="I20" s="163">
        <v>28</v>
      </c>
      <c r="J20" s="113">
        <f t="shared" si="0"/>
        <v>-42</v>
      </c>
      <c r="K20" s="145" t="s">
        <v>68</v>
      </c>
      <c r="L20" s="117">
        <f t="shared" si="2"/>
        <v>-30</v>
      </c>
      <c r="M20" s="130">
        <f t="shared" si="3"/>
        <v>-51.724137931034484</v>
      </c>
    </row>
    <row r="21" spans="1:13" ht="21.2" customHeight="1">
      <c r="A21" s="224"/>
      <c r="B21" s="225"/>
      <c r="C21" s="226"/>
      <c r="D21" s="84" t="s">
        <v>65</v>
      </c>
      <c r="E21" s="122">
        <v>1254</v>
      </c>
      <c r="F21" s="163">
        <v>90</v>
      </c>
      <c r="G21" s="163">
        <v>230</v>
      </c>
      <c r="H21" s="163">
        <v>0</v>
      </c>
      <c r="I21" s="163">
        <v>216</v>
      </c>
      <c r="J21" s="113">
        <f t="shared" si="0"/>
        <v>-90</v>
      </c>
      <c r="K21" s="145" t="s">
        <v>68</v>
      </c>
      <c r="L21" s="117">
        <f t="shared" si="2"/>
        <v>-14</v>
      </c>
      <c r="M21" s="130">
        <f t="shared" si="3"/>
        <v>-6.0869565217391255</v>
      </c>
    </row>
    <row r="22" spans="1:13" ht="21.2" customHeight="1">
      <c r="A22" s="227" t="s">
        <v>58</v>
      </c>
      <c r="B22" s="228"/>
      <c r="C22" s="228"/>
      <c r="D22" s="81" t="s">
        <v>47</v>
      </c>
      <c r="E22" s="122">
        <v>486</v>
      </c>
      <c r="F22" s="164">
        <v>28</v>
      </c>
      <c r="G22" s="122">
        <v>296</v>
      </c>
      <c r="H22" s="164">
        <v>42</v>
      </c>
      <c r="I22" s="122">
        <v>208</v>
      </c>
      <c r="J22" s="113">
        <f t="shared" si="0"/>
        <v>14</v>
      </c>
      <c r="K22" s="114">
        <f t="shared" si="1"/>
        <v>50</v>
      </c>
      <c r="L22" s="115">
        <f t="shared" si="2"/>
        <v>-88</v>
      </c>
      <c r="M22" s="128">
        <f t="shared" si="3"/>
        <v>-29.729729729729726</v>
      </c>
    </row>
    <row r="23" spans="1:13" ht="21.2" customHeight="1">
      <c r="A23" s="235"/>
      <c r="B23" s="236"/>
      <c r="C23" s="236"/>
      <c r="D23" s="84" t="s">
        <v>48</v>
      </c>
      <c r="E23" s="122">
        <v>4285</v>
      </c>
      <c r="F23" s="164">
        <v>241</v>
      </c>
      <c r="G23" s="122">
        <v>2724</v>
      </c>
      <c r="H23" s="164">
        <v>339</v>
      </c>
      <c r="I23" s="122">
        <v>1881</v>
      </c>
      <c r="J23" s="113">
        <f t="shared" si="0"/>
        <v>98</v>
      </c>
      <c r="K23" s="116">
        <f t="shared" si="1"/>
        <v>40.663900414937757</v>
      </c>
      <c r="L23" s="117">
        <f t="shared" si="2"/>
        <v>-843</v>
      </c>
      <c r="M23" s="130">
        <f t="shared" si="3"/>
        <v>-30.947136563876654</v>
      </c>
    </row>
    <row r="24" spans="1:13" ht="21.2" customHeight="1">
      <c r="A24" s="227" t="s">
        <v>59</v>
      </c>
      <c r="B24" s="228"/>
      <c r="C24" s="228"/>
      <c r="D24" s="81" t="s">
        <v>47</v>
      </c>
      <c r="E24" s="122">
        <v>81150</v>
      </c>
      <c r="F24" s="122">
        <v>8283</v>
      </c>
      <c r="G24" s="122">
        <v>32095</v>
      </c>
      <c r="H24" s="122">
        <v>6554</v>
      </c>
      <c r="I24" s="122">
        <v>26423</v>
      </c>
      <c r="J24" s="113">
        <f t="shared" si="0"/>
        <v>-1729</v>
      </c>
      <c r="K24" s="114">
        <f t="shared" si="1"/>
        <v>-20.874079439816498</v>
      </c>
      <c r="L24" s="115">
        <f t="shared" si="2"/>
        <v>-5672</v>
      </c>
      <c r="M24" s="128">
        <f t="shared" si="3"/>
        <v>-17.672534662720054</v>
      </c>
    </row>
    <row r="25" spans="1:13" ht="21.2" customHeight="1">
      <c r="A25" s="227"/>
      <c r="B25" s="228"/>
      <c r="C25" s="228"/>
      <c r="D25" s="81" t="s">
        <v>48</v>
      </c>
      <c r="E25" s="122">
        <v>1256097</v>
      </c>
      <c r="F25" s="122">
        <v>109227</v>
      </c>
      <c r="G25" s="122">
        <v>525852</v>
      </c>
      <c r="H25" s="122">
        <v>103985</v>
      </c>
      <c r="I25" s="122">
        <v>408844</v>
      </c>
      <c r="J25" s="113">
        <f t="shared" si="0"/>
        <v>-5242</v>
      </c>
      <c r="K25" s="114">
        <f t="shared" si="1"/>
        <v>-4.7991796900033847</v>
      </c>
      <c r="L25" s="115">
        <f t="shared" si="2"/>
        <v>-117008</v>
      </c>
      <c r="M25" s="128">
        <f t="shared" si="3"/>
        <v>-22.251127693723703</v>
      </c>
    </row>
    <row r="26" spans="1:13" ht="21.2" customHeight="1">
      <c r="A26" s="227" t="s">
        <v>60</v>
      </c>
      <c r="B26" s="228"/>
      <c r="C26" s="228"/>
      <c r="D26" s="86" t="s">
        <v>47</v>
      </c>
      <c r="E26" s="123">
        <v>115220</v>
      </c>
      <c r="F26" s="123">
        <v>9174</v>
      </c>
      <c r="G26" s="123">
        <v>44899</v>
      </c>
      <c r="H26" s="123">
        <v>8515</v>
      </c>
      <c r="I26" s="123">
        <v>38160</v>
      </c>
      <c r="J26" s="113">
        <f t="shared" si="0"/>
        <v>-659</v>
      </c>
      <c r="K26" s="118">
        <f t="shared" si="1"/>
        <v>-7.1833442337039486</v>
      </c>
      <c r="L26" s="119">
        <f t="shared" si="2"/>
        <v>-6739</v>
      </c>
      <c r="M26" s="131">
        <f t="shared" si="3"/>
        <v>-15.009242967549383</v>
      </c>
    </row>
    <row r="27" spans="1:13" ht="21.2" customHeight="1">
      <c r="A27" s="227"/>
      <c r="B27" s="228"/>
      <c r="C27" s="228"/>
      <c r="D27" s="84" t="s">
        <v>48</v>
      </c>
      <c r="E27" s="134">
        <v>1551822</v>
      </c>
      <c r="F27" s="134">
        <v>129228</v>
      </c>
      <c r="G27" s="134">
        <v>608421</v>
      </c>
      <c r="H27" s="134">
        <v>130011</v>
      </c>
      <c r="I27" s="134">
        <v>546389</v>
      </c>
      <c r="J27" s="135">
        <f t="shared" si="0"/>
        <v>783</v>
      </c>
      <c r="K27" s="116">
        <f t="shared" si="1"/>
        <v>0.60590584083944066</v>
      </c>
      <c r="L27" s="117">
        <f t="shared" si="2"/>
        <v>-62032</v>
      </c>
      <c r="M27" s="130">
        <f t="shared" si="3"/>
        <v>-10.195571816225936</v>
      </c>
    </row>
    <row r="28" spans="1:13" ht="21.2" customHeight="1">
      <c r="A28" s="227" t="s">
        <v>61</v>
      </c>
      <c r="B28" s="228"/>
      <c r="C28" s="228"/>
      <c r="D28" s="81" t="s">
        <v>47</v>
      </c>
      <c r="E28" s="122">
        <v>29479</v>
      </c>
      <c r="F28" s="122">
        <v>3333</v>
      </c>
      <c r="G28" s="122">
        <v>12205</v>
      </c>
      <c r="H28" s="122">
        <v>2265</v>
      </c>
      <c r="I28" s="122">
        <v>13735</v>
      </c>
      <c r="J28" s="113">
        <f>H28-F28</f>
        <v>-1068</v>
      </c>
      <c r="K28" s="141" t="s">
        <v>67</v>
      </c>
      <c r="L28" s="115">
        <f>I28-G28</f>
        <v>1530</v>
      </c>
      <c r="M28" s="143" t="s">
        <v>67</v>
      </c>
    </row>
    <row r="29" spans="1:13" ht="21.2" customHeight="1" thickBot="1">
      <c r="A29" s="229"/>
      <c r="B29" s="230"/>
      <c r="C29" s="230"/>
      <c r="D29" s="136" t="s">
        <v>48</v>
      </c>
      <c r="E29" s="137">
        <v>456522</v>
      </c>
      <c r="F29" s="137">
        <v>49562</v>
      </c>
      <c r="G29" s="137">
        <v>178586</v>
      </c>
      <c r="H29" s="137">
        <v>35777</v>
      </c>
      <c r="I29" s="137">
        <v>214474</v>
      </c>
      <c r="J29" s="138">
        <f>H29-F29</f>
        <v>-13785</v>
      </c>
      <c r="K29" s="142" t="s">
        <v>67</v>
      </c>
      <c r="L29" s="139">
        <f>I29-G29</f>
        <v>35888</v>
      </c>
      <c r="M29" s="144" t="s">
        <v>67</v>
      </c>
    </row>
    <row r="30" spans="1:13" ht="14.25" thickTop="1"/>
  </sheetData>
  <mergeCells count="18">
    <mergeCell ref="J2:M2"/>
    <mergeCell ref="A4:C5"/>
    <mergeCell ref="A6:C7"/>
    <mergeCell ref="A8:C9"/>
    <mergeCell ref="A2:C3"/>
    <mergeCell ref="D2:D3"/>
    <mergeCell ref="F2:G2"/>
    <mergeCell ref="H2:I2"/>
    <mergeCell ref="A10:C11"/>
    <mergeCell ref="A28:C29"/>
    <mergeCell ref="A24:C25"/>
    <mergeCell ref="A26:C27"/>
    <mergeCell ref="A18:C19"/>
    <mergeCell ref="A12:C13"/>
    <mergeCell ref="A14:C15"/>
    <mergeCell ref="A16:C17"/>
    <mergeCell ref="A22:C23"/>
    <mergeCell ref="A20:C21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2019-05-27T01:43:03Z</cp:lastPrinted>
  <dcterms:created xsi:type="dcterms:W3CDTF">1998-03-31T03:01:22Z</dcterms:created>
  <dcterms:modified xsi:type="dcterms:W3CDTF">2020-06-24T01:39:35Z</dcterms:modified>
</cp:coreProperties>
</file>