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21" i="21" l="1"/>
  <c r="M8" i="32" l="1"/>
  <c r="L8" i="32"/>
  <c r="M6" i="32"/>
  <c r="L6" i="32"/>
  <c r="M12" i="32" l="1"/>
  <c r="L12" i="32"/>
  <c r="K29" i="32"/>
  <c r="K28" i="32"/>
  <c r="I4" i="32" l="1"/>
  <c r="H4" i="32"/>
  <c r="G21" i="21" l="1"/>
  <c r="G11" i="21"/>
  <c r="F11" i="21"/>
  <c r="G7" i="21" l="1"/>
  <c r="F3" i="32" l="1"/>
  <c r="I7" i="21" l="1"/>
  <c r="H7" i="21" l="1"/>
  <c r="AA7" i="33" l="1"/>
  <c r="N6" i="33"/>
  <c r="G6" i="33"/>
  <c r="N3" i="33"/>
  <c r="I15" i="21" l="1"/>
  <c r="F15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15" i="21" l="1"/>
  <c r="G15" i="21"/>
  <c r="I5" i="32"/>
  <c r="H5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4" i="33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J7" i="32"/>
  <c r="K7" i="32"/>
  <c r="L7" i="32"/>
  <c r="M7" i="32"/>
  <c r="J8" i="32"/>
  <c r="K8" i="32"/>
  <c r="J9" i="32"/>
  <c r="K9" i="32"/>
  <c r="L9" i="32"/>
  <c r="M9" i="32"/>
  <c r="J12" i="32"/>
  <c r="K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<sst xmlns="http://schemas.openxmlformats.org/spreadsheetml/2006/main" count="124" uniqueCount="82">
  <si>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</si>
  <si>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</si>
  <si>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</si>
  <si>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</si>
  <si>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</si>
  <si>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</si>
  <si>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</si>
  <si>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</si>
  <si>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</si>
  <si>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</si>
  <si>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</si>
  <si>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</si>
  <si>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</si>
  <si>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</si>
  <si>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</si>
  <si>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</si>
  <si>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</si>
  <si>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</si>
  <si>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</si>
  <si>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</si>
  <si>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</si>
  <si>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</si>
  <si>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</si>
  <si>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</si>
  <si>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</si>
  <si>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</si>
  <si>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</si>
  <si>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</si>
  <si>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</si>
  <si>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</si>
  <si>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</si>
  <si>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</si>
  <si>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</si>
  <si>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</si>
  <si>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</si>
  <si>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</si>
  <si>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</si>
  <si>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</si>
  <si>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</si>
  <si>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</si>
  <si>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</si>
  <si>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</si>
  <si>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</si>
  <si>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</si>
  <si>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</si>
  <si>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</si>
  <si>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</si>
  <si>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</si>
  <si>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</si>
  <si>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</si>
  <si>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</si>
  <si>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</si>
  <si>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</si>
  <si>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</si>
  <si>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</si>
  <si>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</si>
  <si>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</si>
  <si>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</si>
  <si>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</si>
  <si>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</si>
  <si>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</si>
  <si>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</si>
  <si>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</si>
  <si>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</si>
  <si>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</si>
  <si>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</si>
  <si>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</si>
  <si>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</si>
  <si>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</si>
  <si>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</si>
  <si>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</si>
  <si>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</si>
  <si>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</si>
  <si>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</si>
  <si>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</si>
  <si>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</si>
  <si>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</si>
  <si>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(2021.8월분)</t>
    <phoneticPr fontId="5" type="noConversion"/>
  </si>
  <si>
    <t>8월(A)</t>
    <phoneticPr fontId="5" type="noConversion"/>
  </si>
  <si>
    <t>8월누계(B)</t>
    <phoneticPr fontId="5" type="noConversion"/>
  </si>
  <si>
    <t>8월(C)</t>
    <phoneticPr fontId="5" type="noConversion"/>
  </si>
  <si>
    <t>8월누계(D)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</si>
</sst>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84" fontId="12" fillId="5" borderId="28" xfId="17" quotePrefix="1" applyNumberFormat="1" applyFont="1" applyFill="1" applyBorder="1" applyAlignment="1">
      <alignment horizontal="right" vertical="center" shrinkToFit="1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8월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68973809</c:v>
                </c:pt>
              </c:numCache>
            </c:numRef>
          </c:val>
        </c:ser>
        <c:ser>
          <c:idx val="1"/>
          <c:order val="1"/>
          <c:tx>
            <c:v>'21년 8월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76887274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5534848"/>
        <c:axId val="195536384"/>
        <c:axId val="0"/>
      </c:bar3DChart>
      <c:catAx>
        <c:axId val="195534848"/>
        <c:scaling>
          <c:orientation val="minMax"/>
        </c:scaling>
        <c:delete val="1"/>
        <c:axPos val="b"/>
        <c:majorTickMark val="out"/>
        <c:minorTickMark val="none"/>
        <c:tickLblPos val="none"/>
        <c:crossAx val="195536384"/>
        <c:crosses val="autoZero"/>
        <c:auto val="1"/>
        <c:lblAlgn val="ctr"/>
        <c:lblOffset val="100"/>
        <c:noMultiLvlLbl val="0"/>
      </c:catAx>
      <c:valAx>
        <c:axId val="195536384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534848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8월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500617</c:v>
                </c:pt>
              </c:numCache>
            </c:numRef>
          </c:val>
        </c:ser>
        <c:ser>
          <c:idx val="1"/>
          <c:order val="1"/>
          <c:tx>
            <c:v>'21년 8월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615524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5371392"/>
        <c:axId val="195372928"/>
        <c:axId val="0"/>
      </c:bar3DChart>
      <c:catAx>
        <c:axId val="195371392"/>
        <c:scaling>
          <c:orientation val="minMax"/>
        </c:scaling>
        <c:delete val="1"/>
        <c:axPos val="b"/>
        <c:majorTickMark val="out"/>
        <c:minorTickMark val="none"/>
        <c:tickLblPos val="none"/>
        <c:crossAx val="195372928"/>
        <c:crosses val="autoZero"/>
        <c:auto val="1"/>
        <c:lblAlgn val="ctr"/>
        <c:lblOffset val="100"/>
        <c:noMultiLvlLbl val="0"/>
      </c:catAx>
      <c:valAx>
        <c:axId val="19537292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371392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21.8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76887.274000000005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42944"/>
        <c:axId val="195473792"/>
      </c:lineChart>
      <c:catAx>
        <c:axId val="195442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473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4737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4429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21.8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615524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36736"/>
        <c:axId val="203638656"/>
      </c:lineChart>
      <c:catAx>
        <c:axId val="20363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6386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6386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6367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21.8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66944"/>
        <c:axId val="203668864"/>
      </c:lineChart>
      <c:catAx>
        <c:axId val="20366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668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6688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6669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21.8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11004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81152"/>
        <c:axId val="203372032"/>
      </c:lineChart>
      <c:catAx>
        <c:axId val="20368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372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3720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6811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21.8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11004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00320"/>
        <c:axId val="203402240"/>
      </c:lineChart>
      <c:catAx>
        <c:axId val="20340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402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4022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4003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I18" sqref="I18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77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4" t="s">
        <v>73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2:13" ht="21.2" customHeight="1">
      <c r="B5" s="189" t="s">
        <v>7</v>
      </c>
      <c r="C5" s="190"/>
      <c r="D5" s="191"/>
      <c r="E5" s="39"/>
      <c r="F5" s="187" t="s">
        <v>74</v>
      </c>
      <c r="G5" s="198"/>
      <c r="H5" s="215" t="s">
        <v>75</v>
      </c>
      <c r="I5" s="215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0" t="s">
        <v>78</v>
      </c>
      <c r="G6" s="41" t="s">
        <v>79</v>
      </c>
      <c r="H6" s="170" t="s">
        <v>80</v>
      </c>
      <c r="I6" s="171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9" t="s">
        <v>21</v>
      </c>
      <c r="C7" s="184" t="s">
        <v>12</v>
      </c>
      <c r="D7" s="185"/>
      <c r="E7" s="13">
        <f>SUM(E8:E9)</f>
        <v>17326</v>
      </c>
      <c r="F7" s="13">
        <f>SUM(F8:F9)</f>
        <v>1354</v>
      </c>
      <c r="G7" s="13">
        <f>SUM(G8:G9)</f>
        <v>11442</v>
      </c>
      <c r="H7" s="13">
        <f>SUM(H8:H9)</f>
        <v>1335</v>
      </c>
      <c r="I7" s="13">
        <f>SUM(I8:I9)</f>
        <v>11004</v>
      </c>
      <c r="J7" s="13">
        <f>H7-F7</f>
        <v>-19</v>
      </c>
      <c r="K7" s="16">
        <f>H7/F7</f>
        <v>0.9859675036927622</v>
      </c>
      <c r="L7" s="14">
        <f>I7-G7</f>
        <v>-438</v>
      </c>
      <c r="M7" s="24">
        <f>I7/G7</f>
        <v>0.96171997902464601</v>
      </c>
    </row>
    <row r="8" spans="2:13" ht="19.5" customHeight="1">
      <c r="B8" s="210"/>
      <c r="C8" s="200" t="s">
        <v>9</v>
      </c>
      <c r="D8" s="201"/>
      <c r="E8" s="20">
        <v>10177</v>
      </c>
      <c r="F8" s="20">
        <v>770</v>
      </c>
      <c r="G8" s="21">
        <v>6798</v>
      </c>
      <c r="H8" s="20">
        <v>818</v>
      </c>
      <c r="I8" s="20">
        <v>6709</v>
      </c>
      <c r="J8" s="4">
        <f t="shared" ref="J8:J28" si="0">H8-F8</f>
        <v>48</v>
      </c>
      <c r="K8" s="18">
        <f t="shared" ref="K8:K28" si="1">H8/F8</f>
        <v>1.0623376623376624</v>
      </c>
      <c r="L8" s="19">
        <f t="shared" ref="L8:L28" si="2">I8-G8</f>
        <v>-89</v>
      </c>
      <c r="M8" s="26">
        <f t="shared" ref="M8:M28" si="3">I8/G8</f>
        <v>0.9869079140923801</v>
      </c>
    </row>
    <row r="9" spans="2:13" ht="19.5" customHeight="1">
      <c r="B9" s="211"/>
      <c r="C9" s="202" t="s">
        <v>10</v>
      </c>
      <c r="D9" s="203"/>
      <c r="E9" s="21">
        <v>7149</v>
      </c>
      <c r="F9" s="21">
        <v>584</v>
      </c>
      <c r="G9" s="21">
        <v>4644</v>
      </c>
      <c r="H9" s="21">
        <v>517</v>
      </c>
      <c r="I9" s="21">
        <v>4295</v>
      </c>
      <c r="J9" s="21">
        <f t="shared" si="0"/>
        <v>-67</v>
      </c>
      <c r="K9" s="22">
        <f t="shared" si="1"/>
        <v>0.88527397260273977</v>
      </c>
      <c r="L9" s="23">
        <f t="shared" si="2"/>
        <v>-349</v>
      </c>
      <c r="M9" s="27">
        <f t="shared" si="3"/>
        <v>0.92484926787252364</v>
      </c>
    </row>
    <row r="10" spans="2:13" ht="21.2" customHeight="1">
      <c r="B10" s="209" t="s">
        <v>22</v>
      </c>
      <c r="C10" s="184" t="s">
        <v>8</v>
      </c>
      <c r="D10" s="185"/>
      <c r="E10" s="45">
        <f>E11+E15</f>
        <v>106845294</v>
      </c>
      <c r="F10" s="45">
        <f>F11+F15</f>
        <v>7404334</v>
      </c>
      <c r="G10" s="45">
        <f>G11+G15</f>
        <v>68973809</v>
      </c>
      <c r="H10" s="45">
        <f>H11+H15</f>
        <v>9503044</v>
      </c>
      <c r="I10" s="45">
        <f>I11+I15</f>
        <v>76887274</v>
      </c>
      <c r="J10" s="45">
        <f t="shared" si="0"/>
        <v>2098710</v>
      </c>
      <c r="K10" s="16">
        <f t="shared" si="1"/>
        <v>1.2834434535233012</v>
      </c>
      <c r="L10" s="49">
        <f>I10-G10</f>
        <v>7913465</v>
      </c>
      <c r="M10" s="24">
        <f t="shared" si="3"/>
        <v>1.1147314482806074</v>
      </c>
    </row>
    <row r="11" spans="2:13" ht="19.5" customHeight="1">
      <c r="B11" s="210"/>
      <c r="C11" s="206" t="s">
        <v>1</v>
      </c>
      <c r="D11" s="98" t="s">
        <v>0</v>
      </c>
      <c r="E11" s="92">
        <f>SUM(E12:E14)</f>
        <v>95663945</v>
      </c>
      <c r="F11" s="92">
        <f>SUM(F12:F14)</f>
        <v>6506416</v>
      </c>
      <c r="G11" s="92">
        <f>SUM(G12:G14)</f>
        <v>61655475</v>
      </c>
      <c r="H11" s="92">
        <f>SUM(H12:H14)</f>
        <v>8414871</v>
      </c>
      <c r="I11" s="92">
        <f>SUM(I12:I14)</f>
        <v>68916820</v>
      </c>
      <c r="J11" s="93">
        <f t="shared" si="0"/>
        <v>1908455</v>
      </c>
      <c r="K11" s="94">
        <f t="shared" si="1"/>
        <v>1.2933189331884096</v>
      </c>
      <c r="L11" s="95">
        <f t="shared" si="2"/>
        <v>7261345</v>
      </c>
      <c r="M11" s="96">
        <f t="shared" si="3"/>
        <v>1.1177729147330386</v>
      </c>
    </row>
    <row r="12" spans="2:13" ht="19.5" customHeight="1">
      <c r="B12" s="210"/>
      <c r="C12" s="207"/>
      <c r="D12" s="5" t="s">
        <v>5</v>
      </c>
      <c r="E12" s="46">
        <v>76439827</v>
      </c>
      <c r="F12" s="46">
        <v>5051701</v>
      </c>
      <c r="G12" s="46">
        <v>49477257</v>
      </c>
      <c r="H12" s="46">
        <v>6812410</v>
      </c>
      <c r="I12" s="46">
        <v>55141893</v>
      </c>
      <c r="J12" s="93">
        <f t="shared" si="0"/>
        <v>1760709</v>
      </c>
      <c r="K12" s="18">
        <f t="shared" si="1"/>
        <v>1.3485378489344479</v>
      </c>
      <c r="L12" s="48">
        <f t="shared" si="2"/>
        <v>5664636</v>
      </c>
      <c r="M12" s="26">
        <f t="shared" si="3"/>
        <v>1.1144896937192779</v>
      </c>
    </row>
    <row r="13" spans="2:13" ht="19.5" customHeight="1">
      <c r="B13" s="210"/>
      <c r="C13" s="207"/>
      <c r="D13" s="5" t="s">
        <v>6</v>
      </c>
      <c r="E13" s="46">
        <v>13946411</v>
      </c>
      <c r="F13" s="46">
        <v>1083096</v>
      </c>
      <c r="G13" s="46">
        <v>8938673</v>
      </c>
      <c r="H13" s="46">
        <v>1168097</v>
      </c>
      <c r="I13" s="46">
        <v>10419483</v>
      </c>
      <c r="J13" s="93">
        <f t="shared" si="0"/>
        <v>85001</v>
      </c>
      <c r="K13" s="18">
        <f t="shared" si="1"/>
        <v>1.0784796546197197</v>
      </c>
      <c r="L13" s="48">
        <f t="shared" si="2"/>
        <v>1480810</v>
      </c>
      <c r="M13" s="26">
        <f t="shared" si="3"/>
        <v>1.1656632925267543</v>
      </c>
    </row>
    <row r="14" spans="2:13" ht="19.5" customHeight="1">
      <c r="B14" s="210"/>
      <c r="C14" s="208"/>
      <c r="D14" s="5" t="s">
        <v>13</v>
      </c>
      <c r="E14" s="46">
        <v>5277707</v>
      </c>
      <c r="F14" s="46">
        <v>371619</v>
      </c>
      <c r="G14" s="46">
        <v>3239545</v>
      </c>
      <c r="H14" s="46">
        <v>434364</v>
      </c>
      <c r="I14" s="46">
        <v>3355444</v>
      </c>
      <c r="J14" s="93">
        <f t="shared" si="0"/>
        <v>62745</v>
      </c>
      <c r="K14" s="18">
        <f>H14/F14</f>
        <v>1.168842282014644</v>
      </c>
      <c r="L14" s="48">
        <f t="shared" si="2"/>
        <v>115899</v>
      </c>
      <c r="M14" s="26">
        <f t="shared" si="3"/>
        <v>1.0357763204400618</v>
      </c>
    </row>
    <row r="15" spans="2:13" ht="19.5" customHeight="1">
      <c r="B15" s="210"/>
      <c r="C15" s="216" t="s">
        <v>2</v>
      </c>
      <c r="D15" s="97" t="s">
        <v>0</v>
      </c>
      <c r="E15" s="87">
        <f>SUM(E16:E18)</f>
        <v>11181349</v>
      </c>
      <c r="F15" s="87">
        <f>SUM(F16:F18)</f>
        <v>897918</v>
      </c>
      <c r="G15" s="87">
        <f>SUM(G16:G18)</f>
        <v>7318334</v>
      </c>
      <c r="H15" s="87">
        <f>SUM(H16:H18)</f>
        <v>1088173</v>
      </c>
      <c r="I15" s="87">
        <f>SUM(I16:I18)</f>
        <v>7970454</v>
      </c>
      <c r="J15" s="88">
        <f t="shared" si="0"/>
        <v>190255</v>
      </c>
      <c r="K15" s="89">
        <f t="shared" si="1"/>
        <v>1.2118846041620728</v>
      </c>
      <c r="L15" s="90">
        <f t="shared" si="2"/>
        <v>652120</v>
      </c>
      <c r="M15" s="91">
        <f t="shared" si="3"/>
        <v>1.0891077122197483</v>
      </c>
    </row>
    <row r="16" spans="2:13" ht="19.5" customHeight="1">
      <c r="B16" s="210"/>
      <c r="C16" s="217"/>
      <c r="D16" s="5" t="s">
        <v>3</v>
      </c>
      <c r="E16" s="46">
        <v>8023567</v>
      </c>
      <c r="F16" s="46">
        <v>640436</v>
      </c>
      <c r="G16" s="46">
        <v>5231190</v>
      </c>
      <c r="H16" s="46">
        <v>776816</v>
      </c>
      <c r="I16" s="46">
        <v>5724950</v>
      </c>
      <c r="J16" s="88">
        <f t="shared" si="0"/>
        <v>136380</v>
      </c>
      <c r="K16" s="18">
        <f t="shared" si="1"/>
        <v>1.2129486787126271</v>
      </c>
      <c r="L16" s="48">
        <f t="shared" si="2"/>
        <v>493760</v>
      </c>
      <c r="M16" s="26">
        <f t="shared" si="3"/>
        <v>1.0943877014598973</v>
      </c>
    </row>
    <row r="17" spans="1:13" ht="19.5" customHeight="1">
      <c r="B17" s="210"/>
      <c r="C17" s="217"/>
      <c r="D17" s="6" t="s">
        <v>4</v>
      </c>
      <c r="E17" s="47">
        <v>3148861</v>
      </c>
      <c r="F17" s="47">
        <v>257482</v>
      </c>
      <c r="G17" s="47">
        <v>2078223</v>
      </c>
      <c r="H17" s="47">
        <v>311357</v>
      </c>
      <c r="I17" s="47">
        <v>2245504</v>
      </c>
      <c r="J17" s="160">
        <v>0</v>
      </c>
      <c r="K17" s="18">
        <f t="shared" si="1"/>
        <v>1.2092379273114238</v>
      </c>
      <c r="L17" s="48">
        <f t="shared" si="2"/>
        <v>167281</v>
      </c>
      <c r="M17" s="26">
        <f t="shared" si="3"/>
        <v>1.0804923244521882</v>
      </c>
    </row>
    <row r="18" spans="1:13" ht="19.5" customHeight="1">
      <c r="B18" s="211"/>
      <c r="C18" s="218"/>
      <c r="D18" s="6" t="s">
        <v>17</v>
      </c>
      <c r="E18" s="47">
        <v>8921</v>
      </c>
      <c r="F18" s="47"/>
      <c r="G18" s="47">
        <v>8921</v>
      </c>
      <c r="H18" s="157"/>
      <c r="I18" s="157"/>
      <c r="J18" s="88">
        <f t="shared" si="0"/>
        <v>0</v>
      </c>
      <c r="K18" s="18" t="e">
        <f t="shared" si="1"/>
        <v>#DIV/0!</v>
      </c>
      <c r="L18" s="48">
        <f t="shared" si="2"/>
        <v>-8921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2" t="s">
        <v>23</v>
      </c>
      <c r="L19" s="213"/>
      <c r="M19" s="214"/>
    </row>
    <row r="20" spans="1:13" ht="21.2" customHeight="1">
      <c r="B20" s="28"/>
      <c r="C20" s="184" t="s">
        <v>8</v>
      </c>
      <c r="D20" s="185"/>
      <c r="E20" s="104">
        <f>SUM(E21,E25)</f>
        <v>792643</v>
      </c>
      <c r="F20" s="3">
        <f>SUM(F21,F25)</f>
        <v>63879</v>
      </c>
      <c r="G20" s="3">
        <f>SUM(G21,G25)</f>
        <v>500617</v>
      </c>
      <c r="H20" s="104">
        <f>SUM(H21,H25)</f>
        <v>82961</v>
      </c>
      <c r="I20" s="104">
        <f>SUM(I21,I25)</f>
        <v>615524</v>
      </c>
      <c r="J20" s="105">
        <f t="shared" si="0"/>
        <v>19082</v>
      </c>
      <c r="K20" s="106">
        <f t="shared" si="1"/>
        <v>1.2987210194273549</v>
      </c>
      <c r="L20" s="107">
        <f t="shared" si="2"/>
        <v>114907</v>
      </c>
      <c r="M20" s="24">
        <f>I20/G20</f>
        <v>1.2295307590433404</v>
      </c>
    </row>
    <row r="21" spans="1:13" ht="19.5" customHeight="1">
      <c r="B21" s="25"/>
      <c r="C21" s="199" t="s">
        <v>1</v>
      </c>
      <c r="D21" s="99" t="s">
        <v>0</v>
      </c>
      <c r="E21" s="100">
        <f>SUM(E22:E24)</f>
        <v>792643</v>
      </c>
      <c r="F21" s="100">
        <f>SUM(F22:F24)</f>
        <v>63879</v>
      </c>
      <c r="G21" s="100">
        <f>SUM(G22:G24)</f>
        <v>500617</v>
      </c>
      <c r="H21" s="100">
        <f>SUM(H22:H24)</f>
        <v>82961</v>
      </c>
      <c r="I21" s="100">
        <f>SUM(I22:I24)</f>
        <v>615524</v>
      </c>
      <c r="J21" s="101">
        <f t="shared" si="0"/>
        <v>19082</v>
      </c>
      <c r="K21" s="102">
        <f t="shared" si="1"/>
        <v>1.2987210194273549</v>
      </c>
      <c r="L21" s="103">
        <f t="shared" si="2"/>
        <v>114907</v>
      </c>
      <c r="M21" s="96">
        <f t="shared" si="3"/>
        <v>1.2295307590433404</v>
      </c>
    </row>
    <row r="22" spans="1:13" ht="19.5" customHeight="1">
      <c r="B22" s="159" t="s">
        <v>19</v>
      </c>
      <c r="C22" s="199"/>
      <c r="D22" s="52" t="s">
        <v>5</v>
      </c>
      <c r="E22" s="54">
        <v>391129</v>
      </c>
      <c r="F22" s="54">
        <v>32088</v>
      </c>
      <c r="G22" s="54">
        <v>245482</v>
      </c>
      <c r="H22" s="54">
        <v>41691</v>
      </c>
      <c r="I22" s="54">
        <v>307031</v>
      </c>
      <c r="J22" s="101">
        <f t="shared" si="0"/>
        <v>9603</v>
      </c>
      <c r="K22" s="51">
        <f t="shared" si="1"/>
        <v>1.299270755422588</v>
      </c>
      <c r="L22" s="23">
        <f t="shared" si="2"/>
        <v>61549</v>
      </c>
      <c r="M22" s="26">
        <f t="shared" si="3"/>
        <v>1.250727140890167</v>
      </c>
    </row>
    <row r="23" spans="1:13" ht="19.5" customHeight="1">
      <c r="B23" s="159" t="s">
        <v>20</v>
      </c>
      <c r="C23" s="199"/>
      <c r="D23" s="2" t="s">
        <v>14</v>
      </c>
      <c r="E23" s="54">
        <v>389634</v>
      </c>
      <c r="F23" s="54">
        <v>31143</v>
      </c>
      <c r="G23" s="54">
        <v>247068</v>
      </c>
      <c r="H23" s="54">
        <v>40689</v>
      </c>
      <c r="I23" s="54">
        <v>300556</v>
      </c>
      <c r="J23" s="101">
        <f t="shared" si="0"/>
        <v>9546</v>
      </c>
      <c r="K23" s="51">
        <f t="shared" si="1"/>
        <v>1.3065215297177535</v>
      </c>
      <c r="L23" s="19">
        <f t="shared" si="2"/>
        <v>53488</v>
      </c>
      <c r="M23" s="26">
        <f t="shared" si="3"/>
        <v>1.2164910065245196</v>
      </c>
    </row>
    <row r="24" spans="1:13" ht="19.5" customHeight="1">
      <c r="B24" s="31"/>
      <c r="C24" s="199"/>
      <c r="D24" s="2" t="s">
        <v>13</v>
      </c>
      <c r="E24" s="54">
        <v>11880</v>
      </c>
      <c r="F24" s="54">
        <v>648</v>
      </c>
      <c r="G24" s="54">
        <v>8067</v>
      </c>
      <c r="H24" s="54">
        <v>581</v>
      </c>
      <c r="I24" s="54">
        <v>7937</v>
      </c>
      <c r="J24" s="101">
        <f t="shared" si="0"/>
        <v>-67</v>
      </c>
      <c r="K24" s="51">
        <f t="shared" si="1"/>
        <v>0.89660493827160492</v>
      </c>
      <c r="L24" s="19">
        <f t="shared" si="2"/>
        <v>-130</v>
      </c>
      <c r="M24" s="26">
        <f t="shared" si="3"/>
        <v>0.98388496343126319</v>
      </c>
    </row>
    <row r="25" spans="1:13" ht="19.5" customHeight="1">
      <c r="B25" s="25"/>
      <c r="C25" s="176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>
        <v>0</v>
      </c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39" customFormat="1" ht="21.2" customHeight="1" thickBot="1">
      <c r="B28" s="177" t="s">
        <v>69</v>
      </c>
      <c r="C28" s="178"/>
      <c r="D28" s="179"/>
      <c r="E28" s="140">
        <v>1260128</v>
      </c>
      <c r="F28" s="140"/>
      <c r="G28" s="140"/>
      <c r="H28" s="140"/>
      <c r="I28" s="140"/>
      <c r="J28" s="141">
        <f t="shared" si="0"/>
        <v>0</v>
      </c>
      <c r="K28" s="142" t="e">
        <f t="shared" si="1"/>
        <v>#DIV/0!</v>
      </c>
      <c r="L28" s="143">
        <f t="shared" si="2"/>
        <v>0</v>
      </c>
      <c r="M28" s="144" t="e">
        <f t="shared" si="3"/>
        <v>#DIV/0!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28"/>
      <c r="E31" s="128"/>
      <c r="F31" s="128"/>
      <c r="G31" s="128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A10" zoomScale="85" zoomScaleNormal="85" workbookViewId="0">
      <selection activeCell="P27" sqref="P27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58"/>
      <c r="E2" s="158"/>
      <c r="F2" s="219" t="s">
        <v>72</v>
      </c>
      <c r="G2" s="219"/>
      <c r="H2"/>
      <c r="I2"/>
      <c r="J2"/>
      <c r="K2" s="158"/>
      <c r="L2" s="158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2">
        <v>21.8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3">
        <f>$G$3</f>
        <v>21.8</v>
      </c>
    </row>
    <row r="4" spans="1:27" s="58" customFormat="1" ht="39.200000000000003" customHeight="1" thickBot="1">
      <c r="A4" s="84" t="s">
        <v>31</v>
      </c>
      <c r="B4" s="164">
        <v>19166</v>
      </c>
      <c r="C4" s="164">
        <v>19916</v>
      </c>
      <c r="D4" s="164">
        <v>19440</v>
      </c>
      <c r="E4" s="164">
        <v>18829</v>
      </c>
      <c r="F4" s="164">
        <v>18385</v>
      </c>
      <c r="G4" s="165">
        <f>통계요약!I7</f>
        <v>11004</v>
      </c>
      <c r="H4" s="84" t="s">
        <v>32</v>
      </c>
      <c r="I4" s="164">
        <v>102121</v>
      </c>
      <c r="J4" s="164">
        <v>112948</v>
      </c>
      <c r="K4" s="164">
        <v>112491</v>
      </c>
      <c r="L4" s="164">
        <v>115147</v>
      </c>
      <c r="M4" s="164">
        <v>112966</v>
      </c>
      <c r="N4" s="166">
        <f>통계요약!I10/1000</f>
        <v>76887.274000000005</v>
      </c>
    </row>
    <row r="5" spans="1:27" s="58" customFormat="1" ht="30.2" customHeight="1" thickBot="1">
      <c r="A5"/>
      <c r="B5"/>
      <c r="C5"/>
      <c r="D5" s="158"/>
      <c r="E5" s="158"/>
      <c r="F5" s="220" t="s">
        <v>33</v>
      </c>
      <c r="G5" s="220"/>
      <c r="H5" s="62"/>
      <c r="I5" s="63"/>
      <c r="J5" s="63"/>
      <c r="K5" s="158"/>
      <c r="L5" s="158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3">
        <f>$G$3</f>
        <v>21.8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3">
        <f>$G$3</f>
        <v>21.8</v>
      </c>
    </row>
    <row r="7" spans="1:27" s="58" customFormat="1" ht="37.5" customHeight="1" thickBot="1">
      <c r="A7" s="84" t="s">
        <v>35</v>
      </c>
      <c r="B7" s="167">
        <v>565661</v>
      </c>
      <c r="C7" s="167">
        <v>623339</v>
      </c>
      <c r="D7" s="167">
        <v>643233</v>
      </c>
      <c r="E7" s="167">
        <v>689852</v>
      </c>
      <c r="F7" s="167">
        <v>723427</v>
      </c>
      <c r="G7" s="168">
        <f>통계요약!I20</f>
        <v>615524</v>
      </c>
      <c r="H7" s="84" t="s">
        <v>36</v>
      </c>
      <c r="I7" s="164">
        <v>494740</v>
      </c>
      <c r="J7" s="164">
        <v>435104</v>
      </c>
      <c r="K7" s="164">
        <v>482428</v>
      </c>
      <c r="L7" s="164">
        <v>452480</v>
      </c>
      <c r="M7" s="164">
        <v>623733</v>
      </c>
      <c r="N7" s="169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G18" sqref="G18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1" width="11" style="70" customWidth="1"/>
    <col min="12" max="12" width="12.75" style="70" customWidth="1"/>
    <col min="13" max="13" width="11" style="70" customWidth="1"/>
    <col min="14" max="16384" width="10" style="70"/>
  </cols>
  <sheetData>
    <row r="1" spans="1:13" ht="50.25" customHeight="1" thickBot="1">
      <c r="A1" s="86" t="s">
        <v>38</v>
      </c>
      <c r="F1" s="172"/>
      <c r="G1" s="172"/>
      <c r="H1" s="172"/>
      <c r="I1" s="172"/>
      <c r="J1" s="71"/>
      <c r="K1" s="72"/>
      <c r="L1" s="73"/>
      <c r="M1" s="74"/>
    </row>
    <row r="2" spans="1:13" ht="21.95" customHeight="1">
      <c r="A2" s="241" t="s">
        <v>39</v>
      </c>
      <c r="B2" s="242"/>
      <c r="C2" s="242"/>
      <c r="D2" s="245" t="s">
        <v>40</v>
      </c>
      <c r="E2" s="75"/>
      <c r="F2" s="247" t="s">
        <v>74</v>
      </c>
      <c r="G2" s="248"/>
      <c r="H2" s="237" t="s">
        <v>76</v>
      </c>
      <c r="I2" s="237"/>
      <c r="J2" s="237" t="s">
        <v>41</v>
      </c>
      <c r="K2" s="237"/>
      <c r="L2" s="237"/>
      <c r="M2" s="238"/>
    </row>
    <row r="3" spans="1:13" ht="21.95" customHeight="1">
      <c r="A3" s="243"/>
      <c r="B3" s="244"/>
      <c r="C3" s="244"/>
      <c r="D3" s="246"/>
      <c r="E3" s="76" t="s">
        <v>42</v>
      </c>
      <c r="F3" s="76" t="str">
        <f>통계요약!F6</f>
        <v>8월(A)</v>
      </c>
      <c r="G3" s="76" t="str">
        <f>통계요약!G6</f>
        <v>8월누계(B)</v>
      </c>
      <c r="H3" s="161" t="str">
        <f>통계요약!H6</f>
        <v>8월(C)</v>
      </c>
      <c r="I3" s="76" t="str">
        <f>통계요약!I6</f>
        <v>8월누계(D)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39" t="s">
        <v>46</v>
      </c>
      <c r="B4" s="240"/>
      <c r="C4" s="240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63879</v>
      </c>
      <c r="G4" s="118">
        <f>SUM(G6,G8,G10,G12,G14,G16,G18,G22,G24,G26,G28,G20)</f>
        <v>500617</v>
      </c>
      <c r="H4" s="118">
        <f>SUM(H6,H8,H12,H14,H16,H18,H22,H24,H26,H28,H20,H10)</f>
        <v>82960</v>
      </c>
      <c r="I4" s="118">
        <f>SUM(I6,I8,I12,I14,I16,I18,I22,I24,I26,I28,I20,I10)</f>
        <v>615511</v>
      </c>
      <c r="J4" s="108">
        <f t="shared" ref="J4:J27" si="0">H4-F4</f>
        <v>19081</v>
      </c>
      <c r="K4" s="109">
        <f t="shared" ref="K4:K29" si="1">(H4/F4*100)-100</f>
        <v>29.870536483038222</v>
      </c>
      <c r="L4" s="110">
        <f t="shared" ref="L4:L27" si="2">I4-G4</f>
        <v>114894</v>
      </c>
      <c r="M4" s="122">
        <f t="shared" ref="M4:M27" si="3">(I4/G4*100)-100</f>
        <v>22.95047910877976</v>
      </c>
    </row>
    <row r="5" spans="1:13" ht="21.95" customHeight="1">
      <c r="A5" s="239"/>
      <c r="B5" s="240"/>
      <c r="C5" s="240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1005107</v>
      </c>
      <c r="G5" s="118">
        <f>SUM(G7,G9,G11,G13,G15,G17,G19,G23,G25,G27,G29,G21)</f>
        <v>7534973</v>
      </c>
      <c r="H5" s="118">
        <f>SUM(H7,H9,H13,H15,H17,H19,H23,H25,H27,H29,H21,H11)</f>
        <v>1240451</v>
      </c>
      <c r="I5" s="118">
        <f>SUM(I7,I9,I13,I15,I17,I19,I23,I25,I27,I29,I21,I11)</f>
        <v>9334207</v>
      </c>
      <c r="J5" s="108">
        <f t="shared" si="0"/>
        <v>235344</v>
      </c>
      <c r="K5" s="109">
        <f t="shared" si="1"/>
        <v>23.414820511647022</v>
      </c>
      <c r="L5" s="110">
        <f t="shared" si="2"/>
        <v>1799234</v>
      </c>
      <c r="M5" s="122">
        <f t="shared" si="3"/>
        <v>23.878439909472803</v>
      </c>
    </row>
    <row r="6" spans="1:13" ht="21.2" customHeight="1">
      <c r="A6" s="227" t="s">
        <v>53</v>
      </c>
      <c r="B6" s="228"/>
      <c r="C6" s="228"/>
      <c r="D6" s="80" t="s">
        <v>47</v>
      </c>
      <c r="E6" s="119">
        <v>40012</v>
      </c>
      <c r="F6" s="119">
        <v>3015</v>
      </c>
      <c r="G6" s="119">
        <v>23170</v>
      </c>
      <c r="H6" s="119">
        <v>4744</v>
      </c>
      <c r="I6" s="119">
        <v>36205</v>
      </c>
      <c r="J6" s="111">
        <f>I6-F6</f>
        <v>33190</v>
      </c>
      <c r="K6" s="112">
        <f>(I6/F6*100)-100</f>
        <v>1100.8291873963517</v>
      </c>
      <c r="L6" s="113">
        <f>I6-G6</f>
        <v>13035</v>
      </c>
      <c r="M6" s="123">
        <f>(I6/G6*100)-100</f>
        <v>56.258092360811389</v>
      </c>
    </row>
    <row r="7" spans="1:13" ht="21.2" customHeight="1">
      <c r="A7" s="227"/>
      <c r="B7" s="228"/>
      <c r="C7" s="228"/>
      <c r="D7" s="80" t="s">
        <v>48</v>
      </c>
      <c r="E7" s="119">
        <v>733864</v>
      </c>
      <c r="F7" s="119">
        <v>55374</v>
      </c>
      <c r="G7" s="119">
        <v>426069</v>
      </c>
      <c r="H7" s="119">
        <v>86870</v>
      </c>
      <c r="I7" s="119">
        <v>659855</v>
      </c>
      <c r="J7" s="111">
        <f t="shared" ref="J7:J18" si="4">H7-F7</f>
        <v>31496</v>
      </c>
      <c r="K7" s="112">
        <f t="shared" ref="K7:K17" si="5">(H7/F7*100)-100</f>
        <v>56.878679524686675</v>
      </c>
      <c r="L7" s="113">
        <f t="shared" si="2"/>
        <v>233786</v>
      </c>
      <c r="M7" s="123">
        <f t="shared" si="3"/>
        <v>54.870455254900008</v>
      </c>
    </row>
    <row r="8" spans="1:13" ht="21.2" customHeight="1">
      <c r="A8" s="227" t="s">
        <v>54</v>
      </c>
      <c r="B8" s="228"/>
      <c r="C8" s="228"/>
      <c r="D8" s="80" t="s">
        <v>47</v>
      </c>
      <c r="E8" s="119">
        <v>64529</v>
      </c>
      <c r="F8" s="119">
        <v>5512</v>
      </c>
      <c r="G8" s="119">
        <v>40743</v>
      </c>
      <c r="H8" s="119">
        <v>7223</v>
      </c>
      <c r="I8" s="119">
        <v>48164</v>
      </c>
      <c r="J8" s="111">
        <f>I8-F8</f>
        <v>42652</v>
      </c>
      <c r="K8" s="112">
        <f>(I8/F8*100)-100</f>
        <v>773.80261248185786</v>
      </c>
      <c r="L8" s="113">
        <f>I8-G8</f>
        <v>7421</v>
      </c>
      <c r="M8" s="123">
        <f>(I8/G8*100)-100</f>
        <v>18.214171759566057</v>
      </c>
    </row>
    <row r="9" spans="1:13" ht="21.2" customHeight="1">
      <c r="A9" s="227"/>
      <c r="B9" s="228"/>
      <c r="C9" s="228"/>
      <c r="D9" s="80" t="s">
        <v>48</v>
      </c>
      <c r="E9" s="119">
        <v>1014764</v>
      </c>
      <c r="F9" s="119">
        <v>85539</v>
      </c>
      <c r="G9" s="119">
        <v>640266</v>
      </c>
      <c r="H9" s="119">
        <v>106610</v>
      </c>
      <c r="I9" s="119">
        <v>743529</v>
      </c>
      <c r="J9" s="111">
        <f t="shared" si="4"/>
        <v>21071</v>
      </c>
      <c r="K9" s="112">
        <f t="shared" si="5"/>
        <v>24.633208244192701</v>
      </c>
      <c r="L9" s="113">
        <f t="shared" si="2"/>
        <v>103263</v>
      </c>
      <c r="M9" s="123">
        <f t="shared" si="3"/>
        <v>16.128140491608178</v>
      </c>
    </row>
    <row r="10" spans="1:13" ht="21.2" customHeight="1">
      <c r="A10" s="221" t="s">
        <v>66</v>
      </c>
      <c r="B10" s="222"/>
      <c r="C10" s="223"/>
      <c r="D10" s="80" t="s">
        <v>47</v>
      </c>
      <c r="E10" s="119">
        <v>11</v>
      </c>
      <c r="F10" s="156"/>
      <c r="G10" s="156"/>
      <c r="H10" s="119"/>
      <c r="I10" s="156"/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24"/>
      <c r="B11" s="225"/>
      <c r="C11" s="226"/>
      <c r="D11" s="80" t="s">
        <v>65</v>
      </c>
      <c r="E11" s="156">
        <v>0</v>
      </c>
      <c r="F11" s="156"/>
      <c r="G11" s="156"/>
      <c r="H11" s="119"/>
      <c r="I11" s="156"/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7" t="s">
        <v>55</v>
      </c>
      <c r="B12" s="228"/>
      <c r="C12" s="228"/>
      <c r="D12" s="80" t="s">
        <v>47</v>
      </c>
      <c r="E12" s="119">
        <v>94591</v>
      </c>
      <c r="F12" s="119">
        <v>10143</v>
      </c>
      <c r="G12" s="119">
        <v>59338</v>
      </c>
      <c r="H12" s="119">
        <v>8814</v>
      </c>
      <c r="I12" s="119">
        <v>75127</v>
      </c>
      <c r="J12" s="111">
        <f>I12-F12</f>
        <v>64984</v>
      </c>
      <c r="K12" s="112">
        <f>(I12/F12*100)-100</f>
        <v>640.67830030562948</v>
      </c>
      <c r="L12" s="113">
        <f>I12-G12</f>
        <v>15789</v>
      </c>
      <c r="M12" s="123">
        <f>(I12/G12*100)-100</f>
        <v>26.608581347534454</v>
      </c>
    </row>
    <row r="13" spans="1:13" ht="21.2" customHeight="1">
      <c r="A13" s="227"/>
      <c r="B13" s="228"/>
      <c r="C13" s="228"/>
      <c r="D13" s="80" t="s">
        <v>48</v>
      </c>
      <c r="E13" s="119">
        <v>1458673</v>
      </c>
      <c r="F13" s="119">
        <v>175419</v>
      </c>
      <c r="G13" s="119">
        <v>892912</v>
      </c>
      <c r="H13" s="119">
        <v>144596</v>
      </c>
      <c r="I13" s="119">
        <v>1140760</v>
      </c>
      <c r="J13" s="111">
        <f t="shared" si="4"/>
        <v>-30823</v>
      </c>
      <c r="K13" s="112">
        <f t="shared" si="5"/>
        <v>-17.571072688819342</v>
      </c>
      <c r="L13" s="113">
        <f t="shared" si="2"/>
        <v>247848</v>
      </c>
      <c r="M13" s="123">
        <f t="shared" si="3"/>
        <v>27.757270593294763</v>
      </c>
    </row>
    <row r="14" spans="1:13" ht="21.2" customHeight="1">
      <c r="A14" s="227" t="s">
        <v>62</v>
      </c>
      <c r="B14" s="228"/>
      <c r="C14" s="228"/>
      <c r="D14" s="80" t="s">
        <v>47</v>
      </c>
      <c r="E14" s="119">
        <v>230422</v>
      </c>
      <c r="F14" s="119">
        <v>19503</v>
      </c>
      <c r="G14" s="119">
        <v>141797</v>
      </c>
      <c r="H14" s="119">
        <v>24151</v>
      </c>
      <c r="I14" s="119">
        <v>179301</v>
      </c>
      <c r="J14" s="111">
        <f t="shared" si="4"/>
        <v>4648</v>
      </c>
      <c r="K14" s="112">
        <f t="shared" si="5"/>
        <v>23.832230938829909</v>
      </c>
      <c r="L14" s="113">
        <f t="shared" si="2"/>
        <v>37504</v>
      </c>
      <c r="M14" s="123">
        <f t="shared" si="3"/>
        <v>26.449078612382479</v>
      </c>
    </row>
    <row r="15" spans="1:13" ht="21.2" customHeight="1">
      <c r="A15" s="227"/>
      <c r="B15" s="228"/>
      <c r="C15" s="228"/>
      <c r="D15" s="80" t="s">
        <v>48</v>
      </c>
      <c r="E15" s="119">
        <v>3151058</v>
      </c>
      <c r="F15" s="119">
        <v>265732</v>
      </c>
      <c r="G15" s="119">
        <v>1926771</v>
      </c>
      <c r="H15" s="119">
        <v>292478</v>
      </c>
      <c r="I15" s="119">
        <v>2427822</v>
      </c>
      <c r="J15" s="111">
        <f t="shared" si="4"/>
        <v>26746</v>
      </c>
      <c r="K15" s="112">
        <f t="shared" si="5"/>
        <v>10.065027922869646</v>
      </c>
      <c r="L15" s="113">
        <f t="shared" si="2"/>
        <v>501051</v>
      </c>
      <c r="M15" s="123">
        <f t="shared" si="3"/>
        <v>26.004699053494164</v>
      </c>
    </row>
    <row r="16" spans="1:13" ht="21.2" customHeight="1">
      <c r="A16" s="227" t="s">
        <v>56</v>
      </c>
      <c r="B16" s="228"/>
      <c r="C16" s="228"/>
      <c r="D16" s="80" t="s">
        <v>47</v>
      </c>
      <c r="E16" s="119">
        <v>142475</v>
      </c>
      <c r="F16" s="119">
        <v>8346</v>
      </c>
      <c r="G16" s="119">
        <v>102730</v>
      </c>
      <c r="H16" s="119">
        <v>12105</v>
      </c>
      <c r="I16" s="119">
        <v>99178</v>
      </c>
      <c r="J16" s="111">
        <f t="shared" si="4"/>
        <v>3759</v>
      </c>
      <c r="K16" s="81">
        <f t="shared" si="5"/>
        <v>45.039539899352974</v>
      </c>
      <c r="L16" s="82">
        <f t="shared" si="2"/>
        <v>-3552</v>
      </c>
      <c r="M16" s="124">
        <f t="shared" si="3"/>
        <v>-3.4576073201596387</v>
      </c>
    </row>
    <row r="17" spans="1:13" ht="21.2" customHeight="1">
      <c r="A17" s="227"/>
      <c r="B17" s="228"/>
      <c r="C17" s="228"/>
      <c r="D17" s="80" t="s">
        <v>48</v>
      </c>
      <c r="E17" s="119">
        <v>2264820</v>
      </c>
      <c r="F17" s="119">
        <v>142300</v>
      </c>
      <c r="G17" s="119">
        <v>1633359</v>
      </c>
      <c r="H17" s="119">
        <v>197245</v>
      </c>
      <c r="I17" s="119">
        <v>1566502</v>
      </c>
      <c r="J17" s="111">
        <f t="shared" si="4"/>
        <v>54945</v>
      </c>
      <c r="K17" s="81">
        <f t="shared" si="5"/>
        <v>38.612087139845414</v>
      </c>
      <c r="L17" s="82">
        <f t="shared" si="2"/>
        <v>-66857</v>
      </c>
      <c r="M17" s="124">
        <f t="shared" si="3"/>
        <v>-4.0932213922352645</v>
      </c>
    </row>
    <row r="18" spans="1:13" ht="21.2" customHeight="1">
      <c r="A18" s="231" t="s">
        <v>70</v>
      </c>
      <c r="B18" s="232"/>
      <c r="C18" s="232"/>
      <c r="D18" s="146" t="s">
        <v>47</v>
      </c>
      <c r="E18" s="145">
        <v>670</v>
      </c>
      <c r="F18" s="155"/>
      <c r="G18" s="155"/>
      <c r="H18" s="155"/>
      <c r="I18" s="155"/>
      <c r="J18" s="147">
        <f t="shared" si="4"/>
        <v>0</v>
      </c>
      <c r="K18" s="148" t="s">
        <v>68</v>
      </c>
      <c r="L18" s="149">
        <f t="shared" si="2"/>
        <v>0</v>
      </c>
      <c r="M18" s="150">
        <v>0</v>
      </c>
    </row>
    <row r="19" spans="1:13" ht="21.2" customHeight="1">
      <c r="A19" s="233"/>
      <c r="B19" s="234"/>
      <c r="C19" s="234"/>
      <c r="D19" s="151" t="s">
        <v>48</v>
      </c>
      <c r="E19" s="145">
        <v>6371</v>
      </c>
      <c r="F19" s="155"/>
      <c r="G19" s="155"/>
      <c r="H19" s="155"/>
      <c r="I19" s="155"/>
      <c r="J19" s="147">
        <f t="shared" si="0"/>
        <v>0</v>
      </c>
      <c r="K19" s="152" t="s">
        <v>68</v>
      </c>
      <c r="L19" s="153">
        <f t="shared" si="2"/>
        <v>0</v>
      </c>
      <c r="M19" s="154">
        <v>0</v>
      </c>
    </row>
    <row r="20" spans="1:13" ht="21.2" customHeight="1">
      <c r="A20" s="221" t="s">
        <v>63</v>
      </c>
      <c r="B20" s="222"/>
      <c r="C20" s="223"/>
      <c r="D20" s="83" t="s">
        <v>64</v>
      </c>
      <c r="E20" s="119">
        <v>112</v>
      </c>
      <c r="F20" s="155"/>
      <c r="G20" s="155">
        <v>64</v>
      </c>
      <c r="H20" s="155"/>
      <c r="I20" s="155">
        <v>16</v>
      </c>
      <c r="J20" s="111">
        <f t="shared" si="0"/>
        <v>0</v>
      </c>
      <c r="K20" s="138" t="s">
        <v>68</v>
      </c>
      <c r="L20" s="115">
        <f t="shared" si="2"/>
        <v>-48</v>
      </c>
      <c r="M20" s="125">
        <f t="shared" si="3"/>
        <v>-75</v>
      </c>
    </row>
    <row r="21" spans="1:13" ht="21.2" customHeight="1">
      <c r="A21" s="224"/>
      <c r="B21" s="225"/>
      <c r="C21" s="226"/>
      <c r="D21" s="83" t="s">
        <v>65</v>
      </c>
      <c r="E21" s="119">
        <v>776</v>
      </c>
      <c r="F21" s="155"/>
      <c r="G21" s="155">
        <v>424</v>
      </c>
      <c r="H21" s="155"/>
      <c r="I21" s="155">
        <v>129</v>
      </c>
      <c r="J21" s="111">
        <f t="shared" si="0"/>
        <v>0</v>
      </c>
      <c r="K21" s="138" t="s">
        <v>68</v>
      </c>
      <c r="L21" s="115">
        <f t="shared" si="2"/>
        <v>-295</v>
      </c>
      <c r="M21" s="125">
        <f t="shared" si="3"/>
        <v>-69.575471698113205</v>
      </c>
    </row>
    <row r="22" spans="1:13" ht="21.2" customHeight="1">
      <c r="A22" s="227" t="s">
        <v>58</v>
      </c>
      <c r="B22" s="228"/>
      <c r="C22" s="228"/>
      <c r="D22" s="80" t="s">
        <v>47</v>
      </c>
      <c r="E22" s="119">
        <v>544</v>
      </c>
      <c r="F22" s="156">
        <v>112</v>
      </c>
      <c r="G22" s="119">
        <v>428</v>
      </c>
      <c r="H22" s="119">
        <v>22</v>
      </c>
      <c r="I22" s="156">
        <v>214</v>
      </c>
      <c r="J22" s="111">
        <f t="shared" si="0"/>
        <v>-90</v>
      </c>
      <c r="K22" s="112">
        <f t="shared" si="1"/>
        <v>-80.357142857142861</v>
      </c>
      <c r="L22" s="113">
        <f t="shared" si="2"/>
        <v>-214</v>
      </c>
      <c r="M22" s="123">
        <f t="shared" si="3"/>
        <v>-50</v>
      </c>
    </row>
    <row r="23" spans="1:13" ht="21.2" customHeight="1">
      <c r="A23" s="235"/>
      <c r="B23" s="236"/>
      <c r="C23" s="236"/>
      <c r="D23" s="83" t="s">
        <v>48</v>
      </c>
      <c r="E23" s="119">
        <v>4339</v>
      </c>
      <c r="F23" s="156">
        <v>737</v>
      </c>
      <c r="G23" s="119">
        <v>3603</v>
      </c>
      <c r="H23" s="119">
        <v>83</v>
      </c>
      <c r="I23" s="156">
        <v>1900</v>
      </c>
      <c r="J23" s="111">
        <f t="shared" si="0"/>
        <v>-654</v>
      </c>
      <c r="K23" s="114">
        <f t="shared" si="1"/>
        <v>-88.738127544097694</v>
      </c>
      <c r="L23" s="115">
        <f t="shared" si="2"/>
        <v>-1703</v>
      </c>
      <c r="M23" s="125">
        <f t="shared" si="3"/>
        <v>-47.266167082986399</v>
      </c>
    </row>
    <row r="24" spans="1:13" ht="21.2" customHeight="1">
      <c r="A24" s="227" t="s">
        <v>59</v>
      </c>
      <c r="B24" s="228"/>
      <c r="C24" s="228"/>
      <c r="D24" s="80" t="s">
        <v>47</v>
      </c>
      <c r="E24" s="119">
        <v>75409</v>
      </c>
      <c r="F24" s="119">
        <v>5754</v>
      </c>
      <c r="G24" s="119">
        <v>45060</v>
      </c>
      <c r="H24" s="119">
        <v>9512</v>
      </c>
      <c r="I24" s="119">
        <v>60540</v>
      </c>
      <c r="J24" s="111">
        <f t="shared" si="0"/>
        <v>3758</v>
      </c>
      <c r="K24" s="112">
        <f t="shared" si="1"/>
        <v>65.311087938825153</v>
      </c>
      <c r="L24" s="113">
        <f t="shared" si="2"/>
        <v>15480</v>
      </c>
      <c r="M24" s="123">
        <f t="shared" si="3"/>
        <v>34.354194407456731</v>
      </c>
    </row>
    <row r="25" spans="1:13" ht="21.2" customHeight="1">
      <c r="A25" s="227"/>
      <c r="B25" s="228"/>
      <c r="C25" s="228"/>
      <c r="D25" s="80" t="s">
        <v>48</v>
      </c>
      <c r="E25" s="119">
        <v>1215186</v>
      </c>
      <c r="F25" s="119">
        <v>97135</v>
      </c>
      <c r="G25" s="119">
        <v>711352</v>
      </c>
      <c r="H25" s="119">
        <v>160500</v>
      </c>
      <c r="I25" s="119">
        <v>998731</v>
      </c>
      <c r="J25" s="111">
        <f t="shared" si="0"/>
        <v>63365</v>
      </c>
      <c r="K25" s="112">
        <f t="shared" si="1"/>
        <v>65.233952746178005</v>
      </c>
      <c r="L25" s="113">
        <f t="shared" si="2"/>
        <v>287379</v>
      </c>
      <c r="M25" s="123">
        <f t="shared" si="3"/>
        <v>40.398986718249205</v>
      </c>
    </row>
    <row r="26" spans="1:13" ht="21.2" customHeight="1">
      <c r="A26" s="227" t="s">
        <v>60</v>
      </c>
      <c r="B26" s="228"/>
      <c r="C26" s="228"/>
      <c r="D26" s="85" t="s">
        <v>47</v>
      </c>
      <c r="E26" s="120">
        <v>105261</v>
      </c>
      <c r="F26" s="120">
        <v>8916</v>
      </c>
      <c r="G26" s="120">
        <v>65532</v>
      </c>
      <c r="H26" s="119">
        <v>11342</v>
      </c>
      <c r="I26" s="120">
        <v>80335</v>
      </c>
      <c r="J26" s="111">
        <f t="shared" si="0"/>
        <v>2426</v>
      </c>
      <c r="K26" s="116">
        <f t="shared" si="1"/>
        <v>27.209510991475995</v>
      </c>
      <c r="L26" s="117">
        <f t="shared" si="2"/>
        <v>14803</v>
      </c>
      <c r="M26" s="126">
        <f t="shared" si="3"/>
        <v>22.588964170176396</v>
      </c>
    </row>
    <row r="27" spans="1:13" ht="21.2" customHeight="1">
      <c r="A27" s="227"/>
      <c r="B27" s="228"/>
      <c r="C27" s="228"/>
      <c r="D27" s="83" t="s">
        <v>48</v>
      </c>
      <c r="E27" s="129">
        <v>1550056</v>
      </c>
      <c r="F27" s="129">
        <v>139478</v>
      </c>
      <c r="G27" s="129">
        <v>958848</v>
      </c>
      <c r="H27" s="119">
        <v>169831</v>
      </c>
      <c r="I27" s="129">
        <v>1215247</v>
      </c>
      <c r="J27" s="130">
        <f t="shared" si="0"/>
        <v>30353</v>
      </c>
      <c r="K27" s="114">
        <f t="shared" si="1"/>
        <v>21.761854916187502</v>
      </c>
      <c r="L27" s="115">
        <f t="shared" si="2"/>
        <v>256399</v>
      </c>
      <c r="M27" s="125">
        <f t="shared" si="3"/>
        <v>26.740317547723947</v>
      </c>
    </row>
    <row r="28" spans="1:13" ht="21.2" customHeight="1">
      <c r="A28" s="227" t="s">
        <v>61</v>
      </c>
      <c r="B28" s="228"/>
      <c r="C28" s="228"/>
      <c r="D28" s="80" t="s">
        <v>47</v>
      </c>
      <c r="E28" s="119">
        <v>38607</v>
      </c>
      <c r="F28" s="119">
        <v>2578</v>
      </c>
      <c r="G28" s="119">
        <v>21755</v>
      </c>
      <c r="H28" s="119">
        <v>5047</v>
      </c>
      <c r="I28" s="119">
        <v>36431</v>
      </c>
      <c r="J28" s="111">
        <f>H28-F28</f>
        <v>2469</v>
      </c>
      <c r="K28" s="114">
        <f t="shared" si="1"/>
        <v>95.771916214119472</v>
      </c>
      <c r="L28" s="113">
        <f>I28-G28</f>
        <v>14676</v>
      </c>
      <c r="M28" s="136" t="s">
        <v>67</v>
      </c>
    </row>
    <row r="29" spans="1:13" ht="21.2" customHeight="1" thickBot="1">
      <c r="A29" s="229"/>
      <c r="B29" s="230"/>
      <c r="C29" s="230"/>
      <c r="D29" s="131" t="s">
        <v>48</v>
      </c>
      <c r="E29" s="132">
        <v>594069</v>
      </c>
      <c r="F29" s="132">
        <v>43393</v>
      </c>
      <c r="G29" s="132">
        <v>341369</v>
      </c>
      <c r="H29" s="132">
        <v>82238</v>
      </c>
      <c r="I29" s="132">
        <v>579732</v>
      </c>
      <c r="J29" s="133">
        <f>H29-F29</f>
        <v>38845</v>
      </c>
      <c r="K29" s="173">
        <f t="shared" si="1"/>
        <v>89.51904685087456</v>
      </c>
      <c r="L29" s="134">
        <f>I29-G29</f>
        <v>238363</v>
      </c>
      <c r="M29" s="137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2021-05-03T08:06:18Z</cp:lastPrinted>
  <dcterms:created xsi:type="dcterms:W3CDTF">1998-03-31T03:01:22Z</dcterms:created>
  <dcterms:modified xsi:type="dcterms:W3CDTF">2021-09-27T03:01:14Z</dcterms:modified>
</cp:coreProperties>
</file>