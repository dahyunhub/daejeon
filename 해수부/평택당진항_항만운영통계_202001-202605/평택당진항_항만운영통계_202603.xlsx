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5" yWindow="-105" windowWidth="23250" windowHeight="12570" tabRatio="601" firstSheet="1" activeTab="3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_FilterDatabase" localSheetId="3" hidden="1">'컨테이너 재게'!$B$7:$AI$39</definedName>
    <definedName name="_xlnm.Print_Area" localSheetId="2">'연도별 수송실적'!$B$1:$P$33</definedName>
    <definedName name="_xlnm.Print_Area" localSheetId="1">통계요약!$A$3:$M$30</definedName>
  </definedNames>
  <calcPr calcId="145621"/>
</workbook>
</file>

<file path=xl/calcChain.xml><?xml version="1.0" encoding="utf-8"?>
<calcChain xmlns="http://schemas.openxmlformats.org/spreadsheetml/2006/main">
  <c r="F37" i="32" l="1"/>
  <c r="F36" i="32"/>
  <c r="F35" i="32"/>
  <c r="F34" i="32"/>
  <c r="F33" i="32"/>
  <c r="F32" i="32"/>
  <c r="F23" i="32"/>
  <c r="F22" i="32"/>
  <c r="F21" i="32"/>
  <c r="F20" i="32"/>
  <c r="F19" i="32"/>
  <c r="F18" i="32"/>
  <c r="F13" i="32"/>
  <c r="F12" i="32"/>
  <c r="F11" i="32"/>
  <c r="F10" i="32"/>
  <c r="H23" i="32"/>
  <c r="H22" i="32"/>
  <c r="H21" i="32"/>
  <c r="H20" i="32"/>
  <c r="H19" i="32"/>
  <c r="H18" i="32"/>
  <c r="H36" i="32"/>
  <c r="H37" i="32"/>
  <c r="H35" i="32"/>
  <c r="H34" i="32"/>
  <c r="H33" i="32"/>
  <c r="H32" i="32"/>
  <c r="H13" i="32"/>
  <c r="H12" i="32"/>
  <c r="G18" i="21"/>
  <c r="G17" i="21"/>
  <c r="G15" i="21"/>
  <c r="F15" i="21"/>
  <c r="G14" i="21"/>
  <c r="G13" i="21"/>
  <c r="G25" i="21"/>
  <c r="G24" i="21"/>
  <c r="G23" i="21"/>
  <c r="I25" i="21"/>
  <c r="I24" i="21"/>
  <c r="I23" i="21"/>
  <c r="I18" i="21"/>
  <c r="I17" i="21"/>
  <c r="I15" i="21"/>
  <c r="H15" i="21"/>
  <c r="I14" i="21"/>
  <c r="I13" i="21"/>
  <c r="G29" i="21"/>
  <c r="G10" i="21"/>
  <c r="F10" i="21"/>
  <c r="G9" i="21"/>
  <c r="F9" i="21"/>
  <c r="I10" i="21"/>
  <c r="H10" i="21"/>
  <c r="I9" i="21"/>
  <c r="H9" i="21"/>
  <c r="G10" i="33" l="1"/>
  <c r="G7" i="33"/>
  <c r="O7" i="33"/>
  <c r="E15" i="21"/>
  <c r="E10" i="21"/>
  <c r="E9" i="21"/>
  <c r="J29" i="21"/>
  <c r="J24" i="21" l="1"/>
  <c r="J25" i="21"/>
  <c r="J23" i="21"/>
  <c r="L9" i="21"/>
  <c r="E7" i="32" l="1"/>
  <c r="I22" i="21" l="1"/>
  <c r="I8" i="21" l="1"/>
  <c r="H7" i="33" s="1"/>
  <c r="E12" i="21" l="1"/>
  <c r="L22" i="32"/>
  <c r="L28" i="32"/>
  <c r="E16" i="21"/>
  <c r="H9" i="32" l="1"/>
  <c r="J13" i="21"/>
  <c r="J14" i="21"/>
  <c r="J15" i="21"/>
  <c r="J18" i="21"/>
  <c r="J17" i="21"/>
  <c r="M29" i="21"/>
  <c r="I14" i="32" l="1"/>
  <c r="K30" i="32" l="1"/>
  <c r="I28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9" i="32"/>
  <c r="I30" i="32"/>
  <c r="I31" i="32"/>
  <c r="I32" i="32"/>
  <c r="I33" i="32"/>
  <c r="I34" i="32"/>
  <c r="I35" i="32"/>
  <c r="I36" i="32"/>
  <c r="I37" i="32"/>
  <c r="I13" i="32"/>
  <c r="G8" i="32"/>
  <c r="G9" i="32"/>
  <c r="J25" i="32" l="1"/>
  <c r="J24" i="32"/>
  <c r="D9" i="32"/>
  <c r="D8" i="32"/>
  <c r="E8" i="21"/>
  <c r="F9" i="32" l="1"/>
  <c r="H12" i="21"/>
  <c r="F8" i="32" l="1"/>
  <c r="E9" i="32"/>
  <c r="E8" i="32"/>
  <c r="L11" i="32" l="1"/>
  <c r="L12" i="32"/>
  <c r="L13" i="32"/>
  <c r="L14" i="32"/>
  <c r="L15" i="32"/>
  <c r="L16" i="32"/>
  <c r="L17" i="32"/>
  <c r="L18" i="32"/>
  <c r="L19" i="32"/>
  <c r="L20" i="32"/>
  <c r="L21" i="32"/>
  <c r="L23" i="32"/>
  <c r="L24" i="32"/>
  <c r="L25" i="32"/>
  <c r="L26" i="32"/>
  <c r="L27" i="32"/>
  <c r="L29" i="32"/>
  <c r="L30" i="32"/>
  <c r="L31" i="32"/>
  <c r="L32" i="32"/>
  <c r="L33" i="32"/>
  <c r="L34" i="32"/>
  <c r="L35" i="32"/>
  <c r="L36" i="32"/>
  <c r="L37" i="32"/>
  <c r="L10" i="32"/>
  <c r="K11" i="32"/>
  <c r="K12" i="32"/>
  <c r="K13" i="32"/>
  <c r="K14" i="32"/>
  <c r="K15" i="32"/>
  <c r="K16" i="32"/>
  <c r="K17" i="32"/>
  <c r="K18" i="32"/>
  <c r="K19" i="32"/>
  <c r="K20" i="32"/>
  <c r="K21" i="32"/>
  <c r="K22" i="32"/>
  <c r="K23" i="32"/>
  <c r="K24" i="32"/>
  <c r="K25" i="32"/>
  <c r="K26" i="32"/>
  <c r="K27" i="32"/>
  <c r="K28" i="32"/>
  <c r="K29" i="32"/>
  <c r="K31" i="32"/>
  <c r="K32" i="32"/>
  <c r="K33" i="32"/>
  <c r="K34" i="32"/>
  <c r="K35" i="32"/>
  <c r="K36" i="32"/>
  <c r="K37" i="32"/>
  <c r="K10" i="32"/>
  <c r="J11" i="32"/>
  <c r="J12" i="32"/>
  <c r="J13" i="32"/>
  <c r="J14" i="32"/>
  <c r="J15" i="32"/>
  <c r="J16" i="32"/>
  <c r="J17" i="32"/>
  <c r="J18" i="32"/>
  <c r="J19" i="32"/>
  <c r="J20" i="32"/>
  <c r="J21" i="32"/>
  <c r="J22" i="32"/>
  <c r="J23" i="32"/>
  <c r="J26" i="32"/>
  <c r="J27" i="32"/>
  <c r="J28" i="32"/>
  <c r="J29" i="32"/>
  <c r="J30" i="32"/>
  <c r="J31" i="32"/>
  <c r="J32" i="32"/>
  <c r="J33" i="32"/>
  <c r="J34" i="32"/>
  <c r="J35" i="32"/>
  <c r="J36" i="32"/>
  <c r="J37" i="32"/>
  <c r="J10" i="32"/>
  <c r="I11" i="32"/>
  <c r="I12" i="32"/>
  <c r="I10" i="32"/>
  <c r="L18" i="21" l="1"/>
  <c r="L17" i="21"/>
  <c r="L13" i="21"/>
  <c r="AF15" i="32" l="1"/>
  <c r="AG15" i="32"/>
  <c r="AG14" i="32"/>
  <c r="AF14" i="32"/>
  <c r="AG13" i="32"/>
  <c r="AF13" i="32"/>
  <c r="AE15" i="32"/>
  <c r="AD15" i="32"/>
  <c r="AE14" i="32"/>
  <c r="AD14" i="32"/>
  <c r="AE13" i="32"/>
  <c r="AD13" i="32"/>
  <c r="AH15" i="32" l="1"/>
  <c r="AI15" i="32"/>
  <c r="AI14" i="32"/>
  <c r="AI13" i="32"/>
  <c r="AH14" i="32"/>
  <c r="AH13" i="32"/>
  <c r="I16" i="21" l="1"/>
  <c r="I12" i="21"/>
  <c r="H16" i="21"/>
  <c r="H11" i="21" l="1"/>
  <c r="I11" i="21"/>
  <c r="P7" i="33" s="1"/>
  <c r="F16" i="21"/>
  <c r="J16" i="21" s="1"/>
  <c r="F12" i="21"/>
  <c r="J12" i="21" s="1"/>
  <c r="G16" i="21"/>
  <c r="G12" i="21"/>
  <c r="F11" i="21" l="1"/>
  <c r="G11" i="21"/>
  <c r="H8" i="32" l="1"/>
  <c r="E11" i="21" l="1"/>
  <c r="H22" i="21"/>
  <c r="G22" i="21" l="1"/>
  <c r="L12" i="21"/>
  <c r="G8" i="21" l="1"/>
  <c r="M8" i="21" l="1"/>
  <c r="H8" i="21"/>
  <c r="P9" i="33" l="1"/>
  <c r="H9" i="33"/>
  <c r="P6" i="33"/>
  <c r="H7" i="32" l="1"/>
  <c r="G7" i="32"/>
  <c r="F7" i="32"/>
  <c r="L29" i="21" l="1"/>
  <c r="K29" i="21"/>
  <c r="L27" i="21"/>
  <c r="L28" i="21"/>
  <c r="J27" i="21" l="1"/>
  <c r="J28" i="21"/>
  <c r="I26" i="21" l="1"/>
  <c r="E26" i="21" l="1"/>
  <c r="E22" i="21"/>
  <c r="E21" i="21" l="1"/>
  <c r="F22" i="21" l="1"/>
  <c r="F8" i="21"/>
  <c r="F26" i="21" l="1"/>
  <c r="J26" i="21" s="1"/>
  <c r="G26" i="21"/>
  <c r="G21" i="21" s="1"/>
  <c r="L26" i="21" l="1"/>
  <c r="K15" i="21"/>
  <c r="M25" i="21" l="1"/>
  <c r="J9" i="21"/>
  <c r="K9" i="21"/>
  <c r="M9" i="21"/>
  <c r="J10" i="21"/>
  <c r="K10" i="21"/>
  <c r="L10" i="21"/>
  <c r="M10" i="21"/>
  <c r="K13" i="21"/>
  <c r="M13" i="21"/>
  <c r="K14" i="21"/>
  <c r="L14" i="21"/>
  <c r="M14" i="21"/>
  <c r="L15" i="21"/>
  <c r="M15" i="21"/>
  <c r="K17" i="21"/>
  <c r="M17" i="21"/>
  <c r="K18" i="21"/>
  <c r="M18" i="21"/>
  <c r="K23" i="21"/>
  <c r="L23" i="21"/>
  <c r="M23" i="21"/>
  <c r="K24" i="21"/>
  <c r="L24" i="21"/>
  <c r="M24" i="21"/>
  <c r="K25" i="21"/>
  <c r="L25" i="21"/>
  <c r="I21" i="21" l="1"/>
  <c r="H10" i="33" s="1"/>
  <c r="H21" i="21"/>
  <c r="L9" i="32"/>
  <c r="I8" i="32"/>
  <c r="M12" i="21"/>
  <c r="K16" i="21"/>
  <c r="K8" i="32"/>
  <c r="M22" i="21"/>
  <c r="K22" i="21"/>
  <c r="F21" i="21"/>
  <c r="L22" i="21"/>
  <c r="J22" i="21"/>
  <c r="L16" i="21"/>
  <c r="K12" i="21"/>
  <c r="M16" i="21"/>
  <c r="L8" i="21"/>
  <c r="J8" i="21"/>
  <c r="K8" i="21"/>
  <c r="J9" i="32"/>
  <c r="I9" i="32"/>
  <c r="L8" i="32"/>
  <c r="L21" i="21" l="1"/>
  <c r="J21" i="21"/>
  <c r="L11" i="21"/>
  <c r="K9" i="32"/>
  <c r="J8" i="32"/>
  <c r="M11" i="21"/>
  <c r="K21" i="21"/>
  <c r="M21" i="21"/>
  <c r="J11" i="21"/>
  <c r="K11" i="21"/>
</calcChain>
</file>

<file path=xl/sharedStrings.xml><?xml version="1.0" encoding="utf-8"?>
<sst xmlns="http://schemas.openxmlformats.org/spreadsheetml/2006/main" count="159" uniqueCount="111">
  <si>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</si>
  <si>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</si>
  <si>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</si>
  <si>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</si>
  <si>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</si>
  <si>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</si>
  <si>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</si>
  <si>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10" type="noConversion"/>
  </si>
  <si>
    <t xml:space="preserve"> 합  계</t>
    <phoneticPr fontId="10" type="noConversion"/>
  </si>
  <si>
    <t xml:space="preserve"> 외  항</t>
    <phoneticPr fontId="10" type="noConversion"/>
  </si>
  <si>
    <t xml:space="preserve"> 내  항</t>
    <phoneticPr fontId="10" type="noConversion"/>
  </si>
  <si>
    <t>연간누계</t>
    <phoneticPr fontId="10" type="noConversion"/>
  </si>
  <si>
    <t>계</t>
    <phoneticPr fontId="10" type="noConversion"/>
  </si>
  <si>
    <t>환적</t>
    <phoneticPr fontId="10" type="noConversion"/>
  </si>
  <si>
    <t>수출</t>
    <phoneticPr fontId="10" type="noConversion"/>
  </si>
  <si>
    <t>전년동기대비</t>
    <phoneticPr fontId="10" type="noConversion"/>
  </si>
  <si>
    <t>(%)</t>
    <phoneticPr fontId="10" type="noConversion"/>
  </si>
  <si>
    <t>환적</t>
    <phoneticPr fontId="10" type="noConversion"/>
  </si>
  <si>
    <t>D-B</t>
    <phoneticPr fontId="10" type="noConversion"/>
  </si>
  <si>
    <t>선박</t>
    <phoneticPr fontId="10" type="noConversion"/>
  </si>
  <si>
    <t>화물</t>
    <phoneticPr fontId="10" type="noConversion"/>
  </si>
  <si>
    <t>(단위:TEU, 100% 기준)</t>
    <phoneticPr fontId="10" type="noConversion"/>
  </si>
  <si>
    <t>컨테이너</t>
    <phoneticPr fontId="10" type="noConversion"/>
  </si>
  <si>
    <t>구     분</t>
    <phoneticPr fontId="10" type="noConversion"/>
  </si>
  <si>
    <t>단위</t>
    <phoneticPr fontId="22" type="noConversion"/>
  </si>
  <si>
    <t>전년동기대비</t>
    <phoneticPr fontId="10" type="noConversion"/>
  </si>
  <si>
    <t>연간누계</t>
    <phoneticPr fontId="10" type="noConversion"/>
  </si>
  <si>
    <t>C-A</t>
    <phoneticPr fontId="10" type="noConversion"/>
  </si>
  <si>
    <t>(%)</t>
    <phoneticPr fontId="10" type="noConversion"/>
  </si>
  <si>
    <t>D-B</t>
    <phoneticPr fontId="10" type="noConversion"/>
  </si>
  <si>
    <t>합  계</t>
    <phoneticPr fontId="10" type="noConversion"/>
  </si>
  <si>
    <t>TEU</t>
    <phoneticPr fontId="22" type="noConversion"/>
  </si>
  <si>
    <t>톤</t>
    <phoneticPr fontId="22" type="noConversion"/>
  </si>
  <si>
    <t>국제여객부두1번</t>
  </si>
  <si>
    <t>국제여객부두2번</t>
  </si>
  <si>
    <t>동부두 6</t>
    <phoneticPr fontId="22" type="noConversion"/>
  </si>
  <si>
    <t>동부두 8</t>
    <phoneticPr fontId="22" type="noConversion"/>
  </si>
  <si>
    <t>C-A</t>
    <phoneticPr fontId="10" type="noConversion"/>
  </si>
  <si>
    <t>동부두 12</t>
    <phoneticPr fontId="22" type="noConversion"/>
  </si>
  <si>
    <t>동부두 14</t>
    <phoneticPr fontId="22" type="noConversion"/>
  </si>
  <si>
    <t>동부두 15</t>
    <phoneticPr fontId="22" type="noConversion"/>
  </si>
  <si>
    <t>동부두 16</t>
    <phoneticPr fontId="22" type="noConversion"/>
  </si>
  <si>
    <t>동부두 7</t>
    <phoneticPr fontId="22" type="noConversion"/>
  </si>
  <si>
    <t>동부두 11</t>
    <phoneticPr fontId="22" type="noConversion"/>
  </si>
  <si>
    <t>TEU</t>
    <phoneticPr fontId="22" type="noConversion"/>
  </si>
  <si>
    <t>톤</t>
    <phoneticPr fontId="22" type="noConversion"/>
  </si>
  <si>
    <t>동부두 5</t>
    <phoneticPr fontId="22" type="noConversion"/>
  </si>
  <si>
    <t>자동차(대)</t>
    <phoneticPr fontId="10" type="noConversion"/>
  </si>
  <si>
    <t>동부두 9</t>
    <phoneticPr fontId="22" type="noConversion"/>
  </si>
  <si>
    <t>소계</t>
    <phoneticPr fontId="10" type="noConversion"/>
  </si>
  <si>
    <t>(단위 : 척)</t>
    <phoneticPr fontId="10" type="noConversion"/>
  </si>
  <si>
    <t>국제여객부두 1번선석</t>
  </si>
  <si>
    <t>국제여객부두 2번선석</t>
    <phoneticPr fontId="22" type="noConversion"/>
  </si>
  <si>
    <t>동부두 5번선석</t>
    <phoneticPr fontId="22" type="noConversion"/>
  </si>
  <si>
    <t>동부두 6번선석</t>
    <phoneticPr fontId="22" type="noConversion"/>
  </si>
  <si>
    <t>동부두 6번선석</t>
    <phoneticPr fontId="22" type="noConversion"/>
  </si>
  <si>
    <t>동부두 7번선석</t>
    <phoneticPr fontId="22" type="noConversion"/>
  </si>
  <si>
    <t>동부두 7번선석</t>
    <phoneticPr fontId="22" type="noConversion"/>
  </si>
  <si>
    <t>동부두 8번선석</t>
    <phoneticPr fontId="22" type="noConversion"/>
  </si>
  <si>
    <t>동부두 8번선석</t>
    <phoneticPr fontId="22" type="noConversion"/>
  </si>
  <si>
    <t>동부두 9번선석</t>
    <phoneticPr fontId="22" type="noConversion"/>
  </si>
  <si>
    <t>동부두 9번선석</t>
    <phoneticPr fontId="22" type="noConversion"/>
  </si>
  <si>
    <t>동부두 11번선석</t>
    <phoneticPr fontId="22" type="noConversion"/>
  </si>
  <si>
    <t>동부두 12번선석</t>
    <phoneticPr fontId="22" type="noConversion"/>
  </si>
  <si>
    <t>동부두 12번선석</t>
    <phoneticPr fontId="22" type="noConversion"/>
  </si>
  <si>
    <t>동부두 14번선석</t>
    <phoneticPr fontId="22" type="noConversion"/>
  </si>
  <si>
    <t>동부두 14번선석</t>
    <phoneticPr fontId="22" type="noConversion"/>
  </si>
  <si>
    <t>동부두 15번선석</t>
    <phoneticPr fontId="22" type="noConversion"/>
  </si>
  <si>
    <t>동부두 15번선석</t>
    <phoneticPr fontId="22" type="noConversion"/>
  </si>
  <si>
    <t>동부두 16번선석</t>
    <phoneticPr fontId="22" type="noConversion"/>
  </si>
  <si>
    <t>동부두 16번선석</t>
    <phoneticPr fontId="22" type="noConversion"/>
  </si>
  <si>
    <t>동부두 10</t>
    <phoneticPr fontId="22" type="noConversion"/>
  </si>
  <si>
    <t>동부두 1</t>
    <phoneticPr fontId="22" type="noConversion"/>
  </si>
  <si>
    <t>동부두 1번선석</t>
    <phoneticPr fontId="22" type="noConversion"/>
  </si>
  <si>
    <t>동부두 10번선석</t>
    <phoneticPr fontId="22" type="noConversion"/>
  </si>
  <si>
    <t>순증</t>
    <phoneticPr fontId="10" type="noConversion"/>
  </si>
  <si>
    <t>PNCT</t>
    <phoneticPr fontId="22" type="noConversion"/>
  </si>
  <si>
    <t>터미널별</t>
    <phoneticPr fontId="22" type="noConversion"/>
  </si>
  <si>
    <t>2022년 월별</t>
    <phoneticPr fontId="22" type="noConversion"/>
  </si>
  <si>
    <t>2022년 누계</t>
    <phoneticPr fontId="22" type="noConversion"/>
  </si>
  <si>
    <t>2023년 월별</t>
    <phoneticPr fontId="22" type="noConversion"/>
  </si>
  <si>
    <t>2023년 누계</t>
    <phoneticPr fontId="22" type="noConversion"/>
  </si>
  <si>
    <t>여객부두</t>
    <phoneticPr fontId="22" type="noConversion"/>
  </si>
  <si>
    <t>HPCTC</t>
    <phoneticPr fontId="22" type="noConversion"/>
  </si>
  <si>
    <t>`</t>
    <phoneticPr fontId="22" type="noConversion"/>
  </si>
  <si>
    <t>(단위 : 척, 천톤, 100% 기준)</t>
  </si>
  <si>
    <t>컨테이너</t>
    <phoneticPr fontId="10" type="noConversion"/>
  </si>
  <si>
    <t>연도별 수송실적</t>
    <phoneticPr fontId="10" type="noConversion"/>
  </si>
  <si>
    <t>(단위 : 천톤)</t>
    <phoneticPr fontId="10" type="noConversion"/>
  </si>
  <si>
    <t>(단위 : TEU)</t>
    <phoneticPr fontId="10" type="noConversion"/>
  </si>
  <si>
    <t>(단위 : 명)</t>
    <phoneticPr fontId="10" type="noConversion"/>
  </si>
  <si>
    <t>화물
입출항</t>
    <phoneticPr fontId="10" type="noConversion"/>
  </si>
  <si>
    <t>선박
입출항</t>
    <phoneticPr fontId="10" type="noConversion"/>
  </si>
  <si>
    <t>여  객</t>
    <phoneticPr fontId="10" type="noConversion"/>
  </si>
  <si>
    <t>구 분</t>
    <phoneticPr fontId="10" type="noConversion"/>
  </si>
  <si>
    <t>(선박입출항)</t>
    <phoneticPr fontId="10" type="noConversion"/>
  </si>
  <si>
    <t>(화물입출항)</t>
    <phoneticPr fontId="10" type="noConversion"/>
  </si>
  <si>
    <t>(컨테이너)</t>
    <phoneticPr fontId="10" type="noConversion"/>
  </si>
  <si>
    <t xml:space="preserve">□ 연도별 추이 </t>
    <phoneticPr fontId="21" type="noConversion"/>
  </si>
  <si>
    <t>(여 객)</t>
    <phoneticPr fontId="10" type="noConversion"/>
  </si>
  <si>
    <t>`</t>
    <phoneticPr fontId="10" type="noConversion"/>
  </si>
  <si>
    <t xml:space="preserve"> </t>
    <phoneticPr fontId="21" type="noConversion"/>
  </si>
  <si>
    <t>2025년도</t>
    <phoneticPr fontId="10" type="noConversion"/>
  </si>
  <si>
    <t>2026년도</t>
    <phoneticPr fontId="10" type="noConversion"/>
  </si>
  <si>
    <t>3월(A)</t>
    <phoneticPr fontId="10" type="noConversion"/>
  </si>
  <si>
    <t xml:space="preserve">3월누계(B) </t>
    <phoneticPr fontId="10" type="noConversion"/>
  </si>
  <si>
    <t>3월(C)</t>
    <phoneticPr fontId="10" type="noConversion"/>
  </si>
  <si>
    <t xml:space="preserve">3월누계(D) </t>
    <phoneticPr fontId="10" type="noConversion"/>
  </si>
  <si>
    <t>2026.3.</t>
    <phoneticPr fontId="21" type="noConversion"/>
  </si>
  <si>
    <t>항만운영통계(3월)</t>
    <phoneticPr fontId="10" type="noConversion"/>
  </si>
  <si>
    <t>부두별 컨테이너 물동량(3월)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</si>
</sst>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  <numFmt numFmtId="189" formatCode="0.0"/>
  </numFmts>
  <fonts count="42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  <font>
      <sz val="10"/>
      <name val="굴림"/>
      <family val="3"/>
      <charset val="129"/>
    </font>
    <font>
      <sz val="11"/>
      <color theme="1"/>
      <name val="굴림체"/>
      <family val="3"/>
      <charset val="129"/>
    </font>
    <font>
      <sz val="24"/>
      <color indexed="8"/>
      <name val="HY헤드라인M"/>
      <family val="1"/>
      <charset val="129"/>
    </font>
    <font>
      <sz val="10"/>
      <color indexed="8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5" tint="-0.249977111117893"/>
      <name val="굴림체"/>
      <family val="3"/>
      <charset val="129"/>
    </font>
    <font>
      <b/>
      <sz val="10"/>
      <color theme="1"/>
      <name val="바탕체"/>
      <family val="1"/>
      <charset val="129"/>
    </font>
    <font>
      <sz val="10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FE4A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indexed="65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99">
    <xf numFmtId="0" fontId="0" fillId="0" borderId="0"/>
    <xf numFmtId="38" fontId="11" fillId="0" borderId="0" applyFont="0" applyFill="0" applyBorder="0" applyAlignment="0" applyProtection="0"/>
    <xf numFmtId="4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38" fontId="14" fillId="2" borderId="0" applyNumberFormat="0" applyBorder="0" applyAlignment="0" applyProtection="0"/>
    <xf numFmtId="10" fontId="14" fillId="3" borderId="1" applyNumberFormat="0" applyBorder="0" applyAlignment="0" applyProtection="0"/>
    <xf numFmtId="38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179" fontId="12" fillId="0" borderId="0"/>
    <xf numFmtId="0" fontId="11" fillId="0" borderId="0"/>
    <xf numFmtId="10" fontId="12" fillId="0" borderId="0" applyFont="0" applyFill="0" applyBorder="0" applyAlignment="0" applyProtection="0"/>
    <xf numFmtId="9" fontId="13" fillId="0" borderId="2" applyNumberFormat="0" applyBorder="0"/>
    <xf numFmtId="176" fontId="8" fillId="0" borderId="0" applyFont="0" applyFill="0" applyBorder="0" applyAlignment="0" applyProtection="0"/>
    <xf numFmtId="0" fontId="8" fillId="0" borderId="0"/>
    <xf numFmtId="0" fontId="25" fillId="0" borderId="0">
      <alignment vertical="center"/>
    </xf>
    <xf numFmtId="0" fontId="6" fillId="0" borderId="0">
      <alignment vertical="center"/>
    </xf>
    <xf numFmtId="0" fontId="8" fillId="0" borderId="0"/>
    <xf numFmtId="176" fontId="8" fillId="0" borderId="0" applyFont="0" applyFill="0" applyBorder="0" applyAlignment="0" applyProtection="0"/>
    <xf numFmtId="0" fontId="5" fillId="0" borderId="0">
      <alignment vertical="center"/>
    </xf>
    <xf numFmtId="0" fontId="32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/>
    <xf numFmtId="176" fontId="8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36" fillId="0" borderId="0"/>
    <xf numFmtId="0" fontId="25" fillId="0" borderId="0">
      <alignment vertical="center"/>
    </xf>
    <xf numFmtId="0" fontId="37" fillId="0" borderId="0">
      <alignment vertical="center"/>
    </xf>
    <xf numFmtId="0" fontId="25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</cellStyleXfs>
  <cellXfs count="298">
    <xf numFmtId="0" fontId="0" fillId="0" borderId="0" xfId="0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9" fillId="0" borderId="0" xfId="0" applyFont="1" applyAlignment="1">
      <alignment horizontal="right" vertical="center"/>
    </xf>
    <xf numFmtId="180" fontId="9" fillId="0" borderId="0" xfId="0" applyNumberFormat="1" applyFont="1" applyAlignment="1">
      <alignment horizontal="right" vertical="center"/>
    </xf>
    <xf numFmtId="176" fontId="15" fillId="0" borderId="0" xfId="0" applyNumberFormat="1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right" vertical="center"/>
    </xf>
    <xf numFmtId="181" fontId="16" fillId="0" borderId="0" xfId="0" applyNumberFormat="1" applyFont="1" applyFill="1" applyBorder="1" applyAlignment="1">
      <alignment horizontal="right" vertical="center"/>
    </xf>
    <xf numFmtId="9" fontId="16" fillId="0" borderId="0" xfId="0" quotePrefix="1" applyNumberFormat="1" applyFont="1" applyFill="1" applyBorder="1" applyAlignment="1">
      <alignment horizontal="right" vertical="center"/>
    </xf>
    <xf numFmtId="9" fontId="18" fillId="0" borderId="0" xfId="0" applyNumberFormat="1" applyFont="1" applyFill="1" applyBorder="1" applyAlignment="1">
      <alignment horizontal="right" vertical="center"/>
    </xf>
    <xf numFmtId="0" fontId="20" fillId="0" borderId="0" xfId="0" applyFont="1"/>
    <xf numFmtId="0" fontId="8" fillId="0" borderId="0" xfId="16"/>
    <xf numFmtId="0" fontId="23" fillId="0" borderId="0" xfId="0" applyFont="1" applyBorder="1" applyAlignment="1">
      <alignment horizontal="center" vertical="center"/>
    </xf>
    <xf numFmtId="183" fontId="24" fillId="0" borderId="0" xfId="0" applyNumberFormat="1" applyFont="1" applyBorder="1" applyAlignment="1">
      <alignment vertical="center"/>
    </xf>
    <xf numFmtId="0" fontId="8" fillId="0" borderId="0" xfId="16" applyAlignment="1">
      <alignment horizontal="right"/>
    </xf>
    <xf numFmtId="180" fontId="8" fillId="0" borderId="0" xfId="16" applyNumberFormat="1" applyAlignment="1">
      <alignment horizontal="right"/>
    </xf>
    <xf numFmtId="0" fontId="9" fillId="0" borderId="0" xfId="16" applyFont="1" applyAlignment="1">
      <alignment horizontal="right" vertical="center"/>
    </xf>
    <xf numFmtId="180" fontId="9" fillId="0" borderId="0" xfId="16" applyNumberFormat="1" applyFont="1" applyAlignment="1">
      <alignment horizontal="right" vertical="center"/>
    </xf>
    <xf numFmtId="0" fontId="17" fillId="0" borderId="0" xfId="16" applyFont="1" applyAlignment="1">
      <alignment vertical="center"/>
    </xf>
    <xf numFmtId="0" fontId="25" fillId="0" borderId="0" xfId="17">
      <alignment vertical="center"/>
    </xf>
    <xf numFmtId="0" fontId="28" fillId="0" borderId="0" xfId="17" applyFont="1">
      <alignment vertical="center"/>
    </xf>
    <xf numFmtId="0" fontId="0" fillId="0" borderId="0" xfId="16" applyFont="1"/>
    <xf numFmtId="0" fontId="0" fillId="0" borderId="0" xfId="0" applyFont="1"/>
    <xf numFmtId="0" fontId="25" fillId="0" borderId="0" xfId="17" applyFont="1">
      <alignment vertical="center"/>
    </xf>
    <xf numFmtId="3" fontId="0" fillId="0" borderId="0" xfId="0" applyNumberFormat="1"/>
    <xf numFmtId="43" fontId="25" fillId="0" borderId="0" xfId="17" applyNumberFormat="1">
      <alignment vertical="center"/>
    </xf>
    <xf numFmtId="0" fontId="25" fillId="0" borderId="0" xfId="17" applyFont="1" applyAlignment="1">
      <alignment horizontal="center" vertical="center"/>
    </xf>
    <xf numFmtId="0" fontId="25" fillId="0" borderId="0" xfId="17" applyAlignment="1">
      <alignment horizontal="center" vertical="center"/>
    </xf>
    <xf numFmtId="176" fontId="25" fillId="0" borderId="1" xfId="15" applyFont="1" applyBorder="1" applyAlignment="1">
      <alignment horizontal="center" vertical="center"/>
    </xf>
    <xf numFmtId="0" fontId="25" fillId="0" borderId="1" xfId="15" applyNumberFormat="1" applyFont="1" applyBorder="1" applyAlignment="1">
      <alignment horizontal="center" vertical="center"/>
    </xf>
    <xf numFmtId="41" fontId="25" fillId="0" borderId="1" xfId="15" applyNumberFormat="1" applyFont="1" applyBorder="1" applyAlignment="1">
      <alignment horizontal="center" vertical="center"/>
    </xf>
    <xf numFmtId="189" fontId="25" fillId="0" borderId="0" xfId="17" applyNumberFormat="1">
      <alignment vertical="center"/>
    </xf>
    <xf numFmtId="176" fontId="16" fillId="0" borderId="0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0" fontId="25" fillId="0" borderId="0" xfId="65">
      <alignment vertical="center"/>
    </xf>
    <xf numFmtId="0" fontId="25" fillId="0" borderId="0" xfId="65" applyAlignment="1">
      <alignment horizontal="center" vertical="center"/>
    </xf>
    <xf numFmtId="0" fontId="0" fillId="0" borderId="0" xfId="0" applyAlignment="1">
      <alignment horizontal="center" vertical="center"/>
    </xf>
    <xf numFmtId="180" fontId="0" fillId="0" borderId="0" xfId="0" applyNumberFormat="1" applyBorder="1" applyAlignment="1">
      <alignment horizontal="center"/>
    </xf>
    <xf numFmtId="180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0" fontId="25" fillId="0" borderId="0" xfId="65" applyFill="1" applyBorder="1">
      <alignment vertical="center"/>
    </xf>
    <xf numFmtId="0" fontId="8" fillId="0" borderId="0" xfId="16" applyFill="1" applyBorder="1"/>
    <xf numFmtId="186" fontId="23" fillId="0" borderId="0" xfId="0" applyNumberFormat="1" applyFont="1" applyFill="1" applyBorder="1" applyAlignment="1">
      <alignment horizontal="center" vertical="center"/>
    </xf>
    <xf numFmtId="176" fontId="30" fillId="0" borderId="0" xfId="15" applyFont="1" applyFill="1" applyBorder="1" applyAlignment="1">
      <alignment horizontal="center" vertical="center"/>
    </xf>
    <xf numFmtId="187" fontId="23" fillId="0" borderId="0" xfId="0" quotePrefix="1" applyNumberFormat="1" applyFont="1" applyFill="1" applyBorder="1" applyAlignment="1">
      <alignment horizontal="center" vertical="center"/>
    </xf>
    <xf numFmtId="176" fontId="30" fillId="0" borderId="0" xfId="15" applyFont="1" applyFill="1" applyBorder="1" applyAlignment="1">
      <alignment horizontal="center" vertical="center" shrinkToFit="1"/>
    </xf>
    <xf numFmtId="0" fontId="17" fillId="0" borderId="0" xfId="16" applyFont="1" applyFill="1" applyBorder="1" applyAlignment="1">
      <alignment vertical="center"/>
    </xf>
    <xf numFmtId="176" fontId="16" fillId="8" borderId="6" xfId="0" applyNumberFormat="1" applyFont="1" applyFill="1" applyBorder="1" applyAlignment="1">
      <alignment horizontal="right" vertical="center"/>
    </xf>
    <xf numFmtId="9" fontId="16" fillId="8" borderId="6" xfId="0" quotePrefix="1" applyNumberFormat="1" applyFont="1" applyFill="1" applyBorder="1" applyAlignment="1">
      <alignment horizontal="right" vertical="center"/>
    </xf>
    <xf numFmtId="9" fontId="15" fillId="4" borderId="6" xfId="0" quotePrefix="1" applyNumberFormat="1" applyFont="1" applyFill="1" applyBorder="1" applyAlignment="1">
      <alignment horizontal="right" vertical="center"/>
    </xf>
    <xf numFmtId="9" fontId="9" fillId="4" borderId="6" xfId="0" applyNumberFormat="1" applyFont="1" applyFill="1" applyBorder="1" applyAlignment="1">
      <alignment horizontal="right" vertical="center"/>
    </xf>
    <xf numFmtId="176" fontId="15" fillId="0" borderId="6" xfId="0" applyNumberFormat="1" applyFont="1" applyFill="1" applyBorder="1" applyAlignment="1">
      <alignment horizontal="right" vertical="center"/>
    </xf>
    <xf numFmtId="182" fontId="16" fillId="8" borderId="6" xfId="0" applyNumberFormat="1" applyFont="1" applyFill="1" applyBorder="1" applyAlignment="1">
      <alignment horizontal="right" vertical="center"/>
    </xf>
    <xf numFmtId="176" fontId="16" fillId="8" borderId="6" xfId="0" applyNumberFormat="1" applyFont="1" applyFill="1" applyBorder="1" applyAlignment="1">
      <alignment horizontal="center" vertical="center"/>
    </xf>
    <xf numFmtId="176" fontId="15" fillId="4" borderId="6" xfId="0" applyNumberFormat="1" applyFont="1" applyFill="1" applyBorder="1" applyAlignment="1">
      <alignment horizontal="center" vertical="center"/>
    </xf>
    <xf numFmtId="176" fontId="29" fillId="4" borderId="6" xfId="0" applyNumberFormat="1" applyFont="1" applyFill="1" applyBorder="1" applyAlignment="1">
      <alignment horizontal="center" vertical="center"/>
    </xf>
    <xf numFmtId="9" fontId="9" fillId="4" borderId="11" xfId="0" applyNumberFormat="1" applyFont="1" applyFill="1" applyBorder="1" applyAlignment="1">
      <alignment horizontal="right" vertical="center"/>
    </xf>
    <xf numFmtId="9" fontId="18" fillId="8" borderId="11" xfId="0" applyNumberFormat="1" applyFont="1" applyFill="1" applyBorder="1" applyAlignment="1">
      <alignment horizontal="right" vertical="center"/>
    </xf>
    <xf numFmtId="176" fontId="15" fillId="0" borderId="6" xfId="0" applyNumberFormat="1" applyFont="1" applyBorder="1" applyAlignment="1">
      <alignment horizontal="center" vertical="center"/>
    </xf>
    <xf numFmtId="176" fontId="15" fillId="0" borderId="6" xfId="0" applyNumberFormat="1" applyFont="1" applyFill="1" applyBorder="1" applyAlignment="1">
      <alignment horizontal="center" vertical="center"/>
    </xf>
    <xf numFmtId="176" fontId="29" fillId="4" borderId="6" xfId="0" applyNumberFormat="1" applyFont="1" applyFill="1" applyBorder="1" applyAlignment="1">
      <alignment horizontal="right" vertical="center"/>
    </xf>
    <xf numFmtId="0" fontId="16" fillId="4" borderId="10" xfId="0" applyFont="1" applyFill="1" applyBorder="1" applyAlignment="1">
      <alignment horizontal="left"/>
    </xf>
    <xf numFmtId="176" fontId="29" fillId="4" borderId="11" xfId="0" applyNumberFormat="1" applyFont="1" applyFill="1" applyBorder="1" applyAlignment="1">
      <alignment horizontal="center" vertical="center"/>
    </xf>
    <xf numFmtId="176" fontId="16" fillId="6" borderId="18" xfId="0" applyNumberFormat="1" applyFont="1" applyFill="1" applyBorder="1" applyAlignment="1">
      <alignment horizontal="center" vertical="center"/>
    </xf>
    <xf numFmtId="176" fontId="16" fillId="6" borderId="18" xfId="0" applyNumberFormat="1" applyFont="1" applyFill="1" applyBorder="1" applyAlignment="1">
      <alignment horizontal="center" vertical="center" wrapText="1"/>
    </xf>
    <xf numFmtId="9" fontId="16" fillId="6" borderId="18" xfId="0" applyNumberFormat="1" applyFont="1" applyFill="1" applyBorder="1" applyAlignment="1">
      <alignment horizontal="center" vertical="center"/>
    </xf>
    <xf numFmtId="180" fontId="16" fillId="6" borderId="19" xfId="0" applyNumberFormat="1" applyFont="1" applyFill="1" applyBorder="1" applyAlignment="1">
      <alignment horizontal="center" vertical="center"/>
    </xf>
    <xf numFmtId="176" fontId="15" fillId="0" borderId="20" xfId="0" applyNumberFormat="1" applyFont="1" applyBorder="1" applyAlignment="1">
      <alignment horizontal="right" vertical="center"/>
    </xf>
    <xf numFmtId="176" fontId="15" fillId="4" borderId="20" xfId="0" applyNumberFormat="1" applyFont="1" applyFill="1" applyBorder="1" applyAlignment="1">
      <alignment horizontal="right" vertical="center"/>
    </xf>
    <xf numFmtId="9" fontId="15" fillId="4" borderId="20" xfId="0" quotePrefix="1" applyNumberFormat="1" applyFont="1" applyFill="1" applyBorder="1" applyAlignment="1">
      <alignment horizontal="right" vertical="center"/>
    </xf>
    <xf numFmtId="9" fontId="9" fillId="4" borderId="21" xfId="0" applyNumberFormat="1" applyFont="1" applyFill="1" applyBorder="1" applyAlignment="1">
      <alignment horizontal="right" vertical="center"/>
    </xf>
    <xf numFmtId="176" fontId="16" fillId="8" borderId="23" xfId="0" applyNumberFormat="1" applyFont="1" applyFill="1" applyBorder="1" applyAlignment="1">
      <alignment horizontal="right" vertical="center"/>
    </xf>
    <xf numFmtId="9" fontId="16" fillId="8" borderId="23" xfId="0" quotePrefix="1" applyNumberFormat="1" applyFont="1" applyFill="1" applyBorder="1" applyAlignment="1">
      <alignment horizontal="right" vertical="center"/>
    </xf>
    <xf numFmtId="9" fontId="18" fillId="8" borderId="24" xfId="0" applyNumberFormat="1" applyFont="1" applyFill="1" applyBorder="1" applyAlignment="1">
      <alignment horizontal="right" vertical="center"/>
    </xf>
    <xf numFmtId="176" fontId="15" fillId="0" borderId="18" xfId="0" applyNumberFormat="1" applyFont="1" applyFill="1" applyBorder="1" applyAlignment="1">
      <alignment horizontal="right" vertical="center"/>
    </xf>
    <xf numFmtId="9" fontId="15" fillId="0" borderId="18" xfId="0" quotePrefix="1" applyNumberFormat="1" applyFont="1" applyFill="1" applyBorder="1" applyAlignment="1">
      <alignment horizontal="right" vertical="center"/>
    </xf>
    <xf numFmtId="9" fontId="9" fillId="0" borderId="19" xfId="0" applyNumberFormat="1" applyFont="1" applyFill="1" applyBorder="1" applyAlignment="1">
      <alignment horizontal="right" vertical="center"/>
    </xf>
    <xf numFmtId="176" fontId="16" fillId="8" borderId="20" xfId="0" applyNumberFormat="1" applyFont="1" applyFill="1" applyBorder="1" applyAlignment="1">
      <alignment horizontal="center" vertical="center"/>
    </xf>
    <xf numFmtId="182" fontId="16" fillId="8" borderId="20" xfId="0" applyNumberFormat="1" applyFont="1" applyFill="1" applyBorder="1" applyAlignment="1">
      <alignment horizontal="right" vertical="center"/>
    </xf>
    <xf numFmtId="176" fontId="16" fillId="8" borderId="20" xfId="0" applyNumberFormat="1" applyFont="1" applyFill="1" applyBorder="1" applyAlignment="1">
      <alignment horizontal="right" vertical="center"/>
    </xf>
    <xf numFmtId="9" fontId="16" fillId="8" borderId="20" xfId="0" quotePrefix="1" applyNumberFormat="1" applyFont="1" applyFill="1" applyBorder="1" applyAlignment="1">
      <alignment horizontal="right" vertical="center"/>
    </xf>
    <xf numFmtId="9" fontId="18" fillId="8" borderId="21" xfId="0" applyNumberFormat="1" applyFont="1" applyFill="1" applyBorder="1" applyAlignment="1">
      <alignment horizontal="right" vertical="center"/>
    </xf>
    <xf numFmtId="0" fontId="15" fillId="4" borderId="18" xfId="0" applyFont="1" applyFill="1" applyBorder="1" applyAlignment="1">
      <alignment horizontal="center"/>
    </xf>
    <xf numFmtId="176" fontId="15" fillId="0" borderId="18" xfId="0" applyNumberFormat="1" applyFont="1" applyBorder="1" applyAlignment="1">
      <alignment horizontal="right" vertical="center"/>
    </xf>
    <xf numFmtId="176" fontId="15" fillId="0" borderId="18" xfId="0" applyNumberFormat="1" applyFont="1" applyBorder="1" applyAlignment="1">
      <alignment horizontal="center" vertical="center"/>
    </xf>
    <xf numFmtId="176" fontId="16" fillId="4" borderId="18" xfId="0" applyNumberFormat="1" applyFont="1" applyFill="1" applyBorder="1" applyAlignment="1">
      <alignment horizontal="right" vertical="center"/>
    </xf>
    <xf numFmtId="9" fontId="18" fillId="8" borderId="20" xfId="0" applyNumberFormat="1" applyFont="1" applyFill="1" applyBorder="1" applyAlignment="1">
      <alignment horizontal="right" vertical="center"/>
    </xf>
    <xf numFmtId="176" fontId="16" fillId="8" borderId="23" xfId="0" applyNumberFormat="1" applyFont="1" applyFill="1" applyBorder="1" applyAlignment="1">
      <alignment horizontal="center" vertical="center" shrinkToFit="1"/>
    </xf>
    <xf numFmtId="176" fontId="16" fillId="8" borderId="23" xfId="0" applyNumberFormat="1" applyFont="1" applyFill="1" applyBorder="1" applyAlignment="1">
      <alignment horizontal="center" vertical="center"/>
    </xf>
    <xf numFmtId="176" fontId="16" fillId="8" borderId="23" xfId="0" applyNumberFormat="1" applyFont="1" applyFill="1" applyBorder="1" applyAlignment="1">
      <alignment horizontal="right" vertical="center" shrinkToFit="1"/>
    </xf>
    <xf numFmtId="9" fontId="16" fillId="8" borderId="23" xfId="0" quotePrefix="1" applyNumberFormat="1" applyFont="1" applyFill="1" applyBorder="1" applyAlignment="1">
      <alignment horizontal="right" vertical="center" shrinkToFit="1"/>
    </xf>
    <xf numFmtId="41" fontId="15" fillId="0" borderId="18" xfId="0" applyNumberFormat="1" applyFont="1" applyFill="1" applyBorder="1" applyAlignment="1">
      <alignment horizontal="center" vertical="center"/>
    </xf>
    <xf numFmtId="176" fontId="29" fillId="4" borderId="18" xfId="0" applyNumberFormat="1" applyFont="1" applyFill="1" applyBorder="1" applyAlignment="1">
      <alignment horizontal="right" vertical="center"/>
    </xf>
    <xf numFmtId="176" fontId="29" fillId="4" borderId="18" xfId="0" applyNumberFormat="1" applyFont="1" applyFill="1" applyBorder="1" applyAlignment="1">
      <alignment horizontal="center" vertical="center"/>
    </xf>
    <xf numFmtId="176" fontId="29" fillId="4" borderId="19" xfId="0" applyNumberFormat="1" applyFont="1" applyFill="1" applyBorder="1" applyAlignment="1">
      <alignment horizontal="center" vertical="center"/>
    </xf>
    <xf numFmtId="176" fontId="15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23" fillId="4" borderId="6" xfId="17" applyFont="1" applyFill="1" applyBorder="1" applyAlignment="1">
      <alignment horizontal="center" vertical="center"/>
    </xf>
    <xf numFmtId="184" fontId="16" fillId="4" borderId="6" xfId="17" quotePrefix="1" applyNumberFormat="1" applyFont="1" applyFill="1" applyBorder="1" applyAlignment="1">
      <alignment horizontal="right" vertical="center" shrinkToFit="1"/>
    </xf>
    <xf numFmtId="176" fontId="16" fillId="4" borderId="6" xfId="17" applyNumberFormat="1" applyFont="1" applyFill="1" applyBorder="1" applyAlignment="1">
      <alignment horizontal="right" vertical="center" shrinkToFit="1"/>
    </xf>
    <xf numFmtId="0" fontId="23" fillId="0" borderId="6" xfId="17" applyFont="1" applyFill="1" applyBorder="1" applyAlignment="1">
      <alignment horizontal="center" vertical="center"/>
    </xf>
    <xf numFmtId="184" fontId="16" fillId="4" borderId="11" xfId="17" quotePrefix="1" applyNumberFormat="1" applyFont="1" applyFill="1" applyBorder="1" applyAlignment="1">
      <alignment horizontal="right" vertical="center" shrinkToFit="1"/>
    </xf>
    <xf numFmtId="0" fontId="23" fillId="4" borderId="13" xfId="17" applyFont="1" applyFill="1" applyBorder="1" applyAlignment="1">
      <alignment horizontal="center" vertical="center"/>
    </xf>
    <xf numFmtId="184" fontId="16" fillId="4" borderId="13" xfId="17" quotePrefix="1" applyNumberFormat="1" applyFont="1" applyFill="1" applyBorder="1" applyAlignment="1">
      <alignment horizontal="right" vertical="center" shrinkToFit="1"/>
    </xf>
    <xf numFmtId="176" fontId="16" fillId="4" borderId="13" xfId="17" applyNumberFormat="1" applyFont="1" applyFill="1" applyBorder="1" applyAlignment="1">
      <alignment horizontal="right" vertical="center" shrinkToFit="1"/>
    </xf>
    <xf numFmtId="184" fontId="16" fillId="4" borderId="14" xfId="17" quotePrefix="1" applyNumberFormat="1" applyFont="1" applyFill="1" applyBorder="1" applyAlignment="1">
      <alignment horizontal="right" vertical="center" shrinkToFit="1"/>
    </xf>
    <xf numFmtId="176" fontId="16" fillId="6" borderId="18" xfId="17" applyNumberFormat="1" applyFont="1" applyFill="1" applyBorder="1" applyAlignment="1">
      <alignment horizontal="center" vertical="center"/>
    </xf>
    <xf numFmtId="9" fontId="16" fillId="6" borderId="18" xfId="17" applyNumberFormat="1" applyFont="1" applyFill="1" applyBorder="1" applyAlignment="1">
      <alignment horizontal="center" vertical="center"/>
    </xf>
    <xf numFmtId="0" fontId="18" fillId="6" borderId="18" xfId="17" applyFont="1" applyFill="1" applyBorder="1" applyAlignment="1">
      <alignment horizontal="center" vertical="center"/>
    </xf>
    <xf numFmtId="180" fontId="16" fillId="6" borderId="19" xfId="17" applyNumberFormat="1" applyFont="1" applyFill="1" applyBorder="1" applyAlignment="1">
      <alignment horizontal="center" vertical="center"/>
    </xf>
    <xf numFmtId="0" fontId="23" fillId="8" borderId="28" xfId="17" applyFont="1" applyFill="1" applyBorder="1" applyAlignment="1">
      <alignment horizontal="center" vertical="center"/>
    </xf>
    <xf numFmtId="183" fontId="23" fillId="8" borderId="28" xfId="17" applyNumberFormat="1" applyFont="1" applyFill="1" applyBorder="1" applyAlignment="1">
      <alignment vertical="center" shrinkToFit="1"/>
    </xf>
    <xf numFmtId="185" fontId="16" fillId="8" borderId="28" xfId="17" applyNumberFormat="1" applyFont="1" applyFill="1" applyBorder="1" applyAlignment="1">
      <alignment horizontal="right" vertical="center" shrinkToFit="1"/>
    </xf>
    <xf numFmtId="184" fontId="16" fillId="8" borderId="28" xfId="17" quotePrefix="1" applyNumberFormat="1" applyFont="1" applyFill="1" applyBorder="1" applyAlignment="1">
      <alignment horizontal="right" vertical="center" shrinkToFit="1"/>
    </xf>
    <xf numFmtId="176" fontId="16" fillId="8" borderId="28" xfId="17" applyNumberFormat="1" applyFont="1" applyFill="1" applyBorder="1" applyAlignment="1">
      <alignment horizontal="right" vertical="center" shrinkToFit="1"/>
    </xf>
    <xf numFmtId="184" fontId="16" fillId="8" borderId="29" xfId="17" quotePrefix="1" applyNumberFormat="1" applyFont="1" applyFill="1" applyBorder="1" applyAlignment="1">
      <alignment horizontal="right" vertical="center" shrinkToFit="1"/>
    </xf>
    <xf numFmtId="0" fontId="23" fillId="8" borderId="15" xfId="17" applyFont="1" applyFill="1" applyBorder="1" applyAlignment="1">
      <alignment horizontal="center" vertical="center"/>
    </xf>
    <xf numFmtId="183" fontId="23" fillId="8" borderId="15" xfId="17" applyNumberFormat="1" applyFont="1" applyFill="1" applyBorder="1" applyAlignment="1">
      <alignment vertical="center" shrinkToFit="1"/>
    </xf>
    <xf numFmtId="185" fontId="16" fillId="8" borderId="15" xfId="17" applyNumberFormat="1" applyFont="1" applyFill="1" applyBorder="1" applyAlignment="1">
      <alignment horizontal="right" vertical="center" shrinkToFit="1"/>
    </xf>
    <xf numFmtId="184" fontId="16" fillId="8" borderId="15" xfId="17" quotePrefix="1" applyNumberFormat="1" applyFont="1" applyFill="1" applyBorder="1" applyAlignment="1">
      <alignment horizontal="right" vertical="center" shrinkToFit="1"/>
    </xf>
    <xf numFmtId="176" fontId="16" fillId="8" borderId="15" xfId="17" applyNumberFormat="1" applyFont="1" applyFill="1" applyBorder="1" applyAlignment="1">
      <alignment horizontal="right" vertical="center" shrinkToFit="1"/>
    </xf>
    <xf numFmtId="184" fontId="16" fillId="8" borderId="16" xfId="17" quotePrefix="1" applyNumberFormat="1" applyFont="1" applyFill="1" applyBorder="1" applyAlignment="1">
      <alignment horizontal="right" vertical="center" shrinkToFit="1"/>
    </xf>
    <xf numFmtId="0" fontId="23" fillId="9" borderId="6" xfId="17" applyFont="1" applyFill="1" applyBorder="1" applyAlignment="1">
      <alignment horizontal="center" vertical="center"/>
    </xf>
    <xf numFmtId="184" fontId="16" fillId="9" borderId="6" xfId="17" quotePrefix="1" applyNumberFormat="1" applyFont="1" applyFill="1" applyBorder="1" applyAlignment="1">
      <alignment horizontal="right" vertical="center" shrinkToFit="1"/>
    </xf>
    <xf numFmtId="176" fontId="16" fillId="9" borderId="6" xfId="17" applyNumberFormat="1" applyFont="1" applyFill="1" applyBorder="1" applyAlignment="1">
      <alignment horizontal="right" vertical="center" shrinkToFit="1"/>
    </xf>
    <xf numFmtId="184" fontId="16" fillId="9" borderId="11" xfId="17" quotePrefix="1" applyNumberFormat="1" applyFont="1" applyFill="1" applyBorder="1" applyAlignment="1">
      <alignment horizontal="right" vertical="center" shrinkToFit="1"/>
    </xf>
    <xf numFmtId="41" fontId="24" fillId="9" borderId="6" xfId="23" applyFont="1" applyFill="1" applyBorder="1" applyAlignment="1">
      <alignment horizontal="right" vertical="center"/>
    </xf>
    <xf numFmtId="0" fontId="23" fillId="6" borderId="7" xfId="0" applyFont="1" applyFill="1" applyBorder="1" applyAlignment="1">
      <alignment horizontal="center" vertical="center"/>
    </xf>
    <xf numFmtId="0" fontId="27" fillId="0" borderId="12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/>
    </xf>
    <xf numFmtId="186" fontId="23" fillId="6" borderId="31" xfId="0" applyNumberFormat="1" applyFont="1" applyFill="1" applyBorder="1" applyAlignment="1">
      <alignment horizontal="center" vertical="center"/>
    </xf>
    <xf numFmtId="176" fontId="38" fillId="0" borderId="32" xfId="15" applyFont="1" applyBorder="1" applyAlignment="1">
      <alignment horizontal="center" vertical="center"/>
    </xf>
    <xf numFmtId="187" fontId="23" fillId="6" borderId="31" xfId="0" quotePrefix="1" applyNumberFormat="1" applyFont="1" applyFill="1" applyBorder="1" applyAlignment="1">
      <alignment horizontal="center" vertical="center"/>
    </xf>
    <xf numFmtId="188" fontId="38" fillId="0" borderId="32" xfId="0" applyNumberFormat="1" applyFont="1" applyBorder="1" applyAlignment="1">
      <alignment horizontal="center" vertical="center"/>
    </xf>
    <xf numFmtId="176" fontId="38" fillId="0" borderId="32" xfId="15" applyFont="1" applyBorder="1" applyAlignment="1">
      <alignment horizontal="center" vertical="center" shrinkToFit="1"/>
    </xf>
    <xf numFmtId="0" fontId="25" fillId="0" borderId="0" xfId="17" applyFill="1">
      <alignment vertical="center"/>
    </xf>
    <xf numFmtId="0" fontId="23" fillId="9" borderId="28" xfId="17" applyFont="1" applyFill="1" applyBorder="1" applyAlignment="1">
      <alignment horizontal="center" vertical="center"/>
    </xf>
    <xf numFmtId="184" fontId="16" fillId="9" borderId="28" xfId="17" quotePrefix="1" applyNumberFormat="1" applyFont="1" applyFill="1" applyBorder="1" applyAlignment="1">
      <alignment horizontal="right" vertical="center" shrinkToFit="1"/>
    </xf>
    <xf numFmtId="176" fontId="16" fillId="9" borderId="28" xfId="17" applyNumberFormat="1" applyFont="1" applyFill="1" applyBorder="1" applyAlignment="1">
      <alignment horizontal="right" vertical="center" shrinkToFit="1"/>
    </xf>
    <xf numFmtId="184" fontId="16" fillId="9" borderId="34" xfId="17" quotePrefix="1" applyNumberFormat="1" applyFont="1" applyFill="1" applyBorder="1" applyAlignment="1">
      <alignment horizontal="right" vertical="center" shrinkToFit="1"/>
    </xf>
    <xf numFmtId="176" fontId="15" fillId="4" borderId="15" xfId="0" applyNumberFormat="1" applyFont="1" applyFill="1" applyBorder="1" applyAlignment="1">
      <alignment horizontal="center" vertical="center"/>
    </xf>
    <xf numFmtId="0" fontId="23" fillId="5" borderId="6" xfId="17" applyFont="1" applyFill="1" applyBorder="1" applyAlignment="1">
      <alignment horizontal="center" vertical="center"/>
    </xf>
    <xf numFmtId="184" fontId="16" fillId="5" borderId="6" xfId="17" quotePrefix="1" applyNumberFormat="1" applyFont="1" applyFill="1" applyBorder="1" applyAlignment="1">
      <alignment horizontal="right" vertical="center" shrinkToFit="1"/>
    </xf>
    <xf numFmtId="176" fontId="16" fillId="5" borderId="6" xfId="17" applyNumberFormat="1" applyFont="1" applyFill="1" applyBorder="1" applyAlignment="1">
      <alignment horizontal="right" vertical="center" shrinkToFit="1"/>
    </xf>
    <xf numFmtId="184" fontId="16" fillId="5" borderId="11" xfId="17" quotePrefix="1" applyNumberFormat="1" applyFont="1" applyFill="1" applyBorder="1" applyAlignment="1">
      <alignment horizontal="right" vertical="center" shrinkToFit="1"/>
    </xf>
    <xf numFmtId="185" fontId="16" fillId="9" borderId="35" xfId="17" applyNumberFormat="1" applyFont="1" applyFill="1" applyBorder="1" applyAlignment="1">
      <alignment horizontal="right" vertical="center" shrinkToFit="1"/>
    </xf>
    <xf numFmtId="185" fontId="16" fillId="5" borderId="36" xfId="17" applyNumberFormat="1" applyFont="1" applyFill="1" applyBorder="1" applyAlignment="1">
      <alignment horizontal="right" vertical="center" shrinkToFit="1"/>
    </xf>
    <xf numFmtId="185" fontId="16" fillId="9" borderId="36" xfId="17" applyNumberFormat="1" applyFont="1" applyFill="1" applyBorder="1" applyAlignment="1">
      <alignment horizontal="right" vertical="center" shrinkToFit="1"/>
    </xf>
    <xf numFmtId="41" fontId="24" fillId="5" borderId="6" xfId="40" applyFont="1" applyFill="1" applyBorder="1" applyAlignment="1">
      <alignment horizontal="center" vertical="center"/>
    </xf>
    <xf numFmtId="181" fontId="31" fillId="8" borderId="23" xfId="0" applyNumberFormat="1" applyFont="1" applyFill="1" applyBorder="1" applyAlignment="1">
      <alignment horizontal="right" vertical="center"/>
    </xf>
    <xf numFmtId="176" fontId="31" fillId="8" borderId="23" xfId="0" applyNumberFormat="1" applyFont="1" applyFill="1" applyBorder="1" applyAlignment="1">
      <alignment horizontal="right" vertical="center" shrinkToFit="1"/>
    </xf>
    <xf numFmtId="9" fontId="31" fillId="8" borderId="23" xfId="0" quotePrefix="1" applyNumberFormat="1" applyFont="1" applyFill="1" applyBorder="1" applyAlignment="1">
      <alignment horizontal="right" vertical="center"/>
    </xf>
    <xf numFmtId="9" fontId="39" fillId="8" borderId="24" xfId="0" applyNumberFormat="1" applyFont="1" applyFill="1" applyBorder="1" applyAlignment="1">
      <alignment horizontal="right" vertical="center"/>
    </xf>
    <xf numFmtId="185" fontId="16" fillId="5" borderId="37" xfId="17" applyNumberFormat="1" applyFont="1" applyFill="1" applyBorder="1" applyAlignment="1">
      <alignment horizontal="right" vertical="center" shrinkToFit="1"/>
    </xf>
    <xf numFmtId="180" fontId="15" fillId="0" borderId="0" xfId="0" applyNumberFormat="1" applyFont="1" applyAlignment="1">
      <alignment horizontal="right" vertical="center"/>
    </xf>
    <xf numFmtId="0" fontId="24" fillId="0" borderId="0" xfId="65" applyFont="1">
      <alignment vertical="center"/>
    </xf>
    <xf numFmtId="180" fontId="15" fillId="0" borderId="0" xfId="17" applyNumberFormat="1" applyFont="1" applyAlignment="1">
      <alignment horizontal="right" vertical="center"/>
    </xf>
    <xf numFmtId="0" fontId="24" fillId="0" borderId="0" xfId="17" applyFont="1">
      <alignment vertical="center"/>
    </xf>
    <xf numFmtId="183" fontId="0" fillId="0" borderId="0" xfId="0" applyNumberFormat="1" applyAlignment="1">
      <alignment horizontal="right"/>
    </xf>
    <xf numFmtId="183" fontId="9" fillId="0" borderId="0" xfId="0" applyNumberFormat="1" applyFont="1" applyAlignment="1">
      <alignment horizontal="right" vertical="center"/>
    </xf>
    <xf numFmtId="183" fontId="25" fillId="0" borderId="0" xfId="65" applyNumberFormat="1">
      <alignment vertical="center"/>
    </xf>
    <xf numFmtId="183" fontId="25" fillId="0" borderId="0" xfId="17" applyNumberFormat="1" applyAlignment="1">
      <alignment horizontal="right"/>
    </xf>
    <xf numFmtId="183" fontId="9" fillId="0" borderId="0" xfId="17" applyNumberFormat="1" applyFont="1" applyAlignment="1">
      <alignment horizontal="right" vertical="center"/>
    </xf>
    <xf numFmtId="183" fontId="31" fillId="6" borderId="18" xfId="17" applyNumberFormat="1" applyFont="1" applyFill="1" applyBorder="1" applyAlignment="1">
      <alignment horizontal="center" vertical="center"/>
    </xf>
    <xf numFmtId="183" fontId="16" fillId="6" borderId="18" xfId="17" applyNumberFormat="1" applyFont="1" applyFill="1" applyBorder="1" applyAlignment="1">
      <alignment horizontal="center" vertical="center"/>
    </xf>
    <xf numFmtId="183" fontId="24" fillId="9" borderId="6" xfId="23" applyNumberFormat="1" applyFont="1" applyFill="1" applyBorder="1" applyAlignment="1">
      <alignment horizontal="right" vertical="center"/>
    </xf>
    <xf numFmtId="183" fontId="24" fillId="0" borderId="6" xfId="23" applyNumberFormat="1" applyFont="1" applyFill="1" applyBorder="1" applyAlignment="1">
      <alignment horizontal="right" vertical="center"/>
    </xf>
    <xf numFmtId="183" fontId="25" fillId="0" borderId="0" xfId="17" applyNumberFormat="1">
      <alignment vertical="center"/>
    </xf>
    <xf numFmtId="183" fontId="25" fillId="0" borderId="0" xfId="17" applyNumberFormat="1" applyAlignment="1">
      <alignment horizontal="center" vertical="center"/>
    </xf>
    <xf numFmtId="176" fontId="23" fillId="8" borderId="28" xfId="15" applyFont="1" applyFill="1" applyBorder="1" applyAlignment="1">
      <alignment horizontal="center" vertical="center" shrinkToFit="1"/>
    </xf>
    <xf numFmtId="176" fontId="23" fillId="8" borderId="15" xfId="15" applyFont="1" applyFill="1" applyBorder="1" applyAlignment="1">
      <alignment horizontal="center" vertical="center" shrinkToFit="1"/>
    </xf>
    <xf numFmtId="176" fontId="0" fillId="0" borderId="0" xfId="15" applyFont="1" applyAlignment="1">
      <alignment horizontal="right"/>
    </xf>
    <xf numFmtId="176" fontId="25" fillId="0" borderId="0" xfId="15" applyFont="1" applyAlignment="1">
      <alignment vertical="center"/>
    </xf>
    <xf numFmtId="176" fontId="25" fillId="0" borderId="0" xfId="15" applyFont="1" applyAlignment="1">
      <alignment horizontal="right"/>
    </xf>
    <xf numFmtId="176" fontId="16" fillId="6" borderId="18" xfId="15" applyFont="1" applyFill="1" applyBorder="1" applyAlignment="1">
      <alignment horizontal="center" vertical="center"/>
    </xf>
    <xf numFmtId="176" fontId="23" fillId="8" borderId="28" xfId="15" applyFont="1" applyFill="1" applyBorder="1" applyAlignment="1">
      <alignment vertical="center" shrinkToFit="1"/>
    </xf>
    <xf numFmtId="176" fontId="23" fillId="8" borderId="15" xfId="15" applyFont="1" applyFill="1" applyBorder="1" applyAlignment="1">
      <alignment vertical="center" shrinkToFit="1"/>
    </xf>
    <xf numFmtId="176" fontId="24" fillId="9" borderId="6" xfId="15" applyFont="1" applyFill="1" applyBorder="1" applyAlignment="1">
      <alignment horizontal="right" vertical="center"/>
    </xf>
    <xf numFmtId="185" fontId="41" fillId="10" borderId="36" xfId="103" applyNumberFormat="1" applyFont="1" applyBorder="1" applyAlignment="1">
      <alignment horizontal="right" vertical="center" shrinkToFit="1"/>
    </xf>
    <xf numFmtId="176" fontId="15" fillId="0" borderId="6" xfId="15" applyFont="1" applyFill="1" applyBorder="1" applyAlignment="1">
      <alignment horizontal="center" vertical="center"/>
    </xf>
    <xf numFmtId="176" fontId="0" fillId="0" borderId="0" xfId="15" applyFont="1"/>
    <xf numFmtId="176" fontId="7" fillId="0" borderId="0" xfId="15" applyFont="1" applyBorder="1" applyAlignment="1">
      <alignment vertical="center"/>
    </xf>
    <xf numFmtId="176" fontId="7" fillId="0" borderId="0" xfId="15" applyFont="1" applyBorder="1" applyAlignment="1">
      <alignment horizontal="right" vertical="center"/>
    </xf>
    <xf numFmtId="176" fontId="16" fillId="6" borderId="8" xfId="15" quotePrefix="1" applyFont="1" applyFill="1" applyBorder="1" applyAlignment="1">
      <alignment horizontal="center" vertical="center"/>
    </xf>
    <xf numFmtId="176" fontId="16" fillId="8" borderId="23" xfId="15" applyFont="1" applyFill="1" applyBorder="1" applyAlignment="1">
      <alignment horizontal="right" vertical="center"/>
    </xf>
    <xf numFmtId="176" fontId="15" fillId="0" borderId="18" xfId="15" applyFont="1" applyBorder="1" applyAlignment="1">
      <alignment horizontal="right" vertical="center"/>
    </xf>
    <xf numFmtId="176" fontId="16" fillId="8" borderId="23" xfId="15" applyFont="1" applyFill="1" applyBorder="1" applyAlignment="1">
      <alignment horizontal="center" vertical="center" shrinkToFit="1"/>
    </xf>
    <xf numFmtId="176" fontId="16" fillId="8" borderId="20" xfId="15" applyFont="1" applyFill="1" applyBorder="1" applyAlignment="1">
      <alignment horizontal="center" vertical="center"/>
    </xf>
    <xf numFmtId="176" fontId="15" fillId="0" borderId="6" xfId="15" applyFont="1" applyFill="1" applyBorder="1" applyAlignment="1">
      <alignment horizontal="right" vertical="center"/>
    </xf>
    <xf numFmtId="176" fontId="29" fillId="4" borderId="6" xfId="15" applyFont="1" applyFill="1" applyBorder="1" applyAlignment="1">
      <alignment horizontal="center" vertical="center"/>
    </xf>
    <xf numFmtId="176" fontId="15" fillId="0" borderId="18" xfId="15" applyFont="1" applyFill="1" applyBorder="1" applyAlignment="1">
      <alignment horizontal="center" vertical="center"/>
    </xf>
    <xf numFmtId="176" fontId="16" fillId="0" borderId="0" xfId="15" applyFont="1" applyFill="1" applyBorder="1" applyAlignment="1">
      <alignment horizontal="right" vertical="center"/>
    </xf>
    <xf numFmtId="182" fontId="16" fillId="8" borderId="23" xfId="15" applyNumberFormat="1" applyFont="1" applyFill="1" applyBorder="1" applyAlignment="1">
      <alignment horizontal="right" vertical="center"/>
    </xf>
    <xf numFmtId="182" fontId="16" fillId="8" borderId="20" xfId="15" applyNumberFormat="1" applyFont="1" applyFill="1" applyBorder="1" applyAlignment="1">
      <alignment horizontal="right" vertical="center"/>
    </xf>
    <xf numFmtId="182" fontId="16" fillId="8" borderId="6" xfId="15" applyNumberFormat="1" applyFont="1" applyFill="1" applyBorder="1" applyAlignment="1">
      <alignment horizontal="right" vertical="center"/>
    </xf>
    <xf numFmtId="176" fontId="40" fillId="0" borderId="6" xfId="15" applyFont="1" applyBorder="1" applyAlignment="1">
      <alignment horizontal="right" vertical="center"/>
    </xf>
    <xf numFmtId="176" fontId="40" fillId="4" borderId="6" xfId="0" applyNumberFormat="1" applyFont="1" applyFill="1" applyBorder="1" applyAlignment="1">
      <alignment horizontal="center" vertical="center"/>
    </xf>
    <xf numFmtId="176" fontId="9" fillId="0" borderId="0" xfId="15" applyFont="1" applyAlignment="1">
      <alignment horizontal="right" vertical="center"/>
    </xf>
    <xf numFmtId="176" fontId="18" fillId="6" borderId="18" xfId="15" applyFont="1" applyFill="1" applyBorder="1" applyAlignment="1">
      <alignment horizontal="center" vertical="center"/>
    </xf>
    <xf numFmtId="176" fontId="15" fillId="4" borderId="20" xfId="15" applyFont="1" applyFill="1" applyBorder="1" applyAlignment="1">
      <alignment horizontal="right" vertical="center"/>
    </xf>
    <xf numFmtId="176" fontId="15" fillId="0" borderId="18" xfId="15" applyFont="1" applyFill="1" applyBorder="1" applyAlignment="1">
      <alignment horizontal="right" vertical="center"/>
    </xf>
    <xf numFmtId="176" fontId="16" fillId="8" borderId="20" xfId="15" applyFont="1" applyFill="1" applyBorder="1" applyAlignment="1">
      <alignment horizontal="right" vertical="center"/>
    </xf>
    <xf numFmtId="176" fontId="18" fillId="8" borderId="6" xfId="15" applyFont="1" applyFill="1" applyBorder="1" applyAlignment="1">
      <alignment horizontal="right" vertical="center"/>
    </xf>
    <xf numFmtId="176" fontId="40" fillId="4" borderId="6" xfId="15" applyFont="1" applyFill="1" applyBorder="1" applyAlignment="1">
      <alignment horizontal="center" vertical="center"/>
    </xf>
    <xf numFmtId="176" fontId="16" fillId="8" borderId="23" xfId="15" applyFont="1" applyFill="1" applyBorder="1" applyAlignment="1">
      <alignment horizontal="right" vertical="center" shrinkToFit="1"/>
    </xf>
    <xf numFmtId="176" fontId="9" fillId="4" borderId="6" xfId="15" applyFont="1" applyFill="1" applyBorder="1" applyAlignment="1">
      <alignment horizontal="right" vertical="center"/>
    </xf>
    <xf numFmtId="176" fontId="9" fillId="4" borderId="18" xfId="15" applyFont="1" applyFill="1" applyBorder="1" applyAlignment="1">
      <alignment horizontal="right" vertical="center"/>
    </xf>
    <xf numFmtId="176" fontId="31" fillId="8" borderId="23" xfId="15" applyFont="1" applyFill="1" applyBorder="1" applyAlignment="1">
      <alignment horizontal="right" vertical="center" shrinkToFit="1"/>
    </xf>
    <xf numFmtId="176" fontId="18" fillId="0" borderId="0" xfId="15" applyFont="1" applyFill="1" applyBorder="1" applyAlignment="1">
      <alignment horizontal="right" vertical="center"/>
    </xf>
    <xf numFmtId="182" fontId="18" fillId="8" borderId="23" xfId="15" applyNumberFormat="1" applyFont="1" applyFill="1" applyBorder="1" applyAlignment="1">
      <alignment horizontal="right" vertical="center"/>
    </xf>
    <xf numFmtId="176" fontId="33" fillId="5" borderId="20" xfId="15" applyFont="1" applyFill="1" applyBorder="1" applyAlignment="1">
      <alignment horizontal="right" vertical="center"/>
    </xf>
    <xf numFmtId="176" fontId="33" fillId="5" borderId="18" xfId="15" applyFont="1" applyFill="1" applyBorder="1" applyAlignment="1">
      <alignment horizontal="right" vertical="center"/>
    </xf>
    <xf numFmtId="182" fontId="36" fillId="0" borderId="6" xfId="22" applyNumberFormat="1" applyFont="1" applyBorder="1">
      <alignment vertical="center"/>
    </xf>
    <xf numFmtId="182" fontId="40" fillId="5" borderId="6" xfId="15" applyNumberFormat="1" applyFont="1" applyFill="1" applyBorder="1" applyAlignment="1">
      <alignment horizontal="right" vertical="center"/>
    </xf>
    <xf numFmtId="182" fontId="40" fillId="5" borderId="6" xfId="15" applyNumberFormat="1" applyFont="1" applyFill="1" applyBorder="1" applyAlignment="1">
      <alignment horizontal="right" vertical="center"/>
    </xf>
    <xf numFmtId="182" fontId="15" fillId="0" borderId="6" xfId="0" applyNumberFormat="1" applyFont="1" applyBorder="1" applyAlignment="1">
      <alignment horizontal="right" vertical="center"/>
    </xf>
    <xf numFmtId="181" fontId="31" fillId="8" borderId="23" xfId="0" applyNumberFormat="1" applyFont="1" applyFill="1" applyBorder="1" applyAlignment="1">
      <alignment horizontal="right" vertical="center"/>
    </xf>
    <xf numFmtId="176" fontId="31" fillId="8" borderId="22" xfId="15" applyFont="1" applyFill="1" applyBorder="1" applyAlignment="1">
      <alignment horizontal="right" vertical="center"/>
    </xf>
    <xf numFmtId="180" fontId="23" fillId="6" borderId="8" xfId="0" quotePrefix="1" applyNumberFormat="1" applyFont="1" applyFill="1" applyBorder="1" applyAlignment="1">
      <alignment horizontal="center" vertical="center"/>
    </xf>
    <xf numFmtId="176" fontId="24" fillId="0" borderId="25" xfId="15" applyFont="1" applyBorder="1" applyAlignment="1">
      <alignment horizontal="center" vertical="center"/>
    </xf>
    <xf numFmtId="188" fontId="24" fillId="0" borderId="13" xfId="0" applyNumberFormat="1" applyFont="1" applyBorder="1" applyAlignment="1">
      <alignment horizontal="center" vertical="center"/>
    </xf>
    <xf numFmtId="188" fontId="24" fillId="0" borderId="25" xfId="0" applyNumberFormat="1" applyFont="1" applyBorder="1" applyAlignment="1">
      <alignment horizontal="center" vertical="center"/>
    </xf>
    <xf numFmtId="188" fontId="24" fillId="0" borderId="25" xfId="15" applyNumberFormat="1" applyFont="1" applyBorder="1" applyAlignment="1">
      <alignment horizontal="center" vertical="center"/>
    </xf>
    <xf numFmtId="176" fontId="24" fillId="0" borderId="13" xfId="15" applyFont="1" applyBorder="1" applyAlignment="1">
      <alignment horizontal="center" vertical="center"/>
    </xf>
    <xf numFmtId="176" fontId="24" fillId="0" borderId="25" xfId="15" applyFont="1" applyBorder="1" applyAlignment="1">
      <alignment horizontal="center" vertical="center"/>
    </xf>
    <xf numFmtId="41" fontId="24" fillId="9" borderId="6" xfId="23" applyFont="1" applyFill="1" applyBorder="1" applyAlignment="1">
      <alignment horizontal="right" vertical="center"/>
    </xf>
    <xf numFmtId="180" fontId="23" fillId="6" borderId="8" xfId="0" quotePrefix="1" applyNumberFormat="1" applyFont="1" applyFill="1" applyBorder="1" applyAlignment="1">
      <alignment horizontal="center" vertical="center"/>
    </xf>
    <xf numFmtId="176" fontId="24" fillId="0" borderId="25" xfId="15" applyFont="1" applyBorder="1" applyAlignment="1">
      <alignment horizontal="center" vertical="center"/>
    </xf>
    <xf numFmtId="41" fontId="24" fillId="5" borderId="6" xfId="40" applyFont="1" applyFill="1" applyBorder="1" applyAlignment="1">
      <alignment horizontal="center" vertical="center"/>
    </xf>
    <xf numFmtId="183" fontId="24" fillId="9" borderId="6" xfId="23" applyNumberFormat="1" applyFont="1" applyFill="1" applyBorder="1" applyAlignment="1">
      <alignment horizontal="right" vertical="center"/>
    </xf>
    <xf numFmtId="183" fontId="24" fillId="0" borderId="6" xfId="23" applyNumberFormat="1" applyFont="1" applyFill="1" applyBorder="1" applyAlignment="1">
      <alignment horizontal="right" vertical="center"/>
    </xf>
    <xf numFmtId="176" fontId="24" fillId="9" borderId="6" xfId="15" applyFont="1" applyFill="1" applyBorder="1" applyAlignment="1">
      <alignment horizontal="right" vertical="center"/>
    </xf>
    <xf numFmtId="176" fontId="24" fillId="0" borderId="13" xfId="15" applyFont="1" applyBorder="1" applyAlignment="1">
      <alignment horizontal="center" vertical="center" shrinkToFit="1"/>
    </xf>
    <xf numFmtId="176" fontId="24" fillId="0" borderId="25" xfId="15" applyFont="1" applyBorder="1" applyAlignment="1">
      <alignment horizontal="center" vertical="center" shrinkToFit="1"/>
    </xf>
    <xf numFmtId="41" fontId="24" fillId="9" borderId="6" xfId="23" applyFont="1" applyFill="1" applyBorder="1" applyAlignment="1">
      <alignment horizontal="right" vertical="center"/>
    </xf>
    <xf numFmtId="41" fontId="24" fillId="5" borderId="6" xfId="40" applyFont="1" applyFill="1" applyBorder="1" applyAlignment="1">
      <alignment horizontal="center" vertical="center"/>
    </xf>
    <xf numFmtId="41" fontId="24" fillId="0" borderId="6" xfId="23" applyFont="1" applyFill="1" applyBorder="1" applyAlignment="1">
      <alignment horizontal="right" vertical="center"/>
    </xf>
    <xf numFmtId="41" fontId="24" fillId="9" borderId="28" xfId="40" applyFont="1" applyFill="1" applyBorder="1" applyAlignment="1">
      <alignment horizontal="center" vertical="center"/>
    </xf>
    <xf numFmtId="41" fontId="24" fillId="9" borderId="6" xfId="40" applyFont="1" applyFill="1" applyBorder="1" applyAlignment="1">
      <alignment horizontal="center" vertical="center"/>
    </xf>
    <xf numFmtId="41" fontId="24" fillId="5" borderId="13" xfId="40" applyFont="1" applyFill="1" applyBorder="1" applyAlignment="1">
      <alignment horizontal="center" vertical="center"/>
    </xf>
    <xf numFmtId="176" fontId="15" fillId="0" borderId="20" xfId="0" applyNumberFormat="1" applyFont="1" applyBorder="1" applyAlignment="1">
      <alignment horizontal="right" vertical="center"/>
    </xf>
    <xf numFmtId="176" fontId="15" fillId="0" borderId="18" xfId="0" applyNumberFormat="1" applyFont="1" applyFill="1" applyBorder="1" applyAlignment="1">
      <alignment horizontal="right" vertical="center"/>
    </xf>
    <xf numFmtId="176" fontId="15" fillId="0" borderId="6" xfId="0" applyNumberFormat="1" applyFont="1" applyFill="1" applyBorder="1" applyAlignment="1">
      <alignment horizontal="center" vertical="center"/>
    </xf>
    <xf numFmtId="182" fontId="15" fillId="0" borderId="6" xfId="0" applyNumberFormat="1" applyFont="1" applyBorder="1" applyAlignment="1">
      <alignment horizontal="right" vertical="center"/>
    </xf>
    <xf numFmtId="41" fontId="24" fillId="5" borderId="6" xfId="40" applyFont="1" applyFill="1" applyBorder="1" applyAlignment="1">
      <alignment horizontal="center" vertical="center"/>
    </xf>
    <xf numFmtId="183" fontId="24" fillId="5" borderId="6" xfId="0" applyNumberFormat="1" applyFont="1" applyFill="1" applyBorder="1" applyAlignment="1">
      <alignment horizontal="right" vertical="center"/>
    </xf>
    <xf numFmtId="183" fontId="24" fillId="9" borderId="6" xfId="23" applyNumberFormat="1" applyFont="1" applyFill="1" applyBorder="1" applyAlignment="1">
      <alignment horizontal="right" vertical="center"/>
    </xf>
    <xf numFmtId="183" fontId="24" fillId="0" borderId="6" xfId="23" applyNumberFormat="1" applyFont="1" applyFill="1" applyBorder="1" applyAlignment="1">
      <alignment horizontal="right" vertical="center"/>
    </xf>
    <xf numFmtId="183" fontId="24" fillId="9" borderId="28" xfId="0" applyNumberFormat="1" applyFont="1" applyFill="1" applyBorder="1" applyAlignment="1">
      <alignment horizontal="right" vertical="center"/>
    </xf>
    <xf numFmtId="183" fontId="34" fillId="9" borderId="6" xfId="0" applyNumberFormat="1" applyFont="1" applyFill="1" applyBorder="1" applyAlignment="1">
      <alignment horizontal="right" vertical="center"/>
    </xf>
    <xf numFmtId="183" fontId="24" fillId="9" borderId="6" xfId="0" applyNumberFormat="1" applyFont="1" applyFill="1" applyBorder="1" applyAlignment="1">
      <alignment horizontal="right" vertical="center"/>
    </xf>
    <xf numFmtId="183" fontId="24" fillId="0" borderId="13" xfId="23" applyNumberFormat="1" applyFont="1" applyFill="1" applyBorder="1" applyAlignment="1">
      <alignment horizontal="right" vertical="center"/>
    </xf>
    <xf numFmtId="183" fontId="24" fillId="5" borderId="13" xfId="0" applyNumberFormat="1" applyFont="1" applyFill="1" applyBorder="1" applyAlignment="1">
      <alignment horizontal="right" vertical="center"/>
    </xf>
    <xf numFmtId="176" fontId="15" fillId="0" borderId="20" xfId="19" applyNumberFormat="1" applyFont="1" applyFill="1" applyBorder="1" applyAlignment="1">
      <alignment horizontal="center" vertical="center"/>
    </xf>
    <xf numFmtId="176" fontId="15" fillId="0" borderId="6" xfId="19" applyNumberFormat="1" applyFont="1" applyFill="1" applyBorder="1" applyAlignment="1">
      <alignment horizontal="center" vertical="center"/>
    </xf>
    <xf numFmtId="176" fontId="15" fillId="0" borderId="18" xfId="19" applyNumberFormat="1" applyFont="1" applyFill="1" applyBorder="1" applyAlignment="1">
      <alignment horizontal="center" vertical="center"/>
    </xf>
    <xf numFmtId="176" fontId="15" fillId="0" borderId="6" xfId="0" applyNumberFormat="1" applyFont="1" applyFill="1" applyBorder="1" applyAlignment="1">
      <alignment horizontal="center" vertical="center"/>
    </xf>
    <xf numFmtId="176" fontId="16" fillId="6" borderId="12" xfId="0" applyNumberFormat="1" applyFont="1" applyFill="1" applyBorder="1" applyAlignment="1">
      <alignment horizontal="center" vertical="center"/>
    </xf>
    <xf numFmtId="176" fontId="16" fillId="6" borderId="13" xfId="0" applyNumberFormat="1" applyFont="1" applyFill="1" applyBorder="1" applyAlignment="1">
      <alignment horizontal="center" vertical="center"/>
    </xf>
    <xf numFmtId="176" fontId="16" fillId="6" borderId="25" xfId="0" applyNumberFormat="1" applyFont="1" applyFill="1" applyBorder="1" applyAlignment="1">
      <alignment horizontal="center" vertical="center"/>
    </xf>
    <xf numFmtId="9" fontId="16" fillId="4" borderId="18" xfId="0" applyNumberFormat="1" applyFont="1" applyFill="1" applyBorder="1" applyAlignment="1">
      <alignment horizontal="right"/>
    </xf>
    <xf numFmtId="9" fontId="16" fillId="4" borderId="18" xfId="0" quotePrefix="1" applyNumberFormat="1" applyFont="1" applyFill="1" applyBorder="1" applyAlignment="1">
      <alignment horizontal="right"/>
    </xf>
    <xf numFmtId="9" fontId="16" fillId="4" borderId="19" xfId="0" quotePrefix="1" applyNumberFormat="1" applyFont="1" applyFill="1" applyBorder="1" applyAlignment="1">
      <alignment horizontal="right"/>
    </xf>
    <xf numFmtId="176" fontId="16" fillId="6" borderId="8" xfId="0" applyNumberFormat="1" applyFont="1" applyFill="1" applyBorder="1" applyAlignment="1">
      <alignment horizontal="center" vertical="center"/>
    </xf>
    <xf numFmtId="176" fontId="15" fillId="0" borderId="6" xfId="0" applyNumberFormat="1" applyFont="1" applyFill="1" applyBorder="1" applyAlignment="1">
      <alignment horizontal="center" vertical="center"/>
    </xf>
    <xf numFmtId="176" fontId="16" fillId="6" borderId="17" xfId="0" applyNumberFormat="1" applyFont="1" applyFill="1" applyBorder="1" applyAlignment="1">
      <alignment horizontal="center" vertical="center"/>
    </xf>
    <xf numFmtId="176" fontId="16" fillId="6" borderId="10" xfId="0" applyNumberFormat="1" applyFont="1" applyFill="1" applyBorder="1" applyAlignment="1">
      <alignment horizontal="center" vertical="center"/>
    </xf>
    <xf numFmtId="176" fontId="16" fillId="6" borderId="17" xfId="0" applyNumberFormat="1" applyFont="1" applyFill="1" applyBorder="1" applyAlignment="1">
      <alignment horizontal="center" vertical="center" wrapText="1"/>
    </xf>
    <xf numFmtId="176" fontId="16" fillId="8" borderId="22" xfId="0" applyNumberFormat="1" applyFont="1" applyFill="1" applyBorder="1" applyAlignment="1">
      <alignment horizontal="center" vertical="center"/>
    </xf>
    <xf numFmtId="176" fontId="16" fillId="8" borderId="23" xfId="0" applyNumberFormat="1" applyFont="1" applyFill="1" applyBorder="1" applyAlignment="1">
      <alignment horizontal="center" vertical="center"/>
    </xf>
    <xf numFmtId="176" fontId="16" fillId="6" borderId="9" xfId="0" applyNumberFormat="1" applyFont="1" applyFill="1" applyBorder="1" applyAlignment="1">
      <alignment horizontal="center" vertical="center"/>
    </xf>
    <xf numFmtId="176" fontId="15" fillId="6" borderId="7" xfId="0" applyNumberFormat="1" applyFont="1" applyFill="1" applyBorder="1" applyAlignment="1">
      <alignment horizontal="center" vertical="center"/>
    </xf>
    <xf numFmtId="0" fontId="0" fillId="6" borderId="8" xfId="0" applyFont="1" applyFill="1" applyBorder="1"/>
    <xf numFmtId="0" fontId="0" fillId="6" borderId="10" xfId="0" applyFont="1" applyFill="1" applyBorder="1"/>
    <xf numFmtId="0" fontId="0" fillId="6" borderId="18" xfId="0" applyFont="1" applyFill="1" applyBorder="1"/>
    <xf numFmtId="176" fontId="15" fillId="0" borderId="20" xfId="0" applyNumberFormat="1" applyFont="1" applyFill="1" applyBorder="1" applyAlignment="1">
      <alignment horizontal="center" vertical="center"/>
    </xf>
    <xf numFmtId="176" fontId="15" fillId="0" borderId="18" xfId="0" applyNumberFormat="1" applyFont="1" applyFill="1" applyBorder="1" applyAlignment="1">
      <alignment horizontal="center" vertical="center"/>
    </xf>
    <xf numFmtId="0" fontId="35" fillId="7" borderId="4" xfId="65" applyFont="1" applyFill="1" applyBorder="1" applyAlignment="1">
      <alignment horizontal="center" vertical="center"/>
    </xf>
    <xf numFmtId="0" fontId="35" fillId="7" borderId="5" xfId="65" applyFont="1" applyFill="1" applyBorder="1" applyAlignment="1">
      <alignment horizontal="center" vertical="center"/>
    </xf>
    <xf numFmtId="0" fontId="35" fillId="7" borderId="3" xfId="65" applyFont="1" applyFill="1" applyBorder="1" applyAlignment="1">
      <alignment horizontal="center" vertical="center"/>
    </xf>
    <xf numFmtId="0" fontId="18" fillId="0" borderId="0" xfId="0" applyFont="1" applyBorder="1" applyAlignment="1">
      <alignment horizontal="right"/>
    </xf>
    <xf numFmtId="0" fontId="35" fillId="7" borderId="1" xfId="65" applyFont="1" applyFill="1" applyBorder="1" applyAlignment="1">
      <alignment horizontal="center" vertical="center"/>
    </xf>
    <xf numFmtId="0" fontId="19" fillId="0" borderId="0" xfId="16" applyFont="1" applyAlignment="1">
      <alignment horizontal="left" vertical="center"/>
    </xf>
    <xf numFmtId="0" fontId="17" fillId="0" borderId="0" xfId="16" applyFont="1" applyAlignment="1">
      <alignment horizontal="left" vertical="center"/>
    </xf>
    <xf numFmtId="180" fontId="18" fillId="0" borderId="0" xfId="0" applyNumberFormat="1" applyFont="1" applyBorder="1" applyAlignment="1">
      <alignment horizontal="right"/>
    </xf>
    <xf numFmtId="0" fontId="24" fillId="6" borderId="10" xfId="17" applyFont="1" applyFill="1" applyBorder="1" applyAlignment="1">
      <alignment horizontal="center" vertical="center"/>
    </xf>
    <xf numFmtId="0" fontId="24" fillId="6" borderId="12" xfId="17" applyFont="1" applyFill="1" applyBorder="1" applyAlignment="1">
      <alignment horizontal="center" vertical="center"/>
    </xf>
    <xf numFmtId="176" fontId="16" fillId="6" borderId="7" xfId="17" applyNumberFormat="1" applyFont="1" applyFill="1" applyBorder="1" applyAlignment="1">
      <alignment horizontal="center" vertical="center"/>
    </xf>
    <xf numFmtId="176" fontId="16" fillId="6" borderId="26" xfId="17" applyNumberFormat="1" applyFont="1" applyFill="1" applyBorder="1" applyAlignment="1">
      <alignment horizontal="center" vertical="center"/>
    </xf>
    <xf numFmtId="0" fontId="23" fillId="8" borderId="27" xfId="17" applyFont="1" applyFill="1" applyBorder="1" applyAlignment="1">
      <alignment horizontal="center" vertical="center"/>
    </xf>
    <xf numFmtId="0" fontId="23" fillId="8" borderId="30" xfId="17" applyFont="1" applyFill="1" applyBorder="1" applyAlignment="1">
      <alignment horizontal="center" vertical="center"/>
    </xf>
    <xf numFmtId="0" fontId="24" fillId="6" borderId="33" xfId="17" applyFont="1" applyFill="1" applyBorder="1" applyAlignment="1">
      <alignment horizontal="center" vertical="center"/>
    </xf>
    <xf numFmtId="176" fontId="16" fillId="6" borderId="8" xfId="17" applyNumberFormat="1" applyFont="1" applyFill="1" applyBorder="1" applyAlignment="1">
      <alignment horizontal="center" vertical="center"/>
    </xf>
    <xf numFmtId="176" fontId="16" fillId="6" borderId="9" xfId="17" applyNumberFormat="1" applyFont="1" applyFill="1" applyBorder="1" applyAlignment="1">
      <alignment horizontal="center" vertical="center"/>
    </xf>
    <xf numFmtId="0" fontId="26" fillId="6" borderId="8" xfId="17" applyFont="1" applyFill="1" applyBorder="1" applyAlignment="1">
      <alignment horizontal="center" vertical="center"/>
    </xf>
    <xf numFmtId="0" fontId="26" fillId="6" borderId="18" xfId="17" applyFont="1" applyFill="1" applyBorder="1" applyAlignment="1">
      <alignment horizontal="center" vertical="center"/>
    </xf>
    <xf numFmtId="183" fontId="16" fillId="6" borderId="8" xfId="17" applyNumberFormat="1" applyFont="1" applyFill="1" applyBorder="1" applyAlignment="1">
      <alignment horizontal="center" vertical="center"/>
    </xf>
  </cellXfs>
  <cellStyles count="299">
    <cellStyle name="20% - 강조색6" xfId="103" builtinId="50"/>
    <cellStyle name="20% - 강조색6 2" xfId="298"/>
    <cellStyle name="20% - 강조색6 3" xfId="233"/>
    <cellStyle name="20% - 강조색6 4" xfId="168"/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백분율 2" xfId="59"/>
    <cellStyle name="백분율 3" xfId="60"/>
    <cellStyle name="백분율 4" xfId="58"/>
    <cellStyle name="쉼표 [0]" xfId="15" builtinId="6"/>
    <cellStyle name="쉼표 [0] 2" xfId="20"/>
    <cellStyle name="쉼표 [0] 2 2" xfId="62"/>
    <cellStyle name="쉼표 [0] 3" xfId="23"/>
    <cellStyle name="쉼표 [0] 3 2" xfId="33"/>
    <cellStyle name="쉼표 [0] 3 3" xfId="63"/>
    <cellStyle name="쉼표 [0] 4" xfId="40"/>
    <cellStyle name="쉼표 [0] 5" xfId="56"/>
    <cellStyle name="쉼표 [0] 5 2" xfId="102"/>
    <cellStyle name="쉼표 [0] 5 2 2" xfId="297"/>
    <cellStyle name="쉼표 [0] 5 2 3" xfId="232"/>
    <cellStyle name="쉼표 [0] 5 2 4" xfId="167"/>
    <cellStyle name="쉼표 [0] 5 3" xfId="265"/>
    <cellStyle name="쉼표 [0] 5 4" xfId="200"/>
    <cellStyle name="쉼표 [0] 5 5" xfId="135"/>
    <cellStyle name="쉼표 [0] 6" xfId="61"/>
    <cellStyle name="표준" xfId="0" builtinId="0"/>
    <cellStyle name="표준 2" xfId="19"/>
    <cellStyle name="표준 2 2" xfId="64"/>
    <cellStyle name="표준 3" xfId="18"/>
    <cellStyle name="표준 3 10" xfId="71"/>
    <cellStyle name="표준 3 10 2" xfId="266"/>
    <cellStyle name="표준 3 10 3" xfId="201"/>
    <cellStyle name="표준 3 10 4" xfId="136"/>
    <cellStyle name="표준 3 11" xfId="234"/>
    <cellStyle name="표준 3 12" xfId="169"/>
    <cellStyle name="표준 3 13" xfId="104"/>
    <cellStyle name="표준 3 2" xfId="21"/>
    <cellStyle name="표준 3 2 10" xfId="105"/>
    <cellStyle name="표준 3 2 2" xfId="29"/>
    <cellStyle name="표준 3 2 2 2" xfId="39"/>
    <cellStyle name="표준 3 2 2 2 2" xfId="55"/>
    <cellStyle name="표준 3 2 2 2 2 2" xfId="101"/>
    <cellStyle name="표준 3 2 2 2 2 2 2" xfId="296"/>
    <cellStyle name="표준 3 2 2 2 2 2 3" xfId="231"/>
    <cellStyle name="표준 3 2 2 2 2 2 4" xfId="166"/>
    <cellStyle name="표준 3 2 2 2 2 3" xfId="264"/>
    <cellStyle name="표준 3 2 2 2 2 4" xfId="199"/>
    <cellStyle name="표준 3 2 2 2 2 5" xfId="134"/>
    <cellStyle name="표준 3 2 2 2 3" xfId="86"/>
    <cellStyle name="표준 3 2 2 2 3 2" xfId="281"/>
    <cellStyle name="표준 3 2 2 2 3 3" xfId="216"/>
    <cellStyle name="표준 3 2 2 2 3 4" xfId="151"/>
    <cellStyle name="표준 3 2 2 2 4" xfId="249"/>
    <cellStyle name="표준 3 2 2 2 5" xfId="184"/>
    <cellStyle name="표준 3 2 2 2 6" xfId="119"/>
    <cellStyle name="표준 3 2 2 3" xfId="47"/>
    <cellStyle name="표준 3 2 2 3 2" xfId="93"/>
    <cellStyle name="표준 3 2 2 3 2 2" xfId="288"/>
    <cellStyle name="표준 3 2 2 3 2 3" xfId="223"/>
    <cellStyle name="표준 3 2 2 3 2 4" xfId="158"/>
    <cellStyle name="표준 3 2 2 3 3" xfId="256"/>
    <cellStyle name="표준 3 2 2 3 4" xfId="191"/>
    <cellStyle name="표준 3 2 2 3 5" xfId="126"/>
    <cellStyle name="표준 3 2 2 4" xfId="78"/>
    <cellStyle name="표준 3 2 2 4 2" xfId="273"/>
    <cellStyle name="표준 3 2 2 4 3" xfId="208"/>
    <cellStyle name="표준 3 2 2 4 4" xfId="143"/>
    <cellStyle name="표준 3 2 2 5" xfId="241"/>
    <cellStyle name="표준 3 2 2 6" xfId="176"/>
    <cellStyle name="표준 3 2 2 7" xfId="111"/>
    <cellStyle name="표준 3 2 3" xfId="27"/>
    <cellStyle name="표준 3 2 3 2" xfId="37"/>
    <cellStyle name="표준 3 2 3 2 2" xfId="53"/>
    <cellStyle name="표준 3 2 3 2 2 2" xfId="99"/>
    <cellStyle name="표준 3 2 3 2 2 2 2" xfId="294"/>
    <cellStyle name="표준 3 2 3 2 2 2 3" xfId="229"/>
    <cellStyle name="표준 3 2 3 2 2 2 4" xfId="164"/>
    <cellStyle name="표준 3 2 3 2 2 3" xfId="262"/>
    <cellStyle name="표준 3 2 3 2 2 4" xfId="197"/>
    <cellStyle name="표준 3 2 3 2 2 5" xfId="132"/>
    <cellStyle name="표준 3 2 3 2 3" xfId="84"/>
    <cellStyle name="표준 3 2 3 2 3 2" xfId="279"/>
    <cellStyle name="표준 3 2 3 2 3 3" xfId="214"/>
    <cellStyle name="표준 3 2 3 2 3 4" xfId="149"/>
    <cellStyle name="표준 3 2 3 2 4" xfId="247"/>
    <cellStyle name="표준 3 2 3 2 5" xfId="182"/>
    <cellStyle name="표준 3 2 3 2 6" xfId="117"/>
    <cellStyle name="표준 3 2 3 3" xfId="45"/>
    <cellStyle name="표준 3 2 3 3 2" xfId="91"/>
    <cellStyle name="표준 3 2 3 3 2 2" xfId="286"/>
    <cellStyle name="표준 3 2 3 3 2 3" xfId="221"/>
    <cellStyle name="표준 3 2 3 3 2 4" xfId="156"/>
    <cellStyle name="표준 3 2 3 3 3" xfId="254"/>
    <cellStyle name="표준 3 2 3 3 4" xfId="189"/>
    <cellStyle name="표준 3 2 3 3 5" xfId="124"/>
    <cellStyle name="표준 3 2 3 4" xfId="76"/>
    <cellStyle name="표준 3 2 3 4 2" xfId="271"/>
    <cellStyle name="표준 3 2 3 4 3" xfId="206"/>
    <cellStyle name="표준 3 2 3 4 4" xfId="141"/>
    <cellStyle name="표준 3 2 3 5" xfId="239"/>
    <cellStyle name="표준 3 2 3 6" xfId="174"/>
    <cellStyle name="표준 3 2 3 7" xfId="109"/>
    <cellStyle name="표준 3 2 4" xfId="35"/>
    <cellStyle name="표준 3 2 4 2" xfId="51"/>
    <cellStyle name="표준 3 2 4 2 2" xfId="97"/>
    <cellStyle name="표준 3 2 4 2 2 2" xfId="292"/>
    <cellStyle name="표준 3 2 4 2 2 3" xfId="227"/>
    <cellStyle name="표준 3 2 4 2 2 4" xfId="162"/>
    <cellStyle name="표준 3 2 4 2 3" xfId="260"/>
    <cellStyle name="표준 3 2 4 2 4" xfId="195"/>
    <cellStyle name="표준 3 2 4 2 5" xfId="130"/>
    <cellStyle name="표준 3 2 4 3" xfId="82"/>
    <cellStyle name="표준 3 2 4 3 2" xfId="277"/>
    <cellStyle name="표준 3 2 4 3 3" xfId="212"/>
    <cellStyle name="표준 3 2 4 3 4" xfId="147"/>
    <cellStyle name="표준 3 2 4 4" xfId="245"/>
    <cellStyle name="표준 3 2 4 5" xfId="180"/>
    <cellStyle name="표준 3 2 4 6" xfId="115"/>
    <cellStyle name="표준 3 2 5" xfId="43"/>
    <cellStyle name="표준 3 2 5 2" xfId="89"/>
    <cellStyle name="표준 3 2 5 2 2" xfId="284"/>
    <cellStyle name="표준 3 2 5 2 3" xfId="219"/>
    <cellStyle name="표준 3 2 5 2 4" xfId="154"/>
    <cellStyle name="표준 3 2 5 3" xfId="252"/>
    <cellStyle name="표준 3 2 5 4" xfId="187"/>
    <cellStyle name="표준 3 2 5 5" xfId="122"/>
    <cellStyle name="표준 3 2 6" xfId="25"/>
    <cellStyle name="표준 3 2 6 2" xfId="74"/>
    <cellStyle name="표준 3 2 6 2 2" xfId="269"/>
    <cellStyle name="표준 3 2 6 2 3" xfId="204"/>
    <cellStyle name="표준 3 2 6 2 4" xfId="139"/>
    <cellStyle name="표준 3 2 6 3" xfId="237"/>
    <cellStyle name="표준 3 2 6 4" xfId="172"/>
    <cellStyle name="표준 3 2 6 5" xfId="107"/>
    <cellStyle name="표준 3 2 7" xfId="72"/>
    <cellStyle name="표준 3 2 7 2" xfId="267"/>
    <cellStyle name="표준 3 2 7 3" xfId="202"/>
    <cellStyle name="표준 3 2 7 4" xfId="137"/>
    <cellStyle name="표준 3 2 8" xfId="235"/>
    <cellStyle name="표준 3 2 9" xfId="170"/>
    <cellStyle name="표준 3 3" xfId="28"/>
    <cellStyle name="표준 3 3 2" xfId="38"/>
    <cellStyle name="표준 3 3 2 2" xfId="54"/>
    <cellStyle name="표준 3 3 2 2 2" xfId="100"/>
    <cellStyle name="표준 3 3 2 2 2 2" xfId="295"/>
    <cellStyle name="표준 3 3 2 2 2 3" xfId="230"/>
    <cellStyle name="표준 3 3 2 2 2 4" xfId="165"/>
    <cellStyle name="표준 3 3 2 2 3" xfId="263"/>
    <cellStyle name="표준 3 3 2 2 4" xfId="198"/>
    <cellStyle name="표준 3 3 2 2 5" xfId="133"/>
    <cellStyle name="표준 3 3 2 3" xfId="85"/>
    <cellStyle name="표준 3 3 2 3 2" xfId="280"/>
    <cellStyle name="표준 3 3 2 3 3" xfId="215"/>
    <cellStyle name="표준 3 3 2 3 4" xfId="150"/>
    <cellStyle name="표준 3 3 2 4" xfId="248"/>
    <cellStyle name="표준 3 3 2 5" xfId="183"/>
    <cellStyle name="표준 3 3 2 6" xfId="118"/>
    <cellStyle name="표준 3 3 3" xfId="46"/>
    <cellStyle name="표준 3 3 3 2" xfId="92"/>
    <cellStyle name="표준 3 3 3 2 2" xfId="287"/>
    <cellStyle name="표준 3 3 3 2 3" xfId="222"/>
    <cellStyle name="표준 3 3 3 2 4" xfId="157"/>
    <cellStyle name="표준 3 3 3 3" xfId="255"/>
    <cellStyle name="표준 3 3 3 4" xfId="190"/>
    <cellStyle name="표준 3 3 3 5" xfId="125"/>
    <cellStyle name="표준 3 3 4" xfId="77"/>
    <cellStyle name="표준 3 3 4 2" xfId="272"/>
    <cellStyle name="표준 3 3 4 3" xfId="207"/>
    <cellStyle name="표준 3 3 4 4" xfId="142"/>
    <cellStyle name="표준 3 3 5" xfId="240"/>
    <cellStyle name="표준 3 3 6" xfId="175"/>
    <cellStyle name="표준 3 3 7" xfId="110"/>
    <cellStyle name="표준 3 4" xfId="26"/>
    <cellStyle name="표준 3 4 2" xfId="36"/>
    <cellStyle name="표준 3 4 2 2" xfId="52"/>
    <cellStyle name="표준 3 4 2 2 2" xfId="98"/>
    <cellStyle name="표준 3 4 2 2 2 2" xfId="293"/>
    <cellStyle name="표준 3 4 2 2 2 3" xfId="228"/>
    <cellStyle name="표준 3 4 2 2 2 4" xfId="163"/>
    <cellStyle name="표준 3 4 2 2 3" xfId="261"/>
    <cellStyle name="표준 3 4 2 2 4" xfId="196"/>
    <cellStyle name="표준 3 4 2 2 5" xfId="131"/>
    <cellStyle name="표준 3 4 2 3" xfId="83"/>
    <cellStyle name="표준 3 4 2 3 2" xfId="278"/>
    <cellStyle name="표준 3 4 2 3 3" xfId="213"/>
    <cellStyle name="표준 3 4 2 3 4" xfId="148"/>
    <cellStyle name="표준 3 4 2 4" xfId="246"/>
    <cellStyle name="표준 3 4 2 5" xfId="181"/>
    <cellStyle name="표준 3 4 2 6" xfId="116"/>
    <cellStyle name="표준 3 4 3" xfId="44"/>
    <cellStyle name="표준 3 4 3 2" xfId="90"/>
    <cellStyle name="표준 3 4 3 2 2" xfId="285"/>
    <cellStyle name="표준 3 4 3 2 3" xfId="220"/>
    <cellStyle name="표준 3 4 3 2 4" xfId="155"/>
    <cellStyle name="표준 3 4 3 3" xfId="253"/>
    <cellStyle name="표준 3 4 3 4" xfId="188"/>
    <cellStyle name="표준 3 4 3 5" xfId="123"/>
    <cellStyle name="표준 3 4 4" xfId="75"/>
    <cellStyle name="표준 3 4 4 2" xfId="270"/>
    <cellStyle name="표준 3 4 4 3" xfId="205"/>
    <cellStyle name="표준 3 4 4 4" xfId="140"/>
    <cellStyle name="표준 3 4 5" xfId="238"/>
    <cellStyle name="표준 3 4 6" xfId="173"/>
    <cellStyle name="표준 3 4 7" xfId="108"/>
    <cellStyle name="표준 3 5" xfId="30"/>
    <cellStyle name="표준 3 5 2" xfId="48"/>
    <cellStyle name="표준 3 5 2 2" xfId="94"/>
    <cellStyle name="표준 3 5 2 2 2" xfId="289"/>
    <cellStyle name="표준 3 5 2 2 3" xfId="224"/>
    <cellStyle name="표준 3 5 2 2 4" xfId="159"/>
    <cellStyle name="표준 3 5 2 3" xfId="257"/>
    <cellStyle name="표준 3 5 2 4" xfId="192"/>
    <cellStyle name="표준 3 5 2 5" xfId="127"/>
    <cellStyle name="표준 3 5 3" xfId="79"/>
    <cellStyle name="표준 3 5 3 2" xfId="274"/>
    <cellStyle name="표준 3 5 3 3" xfId="209"/>
    <cellStyle name="표준 3 5 3 4" xfId="144"/>
    <cellStyle name="표준 3 5 4" xfId="242"/>
    <cellStyle name="표준 3 5 5" xfId="177"/>
    <cellStyle name="표준 3 5 6" xfId="112"/>
    <cellStyle name="표준 3 6" xfId="34"/>
    <cellStyle name="표준 3 6 2" xfId="50"/>
    <cellStyle name="표준 3 6 2 2" xfId="96"/>
    <cellStyle name="표준 3 6 2 2 2" xfId="291"/>
    <cellStyle name="표준 3 6 2 2 3" xfId="226"/>
    <cellStyle name="표준 3 6 2 2 4" xfId="161"/>
    <cellStyle name="표준 3 6 2 3" xfId="259"/>
    <cellStyle name="표준 3 6 2 4" xfId="194"/>
    <cellStyle name="표준 3 6 2 5" xfId="129"/>
    <cellStyle name="표준 3 6 3" xfId="81"/>
    <cellStyle name="표준 3 6 3 2" xfId="276"/>
    <cellStyle name="표준 3 6 3 3" xfId="211"/>
    <cellStyle name="표준 3 6 3 4" xfId="146"/>
    <cellStyle name="표준 3 6 4" xfId="244"/>
    <cellStyle name="표준 3 6 5" xfId="179"/>
    <cellStyle name="표준 3 6 6" xfId="114"/>
    <cellStyle name="표준 3 7" xfId="42"/>
    <cellStyle name="표준 3 7 2" xfId="88"/>
    <cellStyle name="표준 3 7 2 2" xfId="283"/>
    <cellStyle name="표준 3 7 2 3" xfId="218"/>
    <cellStyle name="표준 3 7 2 4" xfId="153"/>
    <cellStyle name="표준 3 7 3" xfId="251"/>
    <cellStyle name="표준 3 7 4" xfId="186"/>
    <cellStyle name="표준 3 7 5" xfId="121"/>
    <cellStyle name="표준 3 8" xfId="24"/>
    <cellStyle name="표준 3 8 2" xfId="73"/>
    <cellStyle name="표준 3 8 2 2" xfId="268"/>
    <cellStyle name="표준 3 8 2 3" xfId="203"/>
    <cellStyle name="표준 3 8 2 4" xfId="138"/>
    <cellStyle name="표준 3 8 3" xfId="236"/>
    <cellStyle name="표준 3 8 4" xfId="171"/>
    <cellStyle name="표준 3 8 5" xfId="106"/>
    <cellStyle name="표준 3 9" xfId="65"/>
    <cellStyle name="표준 4" xfId="22"/>
    <cellStyle name="표준 4 2" xfId="66"/>
    <cellStyle name="표준 5" xfId="32"/>
    <cellStyle name="표준 5 2" xfId="67"/>
    <cellStyle name="표준 6" xfId="31"/>
    <cellStyle name="표준 6 2" xfId="49"/>
    <cellStyle name="표준 6 2 2" xfId="95"/>
    <cellStyle name="표준 6 2 2 2" xfId="290"/>
    <cellStyle name="표준 6 2 2 3" xfId="225"/>
    <cellStyle name="표준 6 2 2 4" xfId="160"/>
    <cellStyle name="표준 6 2 3" xfId="258"/>
    <cellStyle name="표준 6 2 4" xfId="193"/>
    <cellStyle name="표준 6 2 5" xfId="128"/>
    <cellStyle name="표준 6 3" xfId="68"/>
    <cellStyle name="표준 6 4" xfId="80"/>
    <cellStyle name="표준 6 4 2" xfId="275"/>
    <cellStyle name="표준 6 4 3" xfId="210"/>
    <cellStyle name="표준 6 4 4" xfId="145"/>
    <cellStyle name="표준 6 5" xfId="243"/>
    <cellStyle name="표준 6 6" xfId="178"/>
    <cellStyle name="표준 6 7" xfId="113"/>
    <cellStyle name="표준 7" xfId="41"/>
    <cellStyle name="표준 7 2" xfId="69"/>
    <cellStyle name="표준 7 3" xfId="87"/>
    <cellStyle name="표준 7 3 2" xfId="282"/>
    <cellStyle name="표준 7 3 3" xfId="217"/>
    <cellStyle name="표준 7 3 4" xfId="152"/>
    <cellStyle name="표준 7 4" xfId="250"/>
    <cellStyle name="표준 7 5" xfId="185"/>
    <cellStyle name="표준 7 6" xfId="120"/>
    <cellStyle name="표준 8" xfId="70"/>
    <cellStyle name="표준 9" xfId="57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수송실적'!$K$6:$P$6</c:f>
              <c:strCache>
                <c:ptCount val="6"/>
                <c:pt idx="0">
                  <c:v>2021 </c:v>
                </c:pt>
                <c:pt idx="1">
                  <c:v>2022 </c:v>
                </c:pt>
                <c:pt idx="2">
                  <c:v>2023 </c:v>
                </c:pt>
                <c:pt idx="3">
                  <c:v>2024 </c:v>
                </c:pt>
                <c:pt idx="4">
                  <c:v>2025 </c:v>
                </c:pt>
                <c:pt idx="5">
                  <c:v>2026.3.</c:v>
                </c:pt>
              </c:strCache>
            </c:strRef>
          </c:cat>
          <c:val>
            <c:numRef>
              <c:f>'연도별 수송실적'!$K$7:$P$7</c:f>
              <c:numCache>
                <c:formatCode>#,##0,</c:formatCode>
                <c:ptCount val="6"/>
                <c:pt idx="0">
                  <c:v>116876152</c:v>
                </c:pt>
                <c:pt idx="1">
                  <c:v>116171568</c:v>
                </c:pt>
                <c:pt idx="2">
                  <c:v>116607017</c:v>
                </c:pt>
                <c:pt idx="3">
                  <c:v>116714212</c:v>
                </c:pt>
                <c:pt idx="4">
                  <c:v>114971346</c:v>
                </c:pt>
                <c:pt idx="5">
                  <c:v>29751354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399296"/>
        <c:axId val="155413120"/>
      </c:lineChart>
      <c:catAx>
        <c:axId val="155399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54131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541312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5399296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수송실적'!$C$9:$H$9</c:f>
              <c:strCache>
                <c:ptCount val="6"/>
                <c:pt idx="0">
                  <c:v>2021 </c:v>
                </c:pt>
                <c:pt idx="1">
                  <c:v>2022 </c:v>
                </c:pt>
                <c:pt idx="2">
                  <c:v>2023 </c:v>
                </c:pt>
                <c:pt idx="3">
                  <c:v>2024 </c:v>
                </c:pt>
                <c:pt idx="4">
                  <c:v>2025 </c:v>
                </c:pt>
                <c:pt idx="5">
                  <c:v>2026.3.</c:v>
                </c:pt>
              </c:strCache>
            </c:strRef>
          </c:cat>
          <c:val>
            <c:numRef>
              <c:f>'연도별 수송실적'!$C$10:$H$10</c:f>
              <c:numCache>
                <c:formatCode>_ * #,##0_ ;_ * \-#,##0_ ;_ * "-"_ ;_ @_ </c:formatCode>
                <c:ptCount val="6"/>
                <c:pt idx="0">
                  <c:v>936246</c:v>
                </c:pt>
                <c:pt idx="1">
                  <c:v>851953</c:v>
                </c:pt>
                <c:pt idx="2">
                  <c:v>820289</c:v>
                </c:pt>
                <c:pt idx="3">
                  <c:v>924735.5</c:v>
                </c:pt>
                <c:pt idx="4">
                  <c:v>956031</c:v>
                </c:pt>
                <c:pt idx="5">
                  <c:v>237793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9759744"/>
        <c:axId val="219804800"/>
      </c:lineChart>
      <c:catAx>
        <c:axId val="219759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98048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980480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975974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수송실적'!$K$9:$P$9</c:f>
              <c:strCache>
                <c:ptCount val="6"/>
                <c:pt idx="0">
                  <c:v>2021 </c:v>
                </c:pt>
                <c:pt idx="1">
                  <c:v>2022 </c:v>
                </c:pt>
                <c:pt idx="2">
                  <c:v>2023 </c:v>
                </c:pt>
                <c:pt idx="3">
                  <c:v>2024 </c:v>
                </c:pt>
                <c:pt idx="4">
                  <c:v>2025 </c:v>
                </c:pt>
                <c:pt idx="5">
                  <c:v>2026.3.</c:v>
                </c:pt>
              </c:strCache>
            </c:strRef>
          </c:cat>
          <c:val>
            <c:numRef>
              <c:f>'연도별 수송실적'!$K$10:$P$10</c:f>
              <c:numCache>
                <c:formatCode>_ * #,##0_ ;_ * \-#,##0_ ;_ * "-"_ ;_ @_ </c:formatCode>
                <c:ptCount val="6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120512"/>
        <c:axId val="151122688"/>
      </c:lineChart>
      <c:catAx>
        <c:axId val="151120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11226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112268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112051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수송실적'!$C$6:$H$6</c:f>
              <c:strCache>
                <c:ptCount val="6"/>
                <c:pt idx="0">
                  <c:v>2021 </c:v>
                </c:pt>
                <c:pt idx="1">
                  <c:v>2022 </c:v>
                </c:pt>
                <c:pt idx="2">
                  <c:v>2023 </c:v>
                </c:pt>
                <c:pt idx="3">
                  <c:v>2024 </c:v>
                </c:pt>
                <c:pt idx="4">
                  <c:v>2025 </c:v>
                </c:pt>
                <c:pt idx="5">
                  <c:v>2026.3.</c:v>
                </c:pt>
              </c:strCache>
            </c:strRef>
          </c:cat>
          <c:val>
            <c:numRef>
              <c:f>'연도별 수송실적'!$C$7:$H$7</c:f>
              <c:numCache>
                <c:formatCode>_ * #,##0_ ;_ * \-#,##0_ ;_ * "-"_ ;_ @_ </c:formatCode>
                <c:ptCount val="6"/>
                <c:pt idx="0">
                  <c:v>16473</c:v>
                </c:pt>
                <c:pt idx="1">
                  <c:v>16626</c:v>
                </c:pt>
                <c:pt idx="2">
                  <c:v>17324</c:v>
                </c:pt>
                <c:pt idx="3">
                  <c:v>17502</c:v>
                </c:pt>
                <c:pt idx="4">
                  <c:v>19574</c:v>
                </c:pt>
                <c:pt idx="5">
                  <c:v>4584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471232"/>
        <c:axId val="153477504"/>
      </c:lineChart>
      <c:catAx>
        <c:axId val="153471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34775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347750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347123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13</xdr:row>
      <xdr:rowOff>0</xdr:rowOff>
    </xdr:from>
    <xdr:to>
      <xdr:col>15</xdr:col>
      <xdr:colOff>752475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23</xdr:row>
      <xdr:rowOff>0</xdr:rowOff>
    </xdr:from>
    <xdr:to>
      <xdr:col>7</xdr:col>
      <xdr:colOff>733425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28575</xdr:colOff>
      <xdr:row>23</xdr:row>
      <xdr:rowOff>9525</xdr:rowOff>
    </xdr:from>
    <xdr:to>
      <xdr:col>15</xdr:col>
      <xdr:colOff>742950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13</xdr:row>
      <xdr:rowOff>0</xdr:rowOff>
    </xdr:from>
    <xdr:to>
      <xdr:col>7</xdr:col>
      <xdr:colOff>752475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1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32"/>
  <sheetViews>
    <sheetView showGridLines="0" topLeftCell="A4" zoomScaleNormal="100" zoomScaleSheetLayoutView="110" workbookViewId="0">
      <selection activeCell="G19" sqref="G19"/>
    </sheetView>
  </sheetViews>
  <sheetFormatPr defaultRowHeight="24" customHeight="1"/>
  <cols>
    <col min="1" max="1" width="3.625" customWidth="1"/>
    <col min="2" max="2" width="10" bestFit="1" customWidth="1"/>
    <col min="3" max="3" width="7.25" customWidth="1"/>
    <col min="4" max="4" width="4.875" customWidth="1"/>
    <col min="5" max="5" width="14.375" style="181" customWidth="1"/>
    <col min="6" max="6" width="12.625" bestFit="1" customWidth="1"/>
    <col min="7" max="7" width="13.875" customWidth="1"/>
    <col min="8" max="8" width="12.625" bestFit="1" customWidth="1"/>
    <col min="9" max="9" width="13.875" customWidth="1"/>
    <col min="10" max="10" width="12.625" style="2" bestFit="1" customWidth="1"/>
    <col min="11" max="11" width="8.625" style="1" customWidth="1"/>
    <col min="12" max="12" width="13.75" style="198" bestFit="1" customWidth="1"/>
    <col min="13" max="13" width="7.75" style="4" customWidth="1"/>
    <col min="14" max="18" width="9" customWidth="1"/>
    <col min="20" max="21" width="9" customWidth="1"/>
  </cols>
  <sheetData>
    <row r="1" spans="2:16" ht="13.5" customHeight="1"/>
    <row r="2" spans="2:16" ht="13.5" customHeight="1">
      <c r="B2" s="34"/>
      <c r="C2" s="34"/>
      <c r="D2" s="34"/>
      <c r="E2" s="173"/>
      <c r="F2" s="34"/>
      <c r="G2" s="34"/>
      <c r="H2" s="34"/>
      <c r="I2" s="34"/>
      <c r="J2" s="34"/>
      <c r="K2" s="34"/>
      <c r="L2" s="173"/>
      <c r="M2" s="34"/>
      <c r="N2" s="34"/>
      <c r="O2" s="34"/>
      <c r="P2" s="34"/>
    </row>
    <row r="3" spans="2:16" ht="42.95" customHeight="1">
      <c r="B3" s="278" t="s">
        <v>109</v>
      </c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80"/>
      <c r="N3" s="34"/>
      <c r="O3" s="34"/>
      <c r="P3" s="34"/>
    </row>
    <row r="4" spans="2:16" ht="21" customHeight="1">
      <c r="B4" s="95"/>
      <c r="C4" s="96"/>
      <c r="D4" s="96"/>
      <c r="E4" s="182"/>
      <c r="F4" s="96"/>
      <c r="G4" s="96"/>
      <c r="H4" s="96"/>
      <c r="I4" s="96"/>
      <c r="J4" s="96"/>
      <c r="K4" s="96"/>
      <c r="L4" s="182"/>
      <c r="M4" s="96"/>
    </row>
    <row r="5" spans="2:16" ht="21" customHeight="1">
      <c r="B5" s="32"/>
      <c r="C5" s="33"/>
      <c r="D5" s="33"/>
      <c r="E5" s="183"/>
      <c r="F5" s="33"/>
      <c r="G5" s="33"/>
      <c r="H5" s="33"/>
      <c r="I5" s="33"/>
      <c r="J5" s="33"/>
      <c r="K5" s="281" t="s">
        <v>85</v>
      </c>
      <c r="L5" s="281"/>
      <c r="M5" s="281"/>
    </row>
    <row r="6" spans="2:16" ht="21" customHeight="1">
      <c r="B6" s="272" t="s">
        <v>7</v>
      </c>
      <c r="C6" s="273"/>
      <c r="D6" s="273"/>
      <c r="E6" s="184"/>
      <c r="F6" s="264" t="s">
        <v>102</v>
      </c>
      <c r="G6" s="264"/>
      <c r="H6" s="264" t="s">
        <v>103</v>
      </c>
      <c r="I6" s="264"/>
      <c r="J6" s="264" t="s">
        <v>15</v>
      </c>
      <c r="K6" s="264"/>
      <c r="L6" s="264"/>
      <c r="M6" s="271"/>
    </row>
    <row r="7" spans="2:16" ht="21" customHeight="1" thickBot="1">
      <c r="B7" s="274"/>
      <c r="C7" s="275"/>
      <c r="D7" s="275"/>
      <c r="E7" s="175" t="s">
        <v>11</v>
      </c>
      <c r="F7" s="64" t="s">
        <v>104</v>
      </c>
      <c r="G7" s="63" t="s">
        <v>105</v>
      </c>
      <c r="H7" s="63" t="s">
        <v>106</v>
      </c>
      <c r="I7" s="63" t="s">
        <v>107</v>
      </c>
      <c r="J7" s="63" t="s">
        <v>37</v>
      </c>
      <c r="K7" s="65" t="s">
        <v>16</v>
      </c>
      <c r="L7" s="199" t="s">
        <v>18</v>
      </c>
      <c r="M7" s="66" t="s">
        <v>16</v>
      </c>
    </row>
    <row r="8" spans="2:16" ht="20.100000000000001" customHeight="1" thickBot="1">
      <c r="B8" s="266" t="s">
        <v>19</v>
      </c>
      <c r="C8" s="269" t="s">
        <v>12</v>
      </c>
      <c r="D8" s="270"/>
      <c r="E8" s="185">
        <f>SUM(E9:E10)</f>
        <v>19574</v>
      </c>
      <c r="F8" s="71">
        <f>SUM(F9:F10)</f>
        <v>1631</v>
      </c>
      <c r="G8" s="71">
        <f>SUM(G9:G10)</f>
        <v>4511</v>
      </c>
      <c r="H8" s="71">
        <f>SUM(H9:H10)</f>
        <v>1693</v>
      </c>
      <c r="I8" s="71">
        <f>SUM(I9:I10)</f>
        <v>4584</v>
      </c>
      <c r="J8" s="71">
        <f>H8-F8</f>
        <v>62</v>
      </c>
      <c r="K8" s="72">
        <f>H8/F8</f>
        <v>1.0380134886572654</v>
      </c>
      <c r="L8" s="185">
        <f>I8-G8</f>
        <v>73</v>
      </c>
      <c r="M8" s="73">
        <f>I8/G8</f>
        <v>1.0161826645976502</v>
      </c>
    </row>
    <row r="9" spans="2:16" ht="20.100000000000001" customHeight="1">
      <c r="B9" s="267"/>
      <c r="C9" s="276" t="s">
        <v>9</v>
      </c>
      <c r="D9" s="276"/>
      <c r="E9" s="211">
        <f>5034+5042</f>
        <v>10076</v>
      </c>
      <c r="F9" s="67">
        <f>439+433</f>
        <v>872</v>
      </c>
      <c r="G9" s="241">
        <f>812+818+439+433</f>
        <v>2502</v>
      </c>
      <c r="H9" s="67">
        <f>443+433</f>
        <v>876</v>
      </c>
      <c r="I9" s="241">
        <f>418+421+367+378+443+433</f>
        <v>2460</v>
      </c>
      <c r="J9" s="68">
        <f t="shared" ref="J9:J28" si="0">H9-F9</f>
        <v>4</v>
      </c>
      <c r="K9" s="69">
        <f t="shared" ref="K9:K29" si="1">H9/F9</f>
        <v>1.0045871559633028</v>
      </c>
      <c r="L9" s="200">
        <f>I9-G9</f>
        <v>-42</v>
      </c>
      <c r="M9" s="70">
        <f t="shared" ref="M9:M25" si="2">I9/G9</f>
        <v>0.98321342925659472</v>
      </c>
    </row>
    <row r="10" spans="2:16" ht="20.100000000000001" customHeight="1" thickBot="1">
      <c r="B10" s="267"/>
      <c r="C10" s="277" t="s">
        <v>10</v>
      </c>
      <c r="D10" s="277"/>
      <c r="E10" s="212">
        <f>4758+4740</f>
        <v>9498</v>
      </c>
      <c r="F10" s="74">
        <f>378+381</f>
        <v>759</v>
      </c>
      <c r="G10" s="242">
        <f>630+620+378+381</f>
        <v>2009</v>
      </c>
      <c r="H10" s="74">
        <f>404+413</f>
        <v>817</v>
      </c>
      <c r="I10" s="242">
        <f>345+345+309+308+404+413</f>
        <v>2124</v>
      </c>
      <c r="J10" s="74">
        <f t="shared" si="0"/>
        <v>58</v>
      </c>
      <c r="K10" s="75">
        <f t="shared" si="1"/>
        <v>1.0764163372859026</v>
      </c>
      <c r="L10" s="201">
        <f t="shared" ref="L10:L29" si="3">I10-G10</f>
        <v>115</v>
      </c>
      <c r="M10" s="76">
        <f t="shared" si="2"/>
        <v>1.0572424091587855</v>
      </c>
      <c r="O10" t="s">
        <v>100</v>
      </c>
    </row>
    <row r="11" spans="2:16" ht="20.100000000000001" customHeight="1" thickBot="1">
      <c r="B11" s="266" t="s">
        <v>20</v>
      </c>
      <c r="C11" s="269" t="s">
        <v>8</v>
      </c>
      <c r="D11" s="270"/>
      <c r="E11" s="193">
        <f>E12+E16</f>
        <v>114971346</v>
      </c>
      <c r="F11" s="193">
        <f>F12+F16</f>
        <v>10298613</v>
      </c>
      <c r="G11" s="193">
        <f>G12+G16</f>
        <v>28315036</v>
      </c>
      <c r="H11" s="193">
        <f>H12+H16</f>
        <v>10522192</v>
      </c>
      <c r="I11" s="193">
        <f>I12+I16</f>
        <v>29751354</v>
      </c>
      <c r="J11" s="193">
        <f t="shared" si="0"/>
        <v>223579</v>
      </c>
      <c r="K11" s="72">
        <f t="shared" si="1"/>
        <v>1.0217096224511009</v>
      </c>
      <c r="L11" s="210">
        <f>I11-G11</f>
        <v>1436318</v>
      </c>
      <c r="M11" s="73">
        <f t="shared" si="2"/>
        <v>1.0507263349409126</v>
      </c>
    </row>
    <row r="12" spans="2:16" ht="20.100000000000001" customHeight="1">
      <c r="B12" s="267"/>
      <c r="C12" s="276" t="s">
        <v>1</v>
      </c>
      <c r="D12" s="77" t="s">
        <v>0</v>
      </c>
      <c r="E12" s="194">
        <f>SUM(E13:E15)</f>
        <v>104898926</v>
      </c>
      <c r="F12" s="78">
        <f>SUM(F13:F15)</f>
        <v>9356345</v>
      </c>
      <c r="G12" s="78">
        <f>SUM(G13:G15)</f>
        <v>25788839</v>
      </c>
      <c r="H12" s="78">
        <f>SUM(H13:H15)</f>
        <v>9563972</v>
      </c>
      <c r="I12" s="78">
        <f>SUM(I13:I15)</f>
        <v>27284471</v>
      </c>
      <c r="J12" s="79">
        <f t="shared" ref="J12:J16" si="4">H12-F12</f>
        <v>207627</v>
      </c>
      <c r="K12" s="80">
        <f t="shared" si="1"/>
        <v>1.0221910372052334</v>
      </c>
      <c r="L12" s="202">
        <f>I12-G12</f>
        <v>1495632</v>
      </c>
      <c r="M12" s="81">
        <f t="shared" si="2"/>
        <v>1.0579953211542403</v>
      </c>
    </row>
    <row r="13" spans="2:16" ht="20.100000000000001" customHeight="1">
      <c r="B13" s="267"/>
      <c r="C13" s="265"/>
      <c r="D13" s="54" t="s">
        <v>5</v>
      </c>
      <c r="E13" s="213">
        <v>83772896</v>
      </c>
      <c r="F13" s="244">
        <v>7407124</v>
      </c>
      <c r="G13" s="244">
        <f>7351061+5873668+7407124</f>
        <v>20631853</v>
      </c>
      <c r="H13" s="244">
        <v>7660200</v>
      </c>
      <c r="I13" s="244">
        <f>7846157+6560792+7660200</f>
        <v>22067149</v>
      </c>
      <c r="J13" s="51">
        <f t="shared" si="4"/>
        <v>253076</v>
      </c>
      <c r="K13" s="49">
        <f t="shared" si="1"/>
        <v>1.0341665672128615</v>
      </c>
      <c r="L13" s="189">
        <f>I13-G13</f>
        <v>1435296</v>
      </c>
      <c r="M13" s="56">
        <f t="shared" si="2"/>
        <v>1.0695669942976038</v>
      </c>
      <c r="O13" s="24"/>
    </row>
    <row r="14" spans="2:16" ht="20.100000000000001" customHeight="1">
      <c r="B14" s="267"/>
      <c r="C14" s="265"/>
      <c r="D14" s="54" t="s">
        <v>6</v>
      </c>
      <c r="E14" s="213">
        <v>18700573</v>
      </c>
      <c r="F14" s="244">
        <v>1704227</v>
      </c>
      <c r="G14" s="244">
        <f>1424893+1409756+1704227</f>
        <v>4538876</v>
      </c>
      <c r="H14" s="244">
        <v>1713285</v>
      </c>
      <c r="I14" s="244">
        <f>1612063+1318939+1713285</f>
        <v>4644287</v>
      </c>
      <c r="J14" s="51">
        <f t="shared" si="4"/>
        <v>9058</v>
      </c>
      <c r="K14" s="49">
        <f t="shared" si="1"/>
        <v>1.0053150196540719</v>
      </c>
      <c r="L14" s="189">
        <f t="shared" si="3"/>
        <v>105411</v>
      </c>
      <c r="M14" s="56">
        <f t="shared" si="2"/>
        <v>1.0232240316765648</v>
      </c>
    </row>
    <row r="15" spans="2:16" ht="20.100000000000001" customHeight="1">
      <c r="B15" s="267"/>
      <c r="C15" s="265"/>
      <c r="D15" s="54" t="s">
        <v>13</v>
      </c>
      <c r="E15" s="214">
        <f>1311350+1114107</f>
        <v>2425457</v>
      </c>
      <c r="F15" s="216">
        <f>143400+101594</f>
        <v>244994</v>
      </c>
      <c r="G15" s="244">
        <f>70944+59464+132811+109897+143400+101594</f>
        <v>618110</v>
      </c>
      <c r="H15" s="244">
        <f>110021
+80466</f>
        <v>190487</v>
      </c>
      <c r="I15" s="244">
        <f>110173+83279+93401+95695+110021
+80466</f>
        <v>573035</v>
      </c>
      <c r="J15" s="51">
        <f t="shared" si="4"/>
        <v>-54507</v>
      </c>
      <c r="K15" s="49">
        <f>H15/F15</f>
        <v>0.77751700041633676</v>
      </c>
      <c r="L15" s="189">
        <f t="shared" si="3"/>
        <v>-45075</v>
      </c>
      <c r="M15" s="56">
        <f t="shared" si="2"/>
        <v>0.92707608678067011</v>
      </c>
      <c r="O15" s="24"/>
    </row>
    <row r="16" spans="2:16" ht="20.100000000000001" customHeight="1">
      <c r="B16" s="267"/>
      <c r="C16" s="265" t="s">
        <v>2</v>
      </c>
      <c r="D16" s="53" t="s">
        <v>0</v>
      </c>
      <c r="E16" s="195">
        <f>SUM(E17:E19)</f>
        <v>10072420</v>
      </c>
      <c r="F16" s="52">
        <f>SUM(F17:F19)</f>
        <v>942268</v>
      </c>
      <c r="G16" s="52">
        <f>SUM(G17:G19)</f>
        <v>2526197</v>
      </c>
      <c r="H16" s="52">
        <f>SUM(H17:H19)</f>
        <v>958220</v>
      </c>
      <c r="I16" s="52">
        <f>SUM(I17:I19)</f>
        <v>2466883</v>
      </c>
      <c r="J16" s="47">
        <f t="shared" si="4"/>
        <v>15952</v>
      </c>
      <c r="K16" s="48">
        <f t="shared" si="1"/>
        <v>1.0169293661675871</v>
      </c>
      <c r="L16" s="203">
        <f t="shared" si="3"/>
        <v>-59314</v>
      </c>
      <c r="M16" s="57">
        <f t="shared" si="2"/>
        <v>0.97652043763807805</v>
      </c>
      <c r="O16" s="24"/>
    </row>
    <row r="17" spans="2:15" ht="20.100000000000001" customHeight="1">
      <c r="B17" s="267"/>
      <c r="C17" s="265"/>
      <c r="D17" s="54" t="s">
        <v>3</v>
      </c>
      <c r="E17" s="215">
        <v>7174853</v>
      </c>
      <c r="F17" s="244">
        <v>659870</v>
      </c>
      <c r="G17" s="244">
        <f>619145+510047+659870</f>
        <v>1789062</v>
      </c>
      <c r="H17" s="244">
        <v>669018</v>
      </c>
      <c r="I17" s="244">
        <f>550272+482291+669018</f>
        <v>1701581</v>
      </c>
      <c r="J17" s="51">
        <f>H17-F17</f>
        <v>9148</v>
      </c>
      <c r="K17" s="49">
        <f>H17/F17</f>
        <v>1.0138633367178385</v>
      </c>
      <c r="L17" s="189">
        <f>I17-G17</f>
        <v>-87481</v>
      </c>
      <c r="M17" s="56">
        <f>I17/G17</f>
        <v>0.95110230947837471</v>
      </c>
      <c r="O17" s="24"/>
    </row>
    <row r="18" spans="2:15" ht="20.100000000000001" customHeight="1">
      <c r="B18" s="267"/>
      <c r="C18" s="265"/>
      <c r="D18" s="54" t="s">
        <v>4</v>
      </c>
      <c r="E18" s="215">
        <v>2897567</v>
      </c>
      <c r="F18" s="244">
        <v>282398</v>
      </c>
      <c r="G18" s="244">
        <f>260134+194603+282398</f>
        <v>737135</v>
      </c>
      <c r="H18" s="244">
        <v>289202</v>
      </c>
      <c r="I18" s="244">
        <f>227455+248645+289202</f>
        <v>765302</v>
      </c>
      <c r="J18" s="51">
        <f>H18-F18</f>
        <v>6804</v>
      </c>
      <c r="K18" s="49">
        <f>H18/F18</f>
        <v>1.0240936550542143</v>
      </c>
      <c r="L18" s="189">
        <f>I18-G18</f>
        <v>28167</v>
      </c>
      <c r="M18" s="56">
        <f>I18/G18</f>
        <v>1.0382114538042557</v>
      </c>
    </row>
    <row r="19" spans="2:15" ht="20.100000000000001" customHeight="1">
      <c r="B19" s="267"/>
      <c r="C19" s="265"/>
      <c r="D19" s="54" t="s">
        <v>17</v>
      </c>
      <c r="E19" s="196">
        <v>0</v>
      </c>
      <c r="F19" s="196">
        <v>0</v>
      </c>
      <c r="G19" s="196">
        <v>0</v>
      </c>
      <c r="H19" s="196">
        <v>0</v>
      </c>
      <c r="I19" s="196">
        <v>0</v>
      </c>
      <c r="J19" s="196">
        <v>0</v>
      </c>
      <c r="K19" s="197">
        <v>0</v>
      </c>
      <c r="L19" s="204">
        <v>0</v>
      </c>
      <c r="M19" s="56" t="s">
        <v>75</v>
      </c>
    </row>
    <row r="20" spans="2:15" ht="20.100000000000001" customHeight="1" thickBot="1">
      <c r="B20" s="61"/>
      <c r="C20" s="82"/>
      <c r="D20" s="141"/>
      <c r="E20" s="186"/>
      <c r="F20" s="84"/>
      <c r="G20" s="84"/>
      <c r="H20" s="84"/>
      <c r="I20" s="83"/>
      <c r="J20" s="85"/>
      <c r="K20" s="261" t="s">
        <v>21</v>
      </c>
      <c r="L20" s="262"/>
      <c r="M20" s="263"/>
    </row>
    <row r="21" spans="2:15" ht="20.100000000000001" customHeight="1" thickBot="1">
      <c r="B21" s="268" t="s">
        <v>86</v>
      </c>
      <c r="C21" s="269" t="s">
        <v>8</v>
      </c>
      <c r="D21" s="270"/>
      <c r="E21" s="187">
        <f>SUM(E22,E26)</f>
        <v>956031</v>
      </c>
      <c r="F21" s="88">
        <f>SUM(F22,F26)</f>
        <v>83023</v>
      </c>
      <c r="G21" s="88">
        <f>SUM(G22,G26)</f>
        <v>218452</v>
      </c>
      <c r="H21" s="87">
        <f>SUM(H22,H26)</f>
        <v>90205</v>
      </c>
      <c r="I21" s="87">
        <f>SUM(I22,I26)</f>
        <v>237793</v>
      </c>
      <c r="J21" s="89">
        <f t="shared" si="0"/>
        <v>7182</v>
      </c>
      <c r="K21" s="90">
        <f t="shared" si="1"/>
        <v>1.0865061488984979</v>
      </c>
      <c r="L21" s="205">
        <f t="shared" si="3"/>
        <v>19341</v>
      </c>
      <c r="M21" s="73">
        <f>I21/G21</f>
        <v>1.0885366121619395</v>
      </c>
    </row>
    <row r="22" spans="2:15" ht="20.100000000000001" customHeight="1">
      <c r="B22" s="267"/>
      <c r="C22" s="276" t="s">
        <v>1</v>
      </c>
      <c r="D22" s="77" t="s">
        <v>0</v>
      </c>
      <c r="E22" s="188">
        <f>SUM(E23:E25)</f>
        <v>956031</v>
      </c>
      <c r="F22" s="77">
        <f>SUM(F23:F25)</f>
        <v>83023</v>
      </c>
      <c r="G22" s="77">
        <f>SUM(G23:G25)</f>
        <v>218452</v>
      </c>
      <c r="H22" s="77">
        <f>SUM(H23:H25)</f>
        <v>90205</v>
      </c>
      <c r="I22" s="77">
        <f>SUM(I23:I25)</f>
        <v>237793</v>
      </c>
      <c r="J22" s="79">
        <f t="shared" si="0"/>
        <v>7182</v>
      </c>
      <c r="K22" s="86">
        <f t="shared" si="1"/>
        <v>1.0865061488984979</v>
      </c>
      <c r="L22" s="202">
        <f t="shared" si="3"/>
        <v>19341</v>
      </c>
      <c r="M22" s="81">
        <f t="shared" si="2"/>
        <v>1.0885366121619395</v>
      </c>
    </row>
    <row r="23" spans="2:15" ht="20.100000000000001" customHeight="1">
      <c r="B23" s="267"/>
      <c r="C23" s="265"/>
      <c r="D23" s="59" t="s">
        <v>5</v>
      </c>
      <c r="E23" s="243">
        <v>469464</v>
      </c>
      <c r="F23" s="254">
        <v>42271</v>
      </c>
      <c r="G23" s="257">
        <f>42271+66412</f>
        <v>108683</v>
      </c>
      <c r="H23" s="254">
        <v>42541</v>
      </c>
      <c r="I23" s="257">
        <f>72402+42541</f>
        <v>114943</v>
      </c>
      <c r="J23" s="51">
        <f>H23-F23</f>
        <v>270</v>
      </c>
      <c r="K23" s="50">
        <f>H23/F23</f>
        <v>1.0063873577630054</v>
      </c>
      <c r="L23" s="189">
        <f>I23-G23</f>
        <v>6260</v>
      </c>
      <c r="M23" s="56">
        <f>I23/G23</f>
        <v>1.0575987044892026</v>
      </c>
    </row>
    <row r="24" spans="2:15" ht="20.100000000000001" customHeight="1">
      <c r="B24" s="267"/>
      <c r="C24" s="265"/>
      <c r="D24" s="58" t="s">
        <v>14</v>
      </c>
      <c r="E24" s="243">
        <v>471444</v>
      </c>
      <c r="F24" s="255">
        <v>38871</v>
      </c>
      <c r="G24" s="257">
        <f>38871+67403</f>
        <v>106274</v>
      </c>
      <c r="H24" s="255">
        <v>46775</v>
      </c>
      <c r="I24" s="257">
        <f>73765+46775</f>
        <v>120540</v>
      </c>
      <c r="J24" s="51">
        <f t="shared" ref="J24:J25" si="5">H24-F24</f>
        <v>7904</v>
      </c>
      <c r="K24" s="50">
        <f>H24/F24</f>
        <v>1.2033392503408711</v>
      </c>
      <c r="L24" s="189">
        <f>I24-G24</f>
        <v>14266</v>
      </c>
      <c r="M24" s="56">
        <f>I24/G24</f>
        <v>1.1342379133184033</v>
      </c>
    </row>
    <row r="25" spans="2:15" ht="20.100000000000001" customHeight="1">
      <c r="B25" s="267"/>
      <c r="C25" s="265"/>
      <c r="D25" s="58" t="s">
        <v>13</v>
      </c>
      <c r="E25" s="243">
        <v>15123</v>
      </c>
      <c r="F25" s="256">
        <v>1881</v>
      </c>
      <c r="G25" s="257">
        <f>1881+1614</f>
        <v>3495</v>
      </c>
      <c r="H25" s="256">
        <v>889</v>
      </c>
      <c r="I25" s="257">
        <f>889+1421</f>
        <v>2310</v>
      </c>
      <c r="J25" s="51">
        <f t="shared" si="5"/>
        <v>-992</v>
      </c>
      <c r="K25" s="50">
        <f t="shared" si="1"/>
        <v>0.47262094630515683</v>
      </c>
      <c r="L25" s="189">
        <f t="shared" si="3"/>
        <v>-1185</v>
      </c>
      <c r="M25" s="56">
        <f t="shared" si="2"/>
        <v>0.66094420600858372</v>
      </c>
    </row>
    <row r="26" spans="2:15" ht="20.100000000000001" customHeight="1">
      <c r="B26" s="267"/>
      <c r="C26" s="265" t="s">
        <v>2</v>
      </c>
      <c r="D26" s="54" t="s">
        <v>49</v>
      </c>
      <c r="E26" s="190">
        <f>SUM(E27:E28)</f>
        <v>0</v>
      </c>
      <c r="F26" s="55">
        <f>SUM(F27:F28)</f>
        <v>0</v>
      </c>
      <c r="G26" s="55">
        <f>SUM(G27:G28)</f>
        <v>0</v>
      </c>
      <c r="H26" s="55">
        <v>0</v>
      </c>
      <c r="I26" s="55">
        <f>SUM(I27:I28)</f>
        <v>0</v>
      </c>
      <c r="J26" s="60">
        <f t="shared" si="0"/>
        <v>0</v>
      </c>
      <c r="K26" s="55">
        <v>0</v>
      </c>
      <c r="L26" s="206">
        <f t="shared" si="3"/>
        <v>0</v>
      </c>
      <c r="M26" s="62">
        <v>0</v>
      </c>
    </row>
    <row r="27" spans="2:15" ht="20.100000000000001" customHeight="1">
      <c r="B27" s="267"/>
      <c r="C27" s="265"/>
      <c r="D27" s="54" t="s">
        <v>49</v>
      </c>
      <c r="E27" s="180">
        <v>0</v>
      </c>
      <c r="F27" s="59">
        <v>0</v>
      </c>
      <c r="G27" s="59">
        <v>0</v>
      </c>
      <c r="H27" s="59">
        <v>0</v>
      </c>
      <c r="I27" s="59">
        <v>0</v>
      </c>
      <c r="J27" s="60">
        <f t="shared" si="0"/>
        <v>0</v>
      </c>
      <c r="K27" s="55">
        <v>0</v>
      </c>
      <c r="L27" s="206">
        <f t="shared" si="3"/>
        <v>0</v>
      </c>
      <c r="M27" s="62">
        <v>0</v>
      </c>
    </row>
    <row r="28" spans="2:15" ht="20.100000000000001" customHeight="1" thickBot="1">
      <c r="B28" s="267"/>
      <c r="C28" s="265"/>
      <c r="D28" s="54" t="s">
        <v>49</v>
      </c>
      <c r="E28" s="191">
        <v>0</v>
      </c>
      <c r="F28" s="91">
        <v>0</v>
      </c>
      <c r="G28" s="91">
        <v>0</v>
      </c>
      <c r="H28" s="91">
        <v>0</v>
      </c>
      <c r="I28" s="91">
        <v>0</v>
      </c>
      <c r="J28" s="92">
        <f t="shared" si="0"/>
        <v>0</v>
      </c>
      <c r="K28" s="93">
        <v>0</v>
      </c>
      <c r="L28" s="207">
        <f t="shared" si="3"/>
        <v>0</v>
      </c>
      <c r="M28" s="94">
        <v>0</v>
      </c>
    </row>
    <row r="29" spans="2:15" s="22" customFormat="1" ht="20.100000000000001" customHeight="1" thickBot="1">
      <c r="B29" s="258" t="s">
        <v>47</v>
      </c>
      <c r="C29" s="259"/>
      <c r="D29" s="260"/>
      <c r="E29" s="218">
        <v>1616086</v>
      </c>
      <c r="F29" s="217">
        <v>141523</v>
      </c>
      <c r="G29" s="217">
        <f>99612+118713+141523</f>
        <v>359848</v>
      </c>
      <c r="H29" s="150">
        <v>149720</v>
      </c>
      <c r="I29" s="217">
        <v>399323</v>
      </c>
      <c r="J29" s="151">
        <f>H29-F29</f>
        <v>8197</v>
      </c>
      <c r="K29" s="152">
        <f t="shared" si="1"/>
        <v>1.0579199140775704</v>
      </c>
      <c r="L29" s="208">
        <f t="shared" si="3"/>
        <v>39475</v>
      </c>
      <c r="M29" s="153">
        <f>I29/G29</f>
        <v>1.1096990951735177</v>
      </c>
    </row>
    <row r="30" spans="2:15" ht="12.75" customHeight="1">
      <c r="B30" s="5"/>
      <c r="C30" s="5"/>
      <c r="D30" s="5"/>
      <c r="E30" s="192"/>
      <c r="F30" s="7"/>
      <c r="G30" s="7"/>
      <c r="H30" s="7"/>
      <c r="I30" s="7"/>
      <c r="J30" s="6"/>
      <c r="K30" s="8"/>
      <c r="L30" s="209"/>
      <c r="M30" s="9"/>
    </row>
    <row r="31" spans="2:15" ht="24" customHeight="1">
      <c r="F31" s="181"/>
      <c r="G31" s="181"/>
      <c r="H31" s="181"/>
      <c r="I31" s="181"/>
    </row>
    <row r="32" spans="2:15" ht="24" customHeight="1">
      <c r="F32" s="181"/>
      <c r="G32" s="181"/>
      <c r="H32" s="181"/>
      <c r="I32" s="181"/>
    </row>
  </sheetData>
  <mergeCells count="20">
    <mergeCell ref="B3:M3"/>
    <mergeCell ref="F6:G6"/>
    <mergeCell ref="K5:M5"/>
    <mergeCell ref="C26:C28"/>
    <mergeCell ref="B29:D29"/>
    <mergeCell ref="K20:M20"/>
    <mergeCell ref="H6:I6"/>
    <mergeCell ref="C16:C19"/>
    <mergeCell ref="B8:B10"/>
    <mergeCell ref="B21:B28"/>
    <mergeCell ref="C11:D11"/>
    <mergeCell ref="C8:D8"/>
    <mergeCell ref="J6:M6"/>
    <mergeCell ref="B6:D7"/>
    <mergeCell ref="C22:C25"/>
    <mergeCell ref="C9:D9"/>
    <mergeCell ref="C10:D10"/>
    <mergeCell ref="C12:C15"/>
    <mergeCell ref="B11:B19"/>
    <mergeCell ref="C21:D21"/>
  </mergeCells>
  <phoneticPr fontId="10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94" orientation="landscape" verticalDpi="597" r:id="rId1"/>
  <headerFooter alignWithMargins="0"/>
  <ignoredErrors>
    <ignoredError sqref="E26:G26 H22 I26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32"/>
  <sheetViews>
    <sheetView showGridLines="0" zoomScaleNormal="100" workbookViewId="0">
      <selection activeCell="P7" sqref="P7"/>
    </sheetView>
  </sheetViews>
  <sheetFormatPr defaultRowHeight="14.25"/>
  <cols>
    <col min="1" max="1" width="3.625" customWidth="1"/>
    <col min="2" max="8" width="10.125" customWidth="1"/>
    <col min="9" max="9" width="3.625" style="39" customWidth="1"/>
    <col min="10" max="16" width="10.125" customWidth="1"/>
    <col min="19" max="19" width="10.75" bestFit="1" customWidth="1"/>
  </cols>
  <sheetData>
    <row r="1" spans="2:29" ht="13.5" customHeight="1">
      <c r="L1" s="2"/>
      <c r="M1" s="1"/>
      <c r="N1" s="3"/>
      <c r="O1" s="4"/>
    </row>
    <row r="2" spans="2:29" ht="13.5" customHeight="1">
      <c r="C2" s="34"/>
      <c r="D2" s="34"/>
      <c r="E2" s="34"/>
      <c r="F2" s="34"/>
      <c r="G2" s="34"/>
      <c r="H2" s="34"/>
      <c r="I2" s="40"/>
      <c r="J2" s="34"/>
      <c r="K2" s="34"/>
      <c r="L2" s="34"/>
      <c r="M2" s="34"/>
      <c r="N2" s="34"/>
      <c r="O2" s="34"/>
      <c r="P2" s="34"/>
      <c r="Q2" s="34"/>
      <c r="R2" s="34"/>
    </row>
    <row r="3" spans="2:29" ht="42.95" customHeight="1">
      <c r="B3" s="282" t="s">
        <v>87</v>
      </c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34"/>
      <c r="R3" s="34"/>
    </row>
    <row r="4" spans="2:29" s="11" customFormat="1" ht="21" customHeight="1">
      <c r="B4" s="10"/>
      <c r="I4" s="41"/>
    </row>
    <row r="5" spans="2:29" s="11" customFormat="1" ht="21" customHeight="1" thickBot="1">
      <c r="B5"/>
      <c r="C5"/>
      <c r="D5"/>
      <c r="E5" s="37"/>
      <c r="F5" s="37"/>
      <c r="G5" s="285" t="s">
        <v>50</v>
      </c>
      <c r="H5" s="285"/>
      <c r="I5" s="38"/>
      <c r="J5"/>
      <c r="K5"/>
      <c r="L5"/>
      <c r="M5" s="37"/>
      <c r="N5" s="37"/>
      <c r="O5" s="285" t="s">
        <v>88</v>
      </c>
      <c r="P5" s="285"/>
    </row>
    <row r="6" spans="2:29" s="11" customFormat="1" ht="32.25" customHeight="1">
      <c r="B6" s="127" t="s">
        <v>94</v>
      </c>
      <c r="C6" s="219">
        <v>2021</v>
      </c>
      <c r="D6" s="219">
        <v>2022</v>
      </c>
      <c r="E6" s="227">
        <v>2023</v>
      </c>
      <c r="F6" s="227">
        <v>2024</v>
      </c>
      <c r="G6" s="227">
        <v>2025</v>
      </c>
      <c r="H6" s="131" t="s">
        <v>108</v>
      </c>
      <c r="I6" s="42"/>
      <c r="J6" s="127" t="s">
        <v>94</v>
      </c>
      <c r="K6" s="227">
        <v>2021</v>
      </c>
      <c r="L6" s="227">
        <v>2022</v>
      </c>
      <c r="M6" s="227">
        <v>2023</v>
      </c>
      <c r="N6" s="227">
        <v>2024</v>
      </c>
      <c r="O6" s="227">
        <v>2025</v>
      </c>
      <c r="P6" s="133" t="str">
        <f>$H$6</f>
        <v>2026.3.</v>
      </c>
    </row>
    <row r="7" spans="2:29" s="11" customFormat="1" ht="39.200000000000003" customHeight="1" thickBot="1">
      <c r="B7" s="128" t="s">
        <v>92</v>
      </c>
      <c r="C7" s="224">
        <v>16473</v>
      </c>
      <c r="D7" s="224">
        <v>16626</v>
      </c>
      <c r="E7" s="228">
        <v>17324</v>
      </c>
      <c r="F7" s="228">
        <v>17502</v>
      </c>
      <c r="G7" s="220">
        <f>통계요약!E8</f>
        <v>19574</v>
      </c>
      <c r="H7" s="132">
        <f>통계요약!I8</f>
        <v>4584</v>
      </c>
      <c r="I7" s="43"/>
      <c r="J7" s="129" t="s">
        <v>91</v>
      </c>
      <c r="K7" s="221">
        <v>116876152</v>
      </c>
      <c r="L7" s="221">
        <v>116171568</v>
      </c>
      <c r="M7" s="222">
        <v>116607017</v>
      </c>
      <c r="N7" s="223">
        <v>116714212</v>
      </c>
      <c r="O7" s="223">
        <f>통계요약!E11</f>
        <v>114971346</v>
      </c>
      <c r="P7" s="134">
        <f>통계요약!I11</f>
        <v>29751354</v>
      </c>
    </row>
    <row r="8" spans="2:29" s="11" customFormat="1" ht="21" customHeight="1" thickBot="1">
      <c r="B8"/>
      <c r="C8"/>
      <c r="D8"/>
      <c r="E8" s="37"/>
      <c r="F8" s="37"/>
      <c r="G8" s="285" t="s">
        <v>89</v>
      </c>
      <c r="H8" s="285"/>
      <c r="I8" s="38"/>
      <c r="J8" s="12"/>
      <c r="K8" s="13"/>
      <c r="L8" s="13"/>
      <c r="M8" s="37"/>
      <c r="N8" s="37"/>
      <c r="O8" s="285" t="s">
        <v>90</v>
      </c>
      <c r="P8" s="285"/>
    </row>
    <row r="9" spans="2:29" s="11" customFormat="1" ht="32.25" customHeight="1">
      <c r="B9" s="127" t="s">
        <v>94</v>
      </c>
      <c r="C9" s="227">
        <v>2021</v>
      </c>
      <c r="D9" s="227">
        <v>2022</v>
      </c>
      <c r="E9" s="227">
        <v>2023</v>
      </c>
      <c r="F9" s="227">
        <v>2024</v>
      </c>
      <c r="G9" s="227">
        <v>2025</v>
      </c>
      <c r="H9" s="133" t="str">
        <f>$H$6</f>
        <v>2026.3.</v>
      </c>
      <c r="I9" s="44"/>
      <c r="J9" s="127" t="s">
        <v>94</v>
      </c>
      <c r="K9" s="227">
        <v>2021</v>
      </c>
      <c r="L9" s="227">
        <v>2022</v>
      </c>
      <c r="M9" s="227">
        <v>2023</v>
      </c>
      <c r="N9" s="227">
        <v>2024</v>
      </c>
      <c r="O9" s="227">
        <v>2025</v>
      </c>
      <c r="P9" s="133" t="str">
        <f>$H$6</f>
        <v>2026.3.</v>
      </c>
    </row>
    <row r="10" spans="2:29" s="11" customFormat="1" ht="37.5" customHeight="1" thickBot="1">
      <c r="B10" s="130" t="s">
        <v>22</v>
      </c>
      <c r="C10" s="233">
        <v>936246</v>
      </c>
      <c r="D10" s="233">
        <v>851953</v>
      </c>
      <c r="E10" s="234">
        <v>820289</v>
      </c>
      <c r="F10" s="228">
        <v>924735.5</v>
      </c>
      <c r="G10" s="228">
        <f>통계요약!E21</f>
        <v>956031</v>
      </c>
      <c r="H10" s="135">
        <f>통계요약!I21</f>
        <v>237793</v>
      </c>
      <c r="I10" s="45"/>
      <c r="J10" s="130" t="s">
        <v>93</v>
      </c>
      <c r="K10" s="224">
        <v>0</v>
      </c>
      <c r="L10" s="224"/>
      <c r="M10" s="224">
        <v>0</v>
      </c>
      <c r="N10" s="225">
        <v>0</v>
      </c>
      <c r="O10" s="225">
        <v>0</v>
      </c>
      <c r="P10" s="135"/>
      <c r="S10" s="21" t="s">
        <v>101</v>
      </c>
      <c r="AC10" s="21"/>
    </row>
    <row r="11" spans="2:29" ht="21" customHeight="1"/>
    <row r="12" spans="2:29" s="18" customFormat="1" ht="21" customHeight="1">
      <c r="B12" s="284" t="s">
        <v>98</v>
      </c>
      <c r="C12" s="284"/>
      <c r="D12" s="284"/>
      <c r="I12" s="46"/>
    </row>
    <row r="13" spans="2:29" s="11" customFormat="1" ht="21" customHeight="1">
      <c r="B13" s="283" t="s">
        <v>95</v>
      </c>
      <c r="C13" s="283"/>
      <c r="I13" s="41"/>
      <c r="J13" s="283" t="s">
        <v>96</v>
      </c>
      <c r="K13" s="283"/>
      <c r="L13" s="15"/>
      <c r="M13" s="16"/>
      <c r="N13" s="17"/>
      <c r="O13" s="17"/>
      <c r="P13" s="17"/>
    </row>
    <row r="14" spans="2:29" s="11" customFormat="1" ht="21" customHeight="1">
      <c r="I14" s="41"/>
      <c r="K14" s="14"/>
      <c r="L14" s="15"/>
      <c r="M14" s="16"/>
      <c r="N14" s="17"/>
      <c r="O14" s="17"/>
      <c r="P14" s="17"/>
    </row>
    <row r="15" spans="2:29" s="11" customFormat="1" ht="21" customHeight="1">
      <c r="I15" s="41"/>
      <c r="K15" s="14"/>
      <c r="L15" s="15"/>
      <c r="M15" s="16"/>
      <c r="N15" s="17"/>
      <c r="O15" s="17"/>
      <c r="P15" s="17"/>
    </row>
    <row r="16" spans="2:29" s="11" customFormat="1" ht="21" customHeight="1">
      <c r="I16" s="41"/>
      <c r="K16" s="14"/>
      <c r="L16" s="15"/>
      <c r="M16" s="16"/>
      <c r="N16" s="17"/>
      <c r="O16" s="17"/>
      <c r="P16" s="17"/>
    </row>
    <row r="17" spans="2:16" s="11" customFormat="1" ht="21" customHeight="1">
      <c r="I17" s="41"/>
      <c r="K17" s="14"/>
      <c r="L17" s="15"/>
      <c r="M17" s="16"/>
      <c r="N17" s="17"/>
      <c r="O17" s="17"/>
      <c r="P17" s="17"/>
    </row>
    <row r="18" spans="2:16" s="11" customFormat="1" ht="21" customHeight="1">
      <c r="I18" s="41"/>
      <c r="K18" s="14"/>
      <c r="L18" s="15"/>
      <c r="M18" s="16"/>
      <c r="N18" s="17"/>
      <c r="O18" s="17"/>
      <c r="P18" s="17"/>
    </row>
    <row r="19" spans="2:16" s="11" customFormat="1" ht="21" customHeight="1">
      <c r="I19" s="41"/>
      <c r="K19" s="14"/>
      <c r="L19" s="15"/>
      <c r="M19" s="16"/>
      <c r="N19" s="17"/>
      <c r="O19" s="17"/>
      <c r="P19" s="17"/>
    </row>
    <row r="20" spans="2:16" s="11" customFormat="1" ht="21" customHeight="1">
      <c r="I20" s="41"/>
      <c r="K20" s="14"/>
      <c r="L20" s="15"/>
      <c r="M20" s="16"/>
      <c r="N20" s="17"/>
      <c r="O20" s="17"/>
      <c r="P20" s="17"/>
    </row>
    <row r="21" spans="2:16" s="11" customFormat="1" ht="21" customHeight="1">
      <c r="I21" s="41"/>
      <c r="K21" s="14"/>
      <c r="L21" s="15"/>
      <c r="M21" s="16"/>
      <c r="N21" s="17"/>
      <c r="O21" s="17"/>
      <c r="P21" s="17"/>
    </row>
    <row r="22" spans="2:16" s="11" customFormat="1" ht="21" customHeight="1">
      <c r="I22" s="41"/>
      <c r="K22" s="14"/>
      <c r="L22" s="15"/>
      <c r="M22" s="16"/>
      <c r="N22" s="17"/>
      <c r="O22" s="17"/>
      <c r="P22" s="17"/>
    </row>
    <row r="23" spans="2:16" s="11" customFormat="1" ht="21" customHeight="1">
      <c r="B23" s="283" t="s">
        <v>97</v>
      </c>
      <c r="C23" s="283"/>
      <c r="I23" s="41"/>
      <c r="J23" s="283" t="s">
        <v>99</v>
      </c>
      <c r="K23" s="283"/>
      <c r="L23" s="15"/>
      <c r="M23" s="16"/>
      <c r="N23" s="17"/>
      <c r="O23" s="17"/>
      <c r="P23" s="17"/>
    </row>
    <row r="24" spans="2:16" s="11" customFormat="1" ht="21" customHeight="1">
      <c r="I24" s="41"/>
      <c r="K24" s="14"/>
      <c r="L24" s="15"/>
      <c r="M24" s="16"/>
      <c r="N24" s="17"/>
      <c r="O24" s="17"/>
      <c r="P24" s="17"/>
    </row>
    <row r="25" spans="2:16" s="11" customFormat="1" ht="21" customHeight="1">
      <c r="I25" s="41"/>
      <c r="K25" s="14"/>
      <c r="L25" s="15"/>
      <c r="M25" s="16"/>
      <c r="N25" s="17"/>
      <c r="O25" s="17"/>
      <c r="P25" s="17"/>
    </row>
    <row r="26" spans="2:16" s="11" customFormat="1" ht="21" customHeight="1">
      <c r="I26" s="41"/>
      <c r="K26" s="14"/>
      <c r="L26" s="15"/>
      <c r="M26" s="16"/>
      <c r="N26" s="17"/>
      <c r="O26" s="17"/>
      <c r="P26" s="17"/>
    </row>
    <row r="27" spans="2:16" s="11" customFormat="1" ht="21" customHeight="1">
      <c r="I27" s="41"/>
      <c r="K27" s="14"/>
      <c r="L27" s="15"/>
      <c r="M27" s="16"/>
      <c r="N27" s="17"/>
      <c r="O27" s="17"/>
      <c r="P27" s="17"/>
    </row>
    <row r="28" spans="2:16" s="11" customFormat="1" ht="21" customHeight="1">
      <c r="I28" s="41"/>
      <c r="K28" s="14"/>
      <c r="L28" s="15"/>
      <c r="M28" s="16"/>
      <c r="N28" s="17"/>
      <c r="O28" s="17"/>
      <c r="P28" s="17"/>
    </row>
    <row r="29" spans="2:16" s="11" customFormat="1" ht="21" customHeight="1">
      <c r="I29" s="41"/>
      <c r="K29" s="14"/>
      <c r="L29" s="15"/>
      <c r="M29" s="16"/>
      <c r="N29" s="17"/>
      <c r="O29" s="17"/>
      <c r="P29" s="17"/>
    </row>
    <row r="30" spans="2:16" s="11" customFormat="1" ht="21" customHeight="1">
      <c r="I30" s="41"/>
      <c r="K30" s="14"/>
      <c r="L30" s="15"/>
      <c r="M30" s="16"/>
      <c r="N30" s="17"/>
      <c r="O30" s="17"/>
      <c r="P30" s="17"/>
    </row>
    <row r="31" spans="2:16" s="11" customFormat="1" ht="21" customHeight="1">
      <c r="I31" s="41"/>
      <c r="K31" s="14"/>
      <c r="L31" s="15"/>
      <c r="M31" s="16"/>
      <c r="N31" s="17"/>
      <c r="O31" s="17"/>
      <c r="P31" s="17"/>
    </row>
    <row r="32" spans="2:16" ht="21" customHeight="1"/>
  </sheetData>
  <mergeCells count="10">
    <mergeCell ref="B3:P3"/>
    <mergeCell ref="B13:C13"/>
    <mergeCell ref="J13:K13"/>
    <mergeCell ref="B23:C23"/>
    <mergeCell ref="B12:D12"/>
    <mergeCell ref="J23:K23"/>
    <mergeCell ref="G5:H5"/>
    <mergeCell ref="O5:P5"/>
    <mergeCell ref="G8:H8"/>
    <mergeCell ref="O8:P8"/>
  </mergeCells>
  <phoneticPr fontId="21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4"/>
  <sheetViews>
    <sheetView showGridLines="0" tabSelected="1" zoomScale="95" zoomScaleNormal="95" workbookViewId="0">
      <selection activeCell="B4" sqref="B4"/>
    </sheetView>
  </sheetViews>
  <sheetFormatPr defaultColWidth="10" defaultRowHeight="13.5"/>
  <cols>
    <col min="1" max="1" width="3.625" style="19" customWidth="1"/>
    <col min="2" max="2" width="17.25" style="27" bestFit="1" customWidth="1"/>
    <col min="3" max="4" width="12.625" style="19" customWidth="1"/>
    <col min="5" max="5" width="12.625" style="27" customWidth="1"/>
    <col min="6" max="6" width="12.625" style="173" customWidth="1"/>
    <col min="7" max="7" width="12.625" style="168" customWidth="1"/>
    <col min="8" max="8" width="13.5" style="168" customWidth="1"/>
    <col min="9" max="9" width="12.625" style="158" customWidth="1"/>
    <col min="10" max="12" width="12.625" style="19" customWidth="1"/>
    <col min="13" max="14" width="10" style="19"/>
    <col min="15" max="15" width="0" style="19" hidden="1" customWidth="1"/>
    <col min="16" max="16" width="10.25" style="19" bestFit="1" customWidth="1"/>
    <col min="17" max="17" width="11.5" style="19" bestFit="1" customWidth="1"/>
    <col min="18" max="18" width="10.25" style="19" bestFit="1" customWidth="1"/>
    <col min="19" max="19" width="11.25" style="19" bestFit="1" customWidth="1"/>
    <col min="20" max="20" width="7.75" style="19" customWidth="1"/>
    <col min="21" max="21" width="6.875" style="19" customWidth="1"/>
    <col min="22" max="16384" width="10" style="19"/>
  </cols>
  <sheetData>
    <row r="1" spans="1:35" customFormat="1" ht="13.5" customHeight="1">
      <c r="B1" s="36"/>
      <c r="F1" s="172"/>
      <c r="G1" s="159"/>
      <c r="H1" s="160"/>
      <c r="I1" s="155"/>
    </row>
    <row r="2" spans="1:35" customFormat="1" ht="13.5" customHeight="1">
      <c r="B2" s="35"/>
      <c r="C2" s="34"/>
      <c r="D2" s="34"/>
      <c r="E2" s="34"/>
      <c r="F2" s="173"/>
      <c r="G2" s="161"/>
      <c r="H2" s="161"/>
      <c r="I2" s="156"/>
      <c r="J2" s="34"/>
      <c r="K2" s="34"/>
      <c r="L2" s="34"/>
    </row>
    <row r="3" spans="1:35" customFormat="1" ht="42.95" customHeight="1">
      <c r="B3" s="278" t="s">
        <v>110</v>
      </c>
      <c r="C3" s="279"/>
      <c r="D3" s="279"/>
      <c r="E3" s="279"/>
      <c r="F3" s="279"/>
      <c r="G3" s="279"/>
      <c r="H3" s="279"/>
      <c r="I3" s="279"/>
      <c r="J3" s="279"/>
      <c r="K3" s="279"/>
      <c r="L3" s="280"/>
    </row>
    <row r="4" spans="1:35" ht="13.5" customHeight="1">
      <c r="A4" s="20"/>
      <c r="C4" s="23"/>
      <c r="D4" s="23"/>
      <c r="E4" s="26"/>
      <c r="F4" s="174"/>
      <c r="G4" s="162"/>
      <c r="H4" s="163"/>
      <c r="I4" s="157"/>
    </row>
    <row r="5" spans="1:35" ht="13.5" customHeight="1">
      <c r="A5" s="20"/>
      <c r="C5" s="23"/>
      <c r="D5" s="23"/>
      <c r="E5" s="26"/>
      <c r="F5" s="174"/>
      <c r="G5" s="162"/>
      <c r="H5" s="163"/>
      <c r="I5" s="157"/>
    </row>
    <row r="6" spans="1:35" ht="21.95" customHeight="1">
      <c r="B6" s="288" t="s">
        <v>23</v>
      </c>
      <c r="C6" s="295" t="s">
        <v>24</v>
      </c>
      <c r="D6" s="293" t="s">
        <v>102</v>
      </c>
      <c r="E6" s="293"/>
      <c r="F6" s="293"/>
      <c r="G6" s="297" t="s">
        <v>103</v>
      </c>
      <c r="H6" s="297"/>
      <c r="I6" s="293" t="s">
        <v>25</v>
      </c>
      <c r="J6" s="293"/>
      <c r="K6" s="293"/>
      <c r="L6" s="294"/>
      <c r="X6" s="19" t="s">
        <v>84</v>
      </c>
    </row>
    <row r="7" spans="1:35" ht="21.95" customHeight="1" thickBot="1">
      <c r="B7" s="289"/>
      <c r="C7" s="296"/>
      <c r="D7" s="106" t="s">
        <v>26</v>
      </c>
      <c r="E7" s="106" t="str">
        <f>통계요약!F7</f>
        <v>3월(A)</v>
      </c>
      <c r="F7" s="175" t="str">
        <f>통계요약!G7</f>
        <v xml:space="preserve">3월누계(B) </v>
      </c>
      <c r="G7" s="164" t="str">
        <f>통계요약!H7</f>
        <v>3월(C)</v>
      </c>
      <c r="H7" s="165" t="str">
        <f>통계요약!I7</f>
        <v xml:space="preserve">3월누계(D) </v>
      </c>
      <c r="I7" s="106" t="s">
        <v>27</v>
      </c>
      <c r="J7" s="107" t="s">
        <v>28</v>
      </c>
      <c r="K7" s="108" t="s">
        <v>29</v>
      </c>
      <c r="L7" s="109" t="s">
        <v>28</v>
      </c>
    </row>
    <row r="8" spans="1:35" ht="21.95" customHeight="1">
      <c r="B8" s="290" t="s">
        <v>30</v>
      </c>
      <c r="C8" s="110" t="s">
        <v>31</v>
      </c>
      <c r="D8" s="111">
        <f>SUM(D10,D12,D14,D16,D18,D20,D22,D26,D24,D30,D32,D34,D36,D28)</f>
        <v>956013</v>
      </c>
      <c r="E8" s="111">
        <f>SUM(E10,E12,E14,E16,E18,E20,E22,E26,E24,E30,E32,E34,E36,E28)</f>
        <v>83024</v>
      </c>
      <c r="F8" s="176">
        <f>SUM(F10,F12,F14,F16,F18,F20,F22,F26,F24,F30,F32,F34,F36,F28)</f>
        <v>218454</v>
      </c>
      <c r="G8" s="111">
        <f>SUM(G10,G12,G14,G16,G18,G20,G22,G26,G24,G28,G32,G34,G36,G30)</f>
        <v>90204</v>
      </c>
      <c r="H8" s="170">
        <f>SUM(H10,H12,H14,H16,H18,H20,H22,H26,H24,H30,H32,H34,H36,H28,)</f>
        <v>237276</v>
      </c>
      <c r="I8" s="112">
        <f t="shared" ref="I8:I9" si="0">G8-E8</f>
        <v>7180</v>
      </c>
      <c r="J8" s="113">
        <f t="shared" ref="J8:J9" si="1">(G8/E8*100)-100</f>
        <v>8.6481017537097813</v>
      </c>
      <c r="K8" s="114">
        <f t="shared" ref="K8:K9" si="2">H8-F8</f>
        <v>18822</v>
      </c>
      <c r="L8" s="115">
        <f t="shared" ref="L8:L9" si="3">(H8/F8*100)-100</f>
        <v>8.6160015380812354</v>
      </c>
    </row>
    <row r="9" spans="1:35" ht="21.95" customHeight="1" thickBot="1">
      <c r="B9" s="291"/>
      <c r="C9" s="116" t="s">
        <v>32</v>
      </c>
      <c r="D9" s="117">
        <f>SUM(D11,D13,D15,D17,D19,D21,D23,D25,D27,D31,D33,D35,D37,D29)</f>
        <v>14612972</v>
      </c>
      <c r="E9" s="117">
        <f>SUM(E11,E13,E15,E17,E19,E21,E23,E25,E27,E31,E33,E35,E37,E29)</f>
        <v>1300631</v>
      </c>
      <c r="F9" s="177">
        <f>SUM(F11,F13,F15,F17,F19,F21,F23,F25,F27,F31,F33,F35,F37,F29)</f>
        <v>3355553</v>
      </c>
      <c r="G9" s="117">
        <f>SUM(G11,G13,G15,G17,G19,G21,G23,G25,G27,G29,G33,G35,G37,G31)</f>
        <v>1304394</v>
      </c>
      <c r="H9" s="171">
        <f>SUM(H11,H13,H15,H17,H19,H21,H23,H25,H27,H31,H33,H35,H37,H29)</f>
        <v>3577490</v>
      </c>
      <c r="I9" s="118">
        <f t="shared" si="0"/>
        <v>3763</v>
      </c>
      <c r="J9" s="119">
        <f t="shared" si="1"/>
        <v>0.28932110644757358</v>
      </c>
      <c r="K9" s="120">
        <f t="shared" si="2"/>
        <v>221937</v>
      </c>
      <c r="L9" s="121">
        <f t="shared" si="3"/>
        <v>6.6140215934601656</v>
      </c>
    </row>
    <row r="10" spans="1:35" ht="21.2" customHeight="1">
      <c r="B10" s="292" t="s">
        <v>33</v>
      </c>
      <c r="C10" s="137" t="s">
        <v>31</v>
      </c>
      <c r="D10" s="238">
        <v>13137</v>
      </c>
      <c r="E10" s="249">
        <v>4604</v>
      </c>
      <c r="F10" s="249">
        <f>4604+8533</f>
        <v>13137</v>
      </c>
      <c r="G10" s="249"/>
      <c r="H10" s="249"/>
      <c r="I10" s="146">
        <f>IFERROR(G10-E10,"-")</f>
        <v>-4604</v>
      </c>
      <c r="J10" s="138">
        <f>IFERROR((G10/E10*100)-100,"-")</f>
        <v>-100</v>
      </c>
      <c r="K10" s="139">
        <f>IFERROR(H10-F10,"-")</f>
        <v>-13137</v>
      </c>
      <c r="L10" s="140">
        <f>IFERROR((H10/F10*100)-100,"-")</f>
        <v>-100</v>
      </c>
      <c r="M10" s="25"/>
      <c r="O10" s="19" t="s">
        <v>51</v>
      </c>
      <c r="U10" s="136"/>
      <c r="V10" s="136"/>
    </row>
    <row r="11" spans="1:35" ht="21.2" customHeight="1" thickBot="1">
      <c r="B11" s="286"/>
      <c r="C11" s="142" t="s">
        <v>32</v>
      </c>
      <c r="D11" s="245">
        <v>237788</v>
      </c>
      <c r="E11" s="246">
        <v>83983</v>
      </c>
      <c r="F11" s="246">
        <f>83983+153805</f>
        <v>237788</v>
      </c>
      <c r="G11" s="246"/>
      <c r="H11" s="246"/>
      <c r="I11" s="147">
        <f t="shared" ref="I11:I12" si="4">IFERROR(G11-E11,"-")</f>
        <v>-83983</v>
      </c>
      <c r="J11" s="143">
        <f t="shared" ref="J11:J37" si="5">IFERROR((G11/E11*100)-100,"-")</f>
        <v>-100</v>
      </c>
      <c r="K11" s="144">
        <f t="shared" ref="K11:K37" si="6">IFERROR(H11-F11,"-")</f>
        <v>-237788</v>
      </c>
      <c r="L11" s="145">
        <f t="shared" ref="L11:L37" si="7">IFERROR((H11/F11*100)-100,"-")</f>
        <v>-100</v>
      </c>
      <c r="O11" s="19" t="s">
        <v>51</v>
      </c>
      <c r="U11" s="136"/>
      <c r="V11" s="136"/>
    </row>
    <row r="12" spans="1:35" ht="21.2" customHeight="1">
      <c r="B12" s="286" t="s">
        <v>34</v>
      </c>
      <c r="C12" s="122" t="s">
        <v>31</v>
      </c>
      <c r="D12" s="239">
        <v>82034</v>
      </c>
      <c r="E12" s="250">
        <v>6234</v>
      </c>
      <c r="F12" s="250">
        <f>6234+8772</f>
        <v>15006</v>
      </c>
      <c r="G12" s="249">
        <v>7935</v>
      </c>
      <c r="H12" s="249">
        <f>7935+12462</f>
        <v>20397</v>
      </c>
      <c r="I12" s="148">
        <f t="shared" si="4"/>
        <v>1701</v>
      </c>
      <c r="J12" s="123">
        <f t="shared" si="5"/>
        <v>27.285851780558218</v>
      </c>
      <c r="K12" s="124">
        <f t="shared" si="6"/>
        <v>5391</v>
      </c>
      <c r="L12" s="125">
        <f t="shared" si="7"/>
        <v>35.925629748100761</v>
      </c>
      <c r="O12" s="19" t="s">
        <v>52</v>
      </c>
      <c r="U12" s="136"/>
      <c r="V12" s="136"/>
      <c r="AC12" s="29" t="s">
        <v>77</v>
      </c>
      <c r="AD12" s="29" t="s">
        <v>78</v>
      </c>
      <c r="AE12" s="29" t="s">
        <v>79</v>
      </c>
      <c r="AF12" s="29" t="s">
        <v>80</v>
      </c>
      <c r="AG12" s="29" t="s">
        <v>81</v>
      </c>
    </row>
    <row r="13" spans="1:35" ht="21.2" customHeight="1">
      <c r="B13" s="286"/>
      <c r="C13" s="142" t="s">
        <v>32</v>
      </c>
      <c r="D13" s="245">
        <v>1335135</v>
      </c>
      <c r="E13" s="246">
        <v>96781</v>
      </c>
      <c r="F13" s="246">
        <f>96781+127904</f>
        <v>224685</v>
      </c>
      <c r="G13" s="246">
        <v>130126</v>
      </c>
      <c r="H13" s="246">
        <f>130126+212751</f>
        <v>342877</v>
      </c>
      <c r="I13" s="147">
        <f>IFERROR(G13-E13,"-")</f>
        <v>33345</v>
      </c>
      <c r="J13" s="143">
        <f t="shared" si="5"/>
        <v>34.454076729936645</v>
      </c>
      <c r="K13" s="144">
        <f t="shared" si="6"/>
        <v>118192</v>
      </c>
      <c r="L13" s="145">
        <f t="shared" si="7"/>
        <v>52.603422569374914</v>
      </c>
      <c r="O13" s="19" t="s">
        <v>52</v>
      </c>
      <c r="U13" s="136"/>
      <c r="V13" s="136"/>
      <c r="AC13" s="28" t="s">
        <v>82</v>
      </c>
      <c r="AD13" s="30">
        <f>E10+E12</f>
        <v>10838</v>
      </c>
      <c r="AE13" s="30">
        <f>F10+F12</f>
        <v>28143</v>
      </c>
      <c r="AF13" s="30">
        <f>G10+G12</f>
        <v>7935</v>
      </c>
      <c r="AG13" s="30">
        <f>H10+H12</f>
        <v>20397</v>
      </c>
      <c r="AH13" s="31">
        <f t="shared" ref="AH13:AI15" si="8">(AF13/AD13*100)-100</f>
        <v>-26.785384757335308</v>
      </c>
      <c r="AI13" s="31">
        <f t="shared" si="8"/>
        <v>-27.523718153714967</v>
      </c>
    </row>
    <row r="14" spans="1:35" ht="21.2" customHeight="1">
      <c r="B14" s="286" t="s">
        <v>72</v>
      </c>
      <c r="C14" s="122" t="s">
        <v>31</v>
      </c>
      <c r="D14" s="239"/>
      <c r="E14" s="232"/>
      <c r="F14" s="226"/>
      <c r="G14" s="178"/>
      <c r="H14" s="126"/>
      <c r="I14" s="179">
        <f>IFERROR(G14-E14,"-")</f>
        <v>0</v>
      </c>
      <c r="J14" s="123" t="str">
        <f t="shared" si="5"/>
        <v>-</v>
      </c>
      <c r="K14" s="124">
        <f t="shared" si="6"/>
        <v>0</v>
      </c>
      <c r="L14" s="125" t="str">
        <f t="shared" si="7"/>
        <v>-</v>
      </c>
      <c r="O14" s="19" t="s">
        <v>73</v>
      </c>
      <c r="U14" s="136"/>
      <c r="V14" s="136"/>
      <c r="AC14" s="28" t="s">
        <v>83</v>
      </c>
      <c r="AD14" s="30">
        <f>E18+E20+E22</f>
        <v>45125</v>
      </c>
      <c r="AE14" s="30">
        <f>F18+F20+F22</f>
        <v>119173</v>
      </c>
      <c r="AF14" s="30">
        <f>G18+G20+G22</f>
        <v>51907</v>
      </c>
      <c r="AG14" s="30">
        <f>H18+H20+H22</f>
        <v>136002</v>
      </c>
      <c r="AH14" s="31">
        <f t="shared" si="8"/>
        <v>15.029362880886438</v>
      </c>
      <c r="AI14" s="31">
        <f t="shared" si="8"/>
        <v>14.1214872496287</v>
      </c>
    </row>
    <row r="15" spans="1:35" ht="21.2" customHeight="1">
      <c r="B15" s="286"/>
      <c r="C15" s="97" t="s">
        <v>32</v>
      </c>
      <c r="D15" s="236"/>
      <c r="E15" s="229"/>
      <c r="F15" s="229"/>
      <c r="G15" s="149"/>
      <c r="H15" s="149"/>
      <c r="I15" s="147">
        <f t="shared" ref="I15:I37" si="9">IFERROR(G15-E15,"-")</f>
        <v>0</v>
      </c>
      <c r="J15" s="98" t="str">
        <f t="shared" si="5"/>
        <v>-</v>
      </c>
      <c r="K15" s="99">
        <f t="shared" si="6"/>
        <v>0</v>
      </c>
      <c r="L15" s="101" t="str">
        <f t="shared" si="7"/>
        <v>-</v>
      </c>
      <c r="O15" s="19" t="s">
        <v>73</v>
      </c>
      <c r="AC15" s="28" t="s">
        <v>76</v>
      </c>
      <c r="AD15" s="30">
        <f>E32+E34+E36</f>
        <v>27061</v>
      </c>
      <c r="AE15" s="30">
        <f>F32+F34+F36</f>
        <v>71138</v>
      </c>
      <c r="AF15" s="30">
        <f>G32+G34+G36</f>
        <v>30360</v>
      </c>
      <c r="AG15" s="30">
        <f>H32+H34+H36</f>
        <v>80875</v>
      </c>
      <c r="AH15" s="31">
        <f t="shared" si="8"/>
        <v>12.190975943239351</v>
      </c>
      <c r="AI15" s="31">
        <f t="shared" si="8"/>
        <v>13.687480671371134</v>
      </c>
    </row>
    <row r="16" spans="1:35" ht="21.2" customHeight="1">
      <c r="B16" s="286" t="s">
        <v>46</v>
      </c>
      <c r="C16" s="122" t="s">
        <v>31</v>
      </c>
      <c r="D16" s="235"/>
      <c r="E16" s="232"/>
      <c r="F16" s="230"/>
      <c r="G16" s="178"/>
      <c r="H16" s="166"/>
      <c r="I16" s="179">
        <f t="shared" si="9"/>
        <v>0</v>
      </c>
      <c r="J16" s="123" t="str">
        <f t="shared" si="5"/>
        <v>-</v>
      </c>
      <c r="K16" s="124">
        <f t="shared" si="6"/>
        <v>0</v>
      </c>
      <c r="L16" s="125" t="str">
        <f t="shared" si="7"/>
        <v>-</v>
      </c>
      <c r="O16" s="19" t="s">
        <v>53</v>
      </c>
    </row>
    <row r="17" spans="2:15" ht="21.2" customHeight="1">
      <c r="B17" s="286"/>
      <c r="C17" s="97" t="s">
        <v>45</v>
      </c>
      <c r="D17" s="237"/>
      <c r="E17" s="229"/>
      <c r="F17" s="231"/>
      <c r="G17" s="149"/>
      <c r="H17" s="167"/>
      <c r="I17" s="147">
        <f t="shared" si="9"/>
        <v>0</v>
      </c>
      <c r="J17" s="98" t="str">
        <f t="shared" si="5"/>
        <v>-</v>
      </c>
      <c r="K17" s="99">
        <f t="shared" si="6"/>
        <v>0</v>
      </c>
      <c r="L17" s="101" t="str">
        <f t="shared" si="7"/>
        <v>-</v>
      </c>
      <c r="O17" s="19" t="s">
        <v>53</v>
      </c>
    </row>
    <row r="18" spans="2:15" ht="21.2" customHeight="1">
      <c r="B18" s="286" t="s">
        <v>35</v>
      </c>
      <c r="C18" s="122" t="s">
        <v>31</v>
      </c>
      <c r="D18" s="239">
        <v>181979</v>
      </c>
      <c r="E18" s="247">
        <v>15019</v>
      </c>
      <c r="F18" s="251">
        <f>15019+29131</f>
        <v>44150</v>
      </c>
      <c r="G18" s="247">
        <v>17532</v>
      </c>
      <c r="H18" s="251">
        <f>17532+23220</f>
        <v>40752</v>
      </c>
      <c r="I18" s="179">
        <f t="shared" si="9"/>
        <v>2513</v>
      </c>
      <c r="J18" s="123">
        <f t="shared" si="5"/>
        <v>16.732139290232368</v>
      </c>
      <c r="K18" s="124">
        <f t="shared" si="6"/>
        <v>-3398</v>
      </c>
      <c r="L18" s="125">
        <f t="shared" si="7"/>
        <v>-7.6964892412231052</v>
      </c>
      <c r="M18" s="25"/>
      <c r="O18" s="19" t="s">
        <v>54</v>
      </c>
    </row>
    <row r="19" spans="2:15" ht="21.2" customHeight="1">
      <c r="B19" s="286"/>
      <c r="C19" s="97" t="s">
        <v>32</v>
      </c>
      <c r="D19" s="245">
        <v>2717035</v>
      </c>
      <c r="E19" s="248">
        <v>215290</v>
      </c>
      <c r="F19" s="246">
        <f>215290+410773</f>
        <v>626063</v>
      </c>
      <c r="G19" s="248">
        <v>262160</v>
      </c>
      <c r="H19" s="246">
        <f>262160+406808</f>
        <v>668968</v>
      </c>
      <c r="I19" s="147">
        <f t="shared" si="9"/>
        <v>46870</v>
      </c>
      <c r="J19" s="98">
        <f t="shared" si="5"/>
        <v>21.770634957499183</v>
      </c>
      <c r="K19" s="99">
        <f t="shared" si="6"/>
        <v>42905</v>
      </c>
      <c r="L19" s="101">
        <f t="shared" si="7"/>
        <v>6.8531441723915947</v>
      </c>
      <c r="O19" s="19" t="s">
        <v>55</v>
      </c>
    </row>
    <row r="20" spans="2:15" ht="21.2" customHeight="1">
      <c r="B20" s="286" t="s">
        <v>42</v>
      </c>
      <c r="C20" s="122" t="s">
        <v>31</v>
      </c>
      <c r="D20" s="239">
        <v>205857</v>
      </c>
      <c r="E20" s="247">
        <v>17112</v>
      </c>
      <c r="F20" s="251">
        <f>17112+25493</f>
        <v>42605</v>
      </c>
      <c r="G20" s="247">
        <v>24354</v>
      </c>
      <c r="H20" s="251">
        <f>24354+40408</f>
        <v>64762</v>
      </c>
      <c r="I20" s="179">
        <f t="shared" si="9"/>
        <v>7242</v>
      </c>
      <c r="J20" s="123">
        <f t="shared" si="5"/>
        <v>42.321178120617105</v>
      </c>
      <c r="K20" s="124">
        <f t="shared" si="6"/>
        <v>22157</v>
      </c>
      <c r="L20" s="125">
        <f t="shared" si="7"/>
        <v>52.005633141650037</v>
      </c>
      <c r="O20" s="19" t="s">
        <v>56</v>
      </c>
    </row>
    <row r="21" spans="2:15" ht="21.2" customHeight="1">
      <c r="B21" s="286"/>
      <c r="C21" s="97" t="s">
        <v>32</v>
      </c>
      <c r="D21" s="245">
        <v>3404457</v>
      </c>
      <c r="E21" s="248">
        <v>297428</v>
      </c>
      <c r="F21" s="246">
        <f>297428+435563</f>
        <v>732991</v>
      </c>
      <c r="G21" s="248">
        <v>316776</v>
      </c>
      <c r="H21" s="246">
        <f>316776+659004</f>
        <v>975780</v>
      </c>
      <c r="I21" s="147">
        <f t="shared" si="9"/>
        <v>19348</v>
      </c>
      <c r="J21" s="98">
        <f t="shared" si="5"/>
        <v>6.5051037562031837</v>
      </c>
      <c r="K21" s="99">
        <f t="shared" si="6"/>
        <v>242789</v>
      </c>
      <c r="L21" s="101">
        <f t="shared" si="7"/>
        <v>33.123053352633264</v>
      </c>
      <c r="O21" s="19" t="s">
        <v>57</v>
      </c>
    </row>
    <row r="22" spans="2:15" ht="21.2" customHeight="1">
      <c r="B22" s="286" t="s">
        <v>36</v>
      </c>
      <c r="C22" s="122" t="s">
        <v>31</v>
      </c>
      <c r="D22" s="239">
        <v>127096</v>
      </c>
      <c r="E22" s="247">
        <v>12994</v>
      </c>
      <c r="F22" s="251">
        <f>12994+19424</f>
        <v>32418</v>
      </c>
      <c r="G22" s="247">
        <v>10021</v>
      </c>
      <c r="H22" s="251">
        <f>10021+20467</f>
        <v>30488</v>
      </c>
      <c r="I22" s="179">
        <f t="shared" si="9"/>
        <v>-2973</v>
      </c>
      <c r="J22" s="123">
        <f t="shared" si="5"/>
        <v>-22.879790672618128</v>
      </c>
      <c r="K22" s="124">
        <f t="shared" si="6"/>
        <v>-1930</v>
      </c>
      <c r="L22" s="125">
        <f>IFERROR((H22/F22*100)-100,"-")</f>
        <v>-5.9534826331050681</v>
      </c>
      <c r="O22" s="19" t="s">
        <v>58</v>
      </c>
    </row>
    <row r="23" spans="2:15" ht="21.2" customHeight="1">
      <c r="B23" s="286"/>
      <c r="C23" s="97" t="s">
        <v>32</v>
      </c>
      <c r="D23" s="245">
        <v>2031990</v>
      </c>
      <c r="E23" s="248">
        <v>201677</v>
      </c>
      <c r="F23" s="246">
        <f>201677+289516</f>
        <v>491193</v>
      </c>
      <c r="G23" s="248">
        <v>174743</v>
      </c>
      <c r="H23" s="246">
        <f>174743+284966</f>
        <v>459709</v>
      </c>
      <c r="I23" s="147">
        <f t="shared" si="9"/>
        <v>-26934</v>
      </c>
      <c r="J23" s="98">
        <f t="shared" si="5"/>
        <v>-13.35501817262255</v>
      </c>
      <c r="K23" s="99">
        <f t="shared" si="6"/>
        <v>-31484</v>
      </c>
      <c r="L23" s="101">
        <f t="shared" si="7"/>
        <v>-6.4097004639724133</v>
      </c>
      <c r="O23" s="19" t="s">
        <v>59</v>
      </c>
    </row>
    <row r="24" spans="2:15" ht="21.2" customHeight="1">
      <c r="B24" s="286" t="s">
        <v>48</v>
      </c>
      <c r="C24" s="122" t="s">
        <v>31</v>
      </c>
      <c r="D24" s="235"/>
      <c r="E24" s="232"/>
      <c r="F24" s="230"/>
      <c r="G24" s="178"/>
      <c r="H24" s="166"/>
      <c r="I24" s="179">
        <f t="shared" si="9"/>
        <v>0</v>
      </c>
      <c r="J24" s="123" t="str">
        <f>IFERROR((G24/E24*100)-100,"-")</f>
        <v>-</v>
      </c>
      <c r="K24" s="124">
        <f t="shared" si="6"/>
        <v>0</v>
      </c>
      <c r="L24" s="125" t="str">
        <f t="shared" si="7"/>
        <v>-</v>
      </c>
      <c r="O24" s="19" t="s">
        <v>60</v>
      </c>
    </row>
    <row r="25" spans="2:15" ht="21.2" customHeight="1">
      <c r="B25" s="286"/>
      <c r="C25" s="100" t="s">
        <v>32</v>
      </c>
      <c r="D25" s="237"/>
      <c r="E25" s="229"/>
      <c r="F25" s="231"/>
      <c r="G25" s="149"/>
      <c r="H25" s="167"/>
      <c r="I25" s="147">
        <f t="shared" si="9"/>
        <v>0</v>
      </c>
      <c r="J25" s="98" t="str">
        <f>IFERROR((G25/E25*100)-100,"-")</f>
        <v>-</v>
      </c>
      <c r="K25" s="99">
        <f t="shared" si="6"/>
        <v>0</v>
      </c>
      <c r="L25" s="101" t="str">
        <f t="shared" si="7"/>
        <v>-</v>
      </c>
      <c r="O25" s="19" t="s">
        <v>61</v>
      </c>
    </row>
    <row r="26" spans="2:15" ht="21.2" customHeight="1">
      <c r="B26" s="286" t="s">
        <v>71</v>
      </c>
      <c r="C26" s="122" t="s">
        <v>31</v>
      </c>
      <c r="D26" s="235"/>
      <c r="E26" s="232"/>
      <c r="F26" s="226"/>
      <c r="G26" s="178"/>
      <c r="H26" s="126"/>
      <c r="I26" s="179">
        <f t="shared" si="9"/>
        <v>0</v>
      </c>
      <c r="J26" s="123" t="str">
        <f t="shared" si="5"/>
        <v>-</v>
      </c>
      <c r="K26" s="124">
        <f t="shared" si="6"/>
        <v>0</v>
      </c>
      <c r="L26" s="125" t="str">
        <f t="shared" si="7"/>
        <v>-</v>
      </c>
      <c r="O26" s="19" t="s">
        <v>74</v>
      </c>
    </row>
    <row r="27" spans="2:15" ht="21.2" customHeight="1">
      <c r="B27" s="286"/>
      <c r="C27" s="97" t="s">
        <v>32</v>
      </c>
      <c r="D27" s="237"/>
      <c r="E27" s="229"/>
      <c r="F27" s="229"/>
      <c r="G27" s="149"/>
      <c r="H27" s="149"/>
      <c r="I27" s="147">
        <f t="shared" si="9"/>
        <v>0</v>
      </c>
      <c r="J27" s="98" t="str">
        <f t="shared" si="5"/>
        <v>-</v>
      </c>
      <c r="K27" s="99">
        <f t="shared" si="6"/>
        <v>0</v>
      </c>
      <c r="L27" s="101" t="str">
        <f t="shared" si="7"/>
        <v>-</v>
      </c>
      <c r="O27" s="19" t="s">
        <v>74</v>
      </c>
    </row>
    <row r="28" spans="2:15" ht="21.2" customHeight="1">
      <c r="B28" s="286" t="s">
        <v>43</v>
      </c>
      <c r="C28" s="122" t="s">
        <v>44</v>
      </c>
      <c r="D28" s="239"/>
      <c r="E28" s="232"/>
      <c r="F28" s="230"/>
      <c r="G28" s="178"/>
      <c r="H28" s="166"/>
      <c r="I28" s="179">
        <f>IFERROR(G28-E28,"-")</f>
        <v>0</v>
      </c>
      <c r="J28" s="123" t="str">
        <f>IFERROR((#REF!/E28*100)-100,"-")</f>
        <v>-</v>
      </c>
      <c r="K28" s="124">
        <f t="shared" si="6"/>
        <v>0</v>
      </c>
      <c r="L28" s="125" t="str">
        <f>IFERROR((H28/F28*100)-100,"-")</f>
        <v>-</v>
      </c>
      <c r="O28" s="19" t="s">
        <v>62</v>
      </c>
    </row>
    <row r="29" spans="2:15" ht="21.2" customHeight="1">
      <c r="B29" s="286"/>
      <c r="C29" s="97" t="s">
        <v>45</v>
      </c>
      <c r="D29" s="236"/>
      <c r="E29" s="229"/>
      <c r="F29" s="231"/>
      <c r="G29" s="149"/>
      <c r="H29" s="167"/>
      <c r="I29" s="147">
        <f t="shared" si="9"/>
        <v>0</v>
      </c>
      <c r="J29" s="98" t="str">
        <f>IFERROR((#REF!/E29*100)-100,"-")</f>
        <v>-</v>
      </c>
      <c r="K29" s="99">
        <f t="shared" si="6"/>
        <v>0</v>
      </c>
      <c r="L29" s="101" t="str">
        <f t="shared" si="7"/>
        <v>-</v>
      </c>
      <c r="O29" s="19" t="s">
        <v>62</v>
      </c>
    </row>
    <row r="30" spans="2:15" ht="21.2" customHeight="1">
      <c r="B30" s="286" t="s">
        <v>38</v>
      </c>
      <c r="C30" s="122" t="s">
        <v>31</v>
      </c>
      <c r="D30" s="239">
        <v>1</v>
      </c>
      <c r="E30" s="232"/>
      <c r="F30" s="226"/>
      <c r="G30" s="232">
        <v>2</v>
      </c>
      <c r="H30" s="232">
        <v>2</v>
      </c>
      <c r="I30" s="179">
        <f t="shared" si="9"/>
        <v>2</v>
      </c>
      <c r="J30" s="123" t="str">
        <f>IFERROR((G28/E30*100)-100,"-")</f>
        <v>-</v>
      </c>
      <c r="K30" s="124">
        <f>IFERROR(H30-F30,"-")</f>
        <v>2</v>
      </c>
      <c r="L30" s="125" t="str">
        <f t="shared" si="7"/>
        <v>-</v>
      </c>
      <c r="O30" s="19" t="s">
        <v>63</v>
      </c>
    </row>
    <row r="31" spans="2:15" ht="21.2" customHeight="1">
      <c r="B31" s="286"/>
      <c r="C31" s="97" t="s">
        <v>32</v>
      </c>
      <c r="D31" s="245">
        <v>21</v>
      </c>
      <c r="E31" s="229"/>
      <c r="F31" s="229"/>
      <c r="G31" s="245">
        <v>6</v>
      </c>
      <c r="H31" s="245">
        <v>6</v>
      </c>
      <c r="I31" s="147">
        <f t="shared" si="9"/>
        <v>6</v>
      </c>
      <c r="J31" s="98" t="str">
        <f>IFERROR((G29/E31*100)-100,"-")</f>
        <v>-</v>
      </c>
      <c r="K31" s="99">
        <f t="shared" si="6"/>
        <v>6</v>
      </c>
      <c r="L31" s="101" t="str">
        <f t="shared" si="7"/>
        <v>-</v>
      </c>
      <c r="O31" s="19" t="s">
        <v>64</v>
      </c>
    </row>
    <row r="32" spans="2:15" ht="21.2" customHeight="1">
      <c r="B32" s="286" t="s">
        <v>39</v>
      </c>
      <c r="C32" s="122" t="s">
        <v>31</v>
      </c>
      <c r="D32" s="239">
        <v>98749</v>
      </c>
      <c r="E32" s="247">
        <v>9096</v>
      </c>
      <c r="F32" s="251">
        <f>9096+10833</f>
        <v>19929</v>
      </c>
      <c r="G32" s="247">
        <v>7828</v>
      </c>
      <c r="H32" s="251">
        <f>7828+13987</f>
        <v>21815</v>
      </c>
      <c r="I32" s="179">
        <f t="shared" si="9"/>
        <v>-1268</v>
      </c>
      <c r="J32" s="123">
        <f t="shared" si="5"/>
        <v>-13.940193491644678</v>
      </c>
      <c r="K32" s="124">
        <f t="shared" si="6"/>
        <v>1886</v>
      </c>
      <c r="L32" s="125">
        <f t="shared" si="7"/>
        <v>9.4635957649656319</v>
      </c>
      <c r="O32" s="19" t="s">
        <v>65</v>
      </c>
    </row>
    <row r="33" spans="2:15" ht="21.2" customHeight="1">
      <c r="B33" s="286"/>
      <c r="C33" s="97" t="s">
        <v>32</v>
      </c>
      <c r="D33" s="245">
        <v>1508968</v>
      </c>
      <c r="E33" s="248">
        <v>141396</v>
      </c>
      <c r="F33" s="246">
        <f>141396+164363</f>
        <v>305759</v>
      </c>
      <c r="G33" s="248">
        <v>119119</v>
      </c>
      <c r="H33" s="246">
        <f>119119+234949</f>
        <v>354068</v>
      </c>
      <c r="I33" s="147">
        <f t="shared" si="9"/>
        <v>-22277</v>
      </c>
      <c r="J33" s="98">
        <f t="shared" si="5"/>
        <v>-15.755042575461815</v>
      </c>
      <c r="K33" s="99">
        <f t="shared" si="6"/>
        <v>48309</v>
      </c>
      <c r="L33" s="101">
        <f t="shared" si="7"/>
        <v>15.799698455319387</v>
      </c>
      <c r="O33" s="19" t="s">
        <v>66</v>
      </c>
    </row>
    <row r="34" spans="2:15" ht="21.2" customHeight="1">
      <c r="B34" s="286" t="s">
        <v>40</v>
      </c>
      <c r="C34" s="122" t="s">
        <v>31</v>
      </c>
      <c r="D34" s="239">
        <v>178011</v>
      </c>
      <c r="E34" s="247">
        <v>14158</v>
      </c>
      <c r="F34" s="251">
        <f>14158+23502</f>
        <v>37660</v>
      </c>
      <c r="G34" s="247">
        <v>15645</v>
      </c>
      <c r="H34" s="251">
        <f>15645+25802</f>
        <v>41447</v>
      </c>
      <c r="I34" s="179">
        <f t="shared" si="9"/>
        <v>1487</v>
      </c>
      <c r="J34" s="123">
        <f t="shared" si="5"/>
        <v>10.502895889249885</v>
      </c>
      <c r="K34" s="124">
        <f t="shared" si="6"/>
        <v>3787</v>
      </c>
      <c r="L34" s="125">
        <f t="shared" si="7"/>
        <v>10.05576208178438</v>
      </c>
      <c r="O34" s="19" t="s">
        <v>67</v>
      </c>
    </row>
    <row r="35" spans="2:15" ht="21.2" customHeight="1">
      <c r="B35" s="286"/>
      <c r="C35" s="97" t="s">
        <v>32</v>
      </c>
      <c r="D35" s="245">
        <v>2461722</v>
      </c>
      <c r="E35" s="248">
        <v>203981</v>
      </c>
      <c r="F35" s="246">
        <f>203981+347278</f>
        <v>551259</v>
      </c>
      <c r="G35" s="248">
        <v>216008</v>
      </c>
      <c r="H35" s="246">
        <f>216008+350822</f>
        <v>566830</v>
      </c>
      <c r="I35" s="147">
        <f t="shared" si="9"/>
        <v>12027</v>
      </c>
      <c r="J35" s="98">
        <f t="shared" si="5"/>
        <v>5.8961373853447157</v>
      </c>
      <c r="K35" s="99">
        <f t="shared" si="6"/>
        <v>15571</v>
      </c>
      <c r="L35" s="101">
        <f t="shared" si="7"/>
        <v>2.824625085486133</v>
      </c>
      <c r="O35" s="19" t="s">
        <v>68</v>
      </c>
    </row>
    <row r="36" spans="2:15" ht="21.2" customHeight="1">
      <c r="B36" s="286" t="s">
        <v>41</v>
      </c>
      <c r="C36" s="122" t="s">
        <v>31</v>
      </c>
      <c r="D36" s="239">
        <v>69149</v>
      </c>
      <c r="E36" s="247">
        <v>3807</v>
      </c>
      <c r="F36" s="251">
        <f>3807+9742</f>
        <v>13549</v>
      </c>
      <c r="G36" s="247">
        <v>6887</v>
      </c>
      <c r="H36" s="251">
        <f>6887+10726</f>
        <v>17613</v>
      </c>
      <c r="I36" s="179">
        <f t="shared" si="9"/>
        <v>3080</v>
      </c>
      <c r="J36" s="123">
        <f t="shared" si="5"/>
        <v>80.90359863409509</v>
      </c>
      <c r="K36" s="124">
        <f t="shared" si="6"/>
        <v>4064</v>
      </c>
      <c r="L36" s="125">
        <f t="shared" si="7"/>
        <v>29.994833567052922</v>
      </c>
      <c r="O36" s="19" t="s">
        <v>69</v>
      </c>
    </row>
    <row r="37" spans="2:15" ht="21.2" customHeight="1">
      <c r="B37" s="287"/>
      <c r="C37" s="102" t="s">
        <v>32</v>
      </c>
      <c r="D37" s="240">
        <v>915856</v>
      </c>
      <c r="E37" s="252">
        <v>60095</v>
      </c>
      <c r="F37" s="253">
        <f>60095+125720</f>
        <v>185815</v>
      </c>
      <c r="G37" s="252">
        <v>85456</v>
      </c>
      <c r="H37" s="253">
        <f>85456+123796</f>
        <v>209252</v>
      </c>
      <c r="I37" s="154">
        <f t="shared" si="9"/>
        <v>25361</v>
      </c>
      <c r="J37" s="103">
        <f t="shared" si="5"/>
        <v>42.201514269073982</v>
      </c>
      <c r="K37" s="104">
        <f t="shared" si="6"/>
        <v>23437</v>
      </c>
      <c r="L37" s="105">
        <f t="shared" si="7"/>
        <v>12.613082905039946</v>
      </c>
      <c r="O37" s="19" t="s">
        <v>70</v>
      </c>
    </row>
    <row r="38" spans="2:15" ht="21.2" customHeight="1">
      <c r="E38" s="19"/>
      <c r="H38" s="169"/>
    </row>
    <row r="39" spans="2:15" ht="21.2" customHeight="1">
      <c r="E39" s="19"/>
      <c r="H39" s="169"/>
    </row>
    <row r="40" spans="2:15">
      <c r="E40" s="19"/>
      <c r="H40" s="169"/>
    </row>
    <row r="41" spans="2:15">
      <c r="E41" s="19"/>
      <c r="H41" s="169"/>
    </row>
    <row r="42" spans="2:15">
      <c r="E42" s="19"/>
      <c r="H42" s="169"/>
    </row>
    <row r="43" spans="2:15">
      <c r="E43" s="19"/>
      <c r="H43" s="169"/>
    </row>
    <row r="44" spans="2:15">
      <c r="E44" s="19"/>
      <c r="H44" s="169"/>
    </row>
  </sheetData>
  <mergeCells count="21">
    <mergeCell ref="B3:L3"/>
    <mergeCell ref="B6:B7"/>
    <mergeCell ref="B8:B9"/>
    <mergeCell ref="B10:B11"/>
    <mergeCell ref="I6:L6"/>
    <mergeCell ref="C6:C7"/>
    <mergeCell ref="G6:H6"/>
    <mergeCell ref="D6:F6"/>
    <mergeCell ref="B28:B29"/>
    <mergeCell ref="B30:B31"/>
    <mergeCell ref="B32:B33"/>
    <mergeCell ref="B34:B35"/>
    <mergeCell ref="B36:B37"/>
    <mergeCell ref="B22:B23"/>
    <mergeCell ref="B24:B25"/>
    <mergeCell ref="B26:B27"/>
    <mergeCell ref="B12:B13"/>
    <mergeCell ref="B14:B15"/>
    <mergeCell ref="B16:B17"/>
    <mergeCell ref="B18:B19"/>
    <mergeCell ref="B20:B21"/>
  </mergeCells>
  <phoneticPr fontId="22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2024-10-28T06:10:59Z</cp:lastPrinted>
  <dcterms:created xsi:type="dcterms:W3CDTF">1998-03-31T03:01:22Z</dcterms:created>
  <dcterms:modified xsi:type="dcterms:W3CDTF">2026-04-29T13:45:34Z</dcterms:modified>
</cp:coreProperties>
</file>