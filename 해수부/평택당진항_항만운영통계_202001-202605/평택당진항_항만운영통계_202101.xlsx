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-15" yWindow="-15" windowWidth="14415" windowHeight="12675" tabRatio="601" firstSheet="1" activeTab="3"/>
  </bookViews>
  <sheets>
    <sheet name="VXXX" sheetId="27" state="veryHidden" r:id="rId1"/>
    <sheet name="통계요약" sheetId="21" r:id="rId2"/>
    <sheet name="연도별 수송실적" sheetId="33" r:id="rId3"/>
    <sheet name="컨테이너 재게" sheetId="32" r:id="rId4"/>
  </sheets>
  <definedNames>
    <definedName name="_xlnm.Print_Area" localSheetId="2">'연도별 수송실적'!$A$1:$N$33</definedName>
    <definedName name="_xlnm.Print_Area" localSheetId="1">통계요약!$A$1:$M$40</definedName>
  </definedNames>
  <calcPr calcId="145621"/>
</workbook>
</file>

<file path=xl/calcChain.xml><?xml version="1.0" encoding="utf-8"?>
<calcChain xmlns="http://schemas.openxmlformats.org/spreadsheetml/2006/main">
  <c r="I7" i="21" l="1"/>
  <c r="H7" i="21" l="1"/>
  <c r="AA7" i="33" l="1"/>
  <c r="N6" i="33"/>
  <c r="G6" i="33"/>
  <c r="N3" i="33"/>
  <c r="I15" i="21" l="1"/>
  <c r="F15" i="21" l="1"/>
  <c r="G21" i="21" l="1"/>
  <c r="I3" i="32" l="1"/>
  <c r="H3" i="32"/>
  <c r="G3" i="32"/>
  <c r="F3" i="32"/>
  <c r="E7" i="21" l="1"/>
  <c r="L28" i="21" l="1"/>
  <c r="J28" i="21"/>
  <c r="K28" i="21"/>
  <c r="M26" i="21"/>
  <c r="M27" i="21"/>
  <c r="L26" i="21"/>
  <c r="L27" i="21"/>
  <c r="K26" i="21"/>
  <c r="K27" i="21"/>
  <c r="M18" i="21"/>
  <c r="L18" i="21"/>
  <c r="K18" i="21"/>
  <c r="H11" i="21" l="1"/>
  <c r="J22" i="21" l="1"/>
  <c r="J23" i="21"/>
  <c r="J24" i="21"/>
  <c r="J26" i="21"/>
  <c r="J27" i="21"/>
  <c r="J16" i="21"/>
  <c r="J18" i="21"/>
  <c r="J12" i="21"/>
  <c r="J13" i="21"/>
  <c r="J14" i="21"/>
  <c r="M21" i="32" l="1"/>
  <c r="L21" i="32"/>
  <c r="M20" i="32"/>
  <c r="I25" i="21"/>
  <c r="I21" i="21"/>
  <c r="H21" i="21"/>
  <c r="J6" i="32"/>
  <c r="E25" i="21" l="1"/>
  <c r="E21" i="21"/>
  <c r="E15" i="21"/>
  <c r="E11" i="21"/>
  <c r="E10" i="21" l="1"/>
  <c r="E20" i="21"/>
  <c r="G5" i="32"/>
  <c r="F5" i="32"/>
  <c r="E4" i="32"/>
  <c r="E5" i="32"/>
  <c r="F4" i="32"/>
  <c r="G4" i="32"/>
  <c r="H25" i="21" l="1"/>
  <c r="H15" i="21"/>
  <c r="G15" i="21"/>
  <c r="I5" i="32"/>
  <c r="H5" i="32"/>
  <c r="I4" i="32"/>
  <c r="H4" i="32"/>
  <c r="L11" i="32"/>
  <c r="M11" i="32"/>
  <c r="J11" i="32"/>
  <c r="K11" i="32"/>
  <c r="L10" i="32"/>
  <c r="M10" i="32"/>
  <c r="J10" i="32"/>
  <c r="K10" i="32"/>
  <c r="L20" i="32"/>
  <c r="J21" i="32"/>
  <c r="J20" i="32"/>
  <c r="F21" i="21" l="1"/>
  <c r="I11" i="21"/>
  <c r="G11" i="21"/>
  <c r="F11" i="21"/>
  <c r="G4" i="33"/>
  <c r="G7" i="21"/>
  <c r="F7" i="21"/>
  <c r="I10" i="21" l="1"/>
  <c r="N4" i="33" s="1"/>
  <c r="F25" i="21"/>
  <c r="G25" i="21"/>
  <c r="G20" i="21" s="1"/>
  <c r="J25" i="21" l="1"/>
  <c r="K25" i="21"/>
  <c r="L25" i="21"/>
  <c r="M25" i="21"/>
  <c r="K14" i="21"/>
  <c r="M15" i="32" l="1"/>
  <c r="J15" i="32"/>
  <c r="L14" i="32"/>
  <c r="J14" i="32"/>
  <c r="M24" i="21"/>
  <c r="M16" i="32"/>
  <c r="M17" i="32"/>
  <c r="M22" i="32"/>
  <c r="M23" i="32"/>
  <c r="M24" i="32"/>
  <c r="M25" i="32"/>
  <c r="M26" i="32"/>
  <c r="M27" i="32"/>
  <c r="K16" i="32"/>
  <c r="K17" i="32"/>
  <c r="K22" i="32"/>
  <c r="K23" i="32"/>
  <c r="K24" i="32"/>
  <c r="K25" i="32"/>
  <c r="K26" i="32"/>
  <c r="K27" i="32"/>
  <c r="L29" i="32"/>
  <c r="J29" i="32"/>
  <c r="L28" i="32"/>
  <c r="J28" i="32"/>
  <c r="K6" i="32"/>
  <c r="L6" i="32"/>
  <c r="M6" i="32"/>
  <c r="J7" i="32"/>
  <c r="K7" i="32"/>
  <c r="L7" i="32"/>
  <c r="M7" i="32"/>
  <c r="J8" i="32"/>
  <c r="K8" i="32"/>
  <c r="L8" i="32"/>
  <c r="M8" i="32"/>
  <c r="J9" i="32"/>
  <c r="K9" i="32"/>
  <c r="L9" i="32"/>
  <c r="M9" i="32"/>
  <c r="J12" i="32"/>
  <c r="K12" i="32"/>
  <c r="L12" i="32"/>
  <c r="M12" i="32"/>
  <c r="J13" i="32"/>
  <c r="K13" i="32"/>
  <c r="L13" i="32"/>
  <c r="M13" i="32"/>
  <c r="J16" i="32"/>
  <c r="L16" i="32"/>
  <c r="J17" i="32"/>
  <c r="L17" i="32"/>
  <c r="J18" i="32"/>
  <c r="L18" i="32"/>
  <c r="J19" i="32"/>
  <c r="L19" i="32"/>
  <c r="J22" i="32"/>
  <c r="L22" i="32"/>
  <c r="J23" i="32"/>
  <c r="L23" i="32"/>
  <c r="J24" i="32"/>
  <c r="L24" i="32"/>
  <c r="J25" i="32"/>
  <c r="L25" i="32"/>
  <c r="J26" i="32"/>
  <c r="L26" i="32"/>
  <c r="J27" i="32"/>
  <c r="L27" i="32"/>
  <c r="J8" i="21"/>
  <c r="K8" i="21"/>
  <c r="L8" i="21"/>
  <c r="M8" i="21"/>
  <c r="J9" i="21"/>
  <c r="K9" i="21"/>
  <c r="L9" i="21"/>
  <c r="M9" i="21"/>
  <c r="K12" i="21"/>
  <c r="L12" i="21"/>
  <c r="M12" i="21"/>
  <c r="K13" i="21"/>
  <c r="L13" i="21"/>
  <c r="M13" i="21"/>
  <c r="L14" i="21"/>
  <c r="M14" i="21"/>
  <c r="K16" i="21"/>
  <c r="L16" i="21"/>
  <c r="M16" i="21"/>
  <c r="K17" i="21"/>
  <c r="L17" i="21"/>
  <c r="M17" i="21"/>
  <c r="K22" i="21"/>
  <c r="L22" i="21"/>
  <c r="M22" i="21"/>
  <c r="K23" i="21"/>
  <c r="L23" i="21"/>
  <c r="M23" i="21"/>
  <c r="K24" i="21"/>
  <c r="L24" i="21"/>
  <c r="M28" i="21"/>
  <c r="M14" i="32"/>
  <c r="I20" i="21" l="1"/>
  <c r="G7" i="33" s="1"/>
  <c r="H20" i="21"/>
  <c r="J15" i="21"/>
  <c r="L15" i="32"/>
  <c r="M5" i="32"/>
  <c r="J4" i="32"/>
  <c r="M11" i="21"/>
  <c r="K15" i="21"/>
  <c r="L4" i="32"/>
  <c r="M21" i="21"/>
  <c r="K21" i="21"/>
  <c r="F20" i="21"/>
  <c r="L21" i="21"/>
  <c r="J21" i="21"/>
  <c r="L15" i="21"/>
  <c r="H10" i="21"/>
  <c r="K11" i="21"/>
  <c r="G10" i="21"/>
  <c r="M15" i="21"/>
  <c r="L11" i="21"/>
  <c r="F10" i="21"/>
  <c r="J11" i="21"/>
  <c r="M7" i="21"/>
  <c r="L7" i="21"/>
  <c r="J7" i="21"/>
  <c r="K7" i="21"/>
  <c r="K15" i="32"/>
  <c r="K14" i="32"/>
  <c r="K5" i="32"/>
  <c r="J5" i="32"/>
  <c r="M4" i="32"/>
  <c r="L20" i="21" l="1"/>
  <c r="J20" i="21"/>
  <c r="L10" i="21"/>
  <c r="L5" i="32"/>
  <c r="K4" i="32"/>
  <c r="M10" i="21"/>
  <c r="K20" i="21"/>
  <c r="M20" i="21"/>
  <c r="J10" i="21"/>
  <c r="K10" i="21"/>
</calcChain>
</file>

<file path=xl/sharedStrings.xml><?xml version="1.0" encoding="utf-8"?>
<sst xmlns="http://schemas.openxmlformats.org/spreadsheetml/2006/main" count="126" uniqueCount="82">
  <si>
    <t>소계</t>
  </si>
  <si>
    <t>외항</t>
  </si>
  <si>
    <t>연안</t>
  </si>
  <si>
    <t>입항</t>
  </si>
  <si>
    <t>출항</t>
  </si>
  <si>
    <t>수입</t>
  </si>
  <si>
    <t>수출</t>
  </si>
  <si>
    <t>구     분</t>
    <phoneticPr fontId="5" type="noConversion"/>
  </si>
  <si>
    <t xml:space="preserve"> 합  계</t>
    <phoneticPr fontId="5" type="noConversion"/>
  </si>
  <si>
    <t xml:space="preserve"> 외  항</t>
    <phoneticPr fontId="5" type="noConversion"/>
  </si>
  <si>
    <t xml:space="preserve"> 내  항</t>
    <phoneticPr fontId="5" type="noConversion"/>
  </si>
  <si>
    <t>연간누계</t>
    <phoneticPr fontId="5" type="noConversion"/>
  </si>
  <si>
    <t>계</t>
    <phoneticPr fontId="5" type="noConversion"/>
  </si>
  <si>
    <t>환적</t>
    <phoneticPr fontId="5" type="noConversion"/>
  </si>
  <si>
    <t>수출</t>
    <phoneticPr fontId="5" type="noConversion"/>
  </si>
  <si>
    <t>전년동기대비</t>
    <phoneticPr fontId="5" type="noConversion"/>
  </si>
  <si>
    <t>(%)</t>
    <phoneticPr fontId="5" type="noConversion"/>
  </si>
  <si>
    <t>환적</t>
    <phoneticPr fontId="5" type="noConversion"/>
  </si>
  <si>
    <t>D-B</t>
    <phoneticPr fontId="5" type="noConversion"/>
  </si>
  <si>
    <t>컨테</t>
    <phoneticPr fontId="5" type="noConversion"/>
  </si>
  <si>
    <t>이너</t>
    <phoneticPr fontId="5" type="noConversion"/>
  </si>
  <si>
    <t>선박</t>
    <phoneticPr fontId="5" type="noConversion"/>
  </si>
  <si>
    <t>화물</t>
    <phoneticPr fontId="5" type="noConversion"/>
  </si>
  <si>
    <t>(단위:TEU, 100% 기준)</t>
    <phoneticPr fontId="5" type="noConversion"/>
  </si>
  <si>
    <t>(화물)</t>
    <phoneticPr fontId="5" type="noConversion"/>
  </si>
  <si>
    <t xml:space="preserve">   (컨테이너)</t>
    <phoneticPr fontId="5" type="noConversion"/>
  </si>
  <si>
    <t>(평택·당진항)</t>
    <phoneticPr fontId="5" type="noConversion"/>
  </si>
  <si>
    <t xml:space="preserve">  □ 전년 동기대비 비교표</t>
    <phoneticPr fontId="5" type="noConversion"/>
  </si>
  <si>
    <t>■ 연도별 수송실적</t>
    <phoneticPr fontId="21" type="noConversion"/>
  </si>
  <si>
    <t>(단위 : 천톤)</t>
    <phoneticPr fontId="5" type="noConversion"/>
  </si>
  <si>
    <t xml:space="preserve">구분 </t>
    <phoneticPr fontId="5" type="noConversion"/>
  </si>
  <si>
    <t>선박입출항</t>
    <phoneticPr fontId="5" type="noConversion"/>
  </si>
  <si>
    <t>화물입출항</t>
    <phoneticPr fontId="5" type="noConversion"/>
  </si>
  <si>
    <t>(단위 : TEU)</t>
    <phoneticPr fontId="5" type="noConversion"/>
  </si>
  <si>
    <t>(단위 : 명)</t>
    <phoneticPr fontId="5" type="noConversion"/>
  </si>
  <si>
    <t>컨테이너</t>
    <phoneticPr fontId="5" type="noConversion"/>
  </si>
  <si>
    <t>여    객</t>
    <phoneticPr fontId="5" type="noConversion"/>
  </si>
  <si>
    <t xml:space="preserve">  □ 연도별 추이 </t>
  </si>
  <si>
    <t>□ 부두별 컨테이너 물동량</t>
    <phoneticPr fontId="5" type="noConversion"/>
  </si>
  <si>
    <t>구     분</t>
    <phoneticPr fontId="5" type="noConversion"/>
  </si>
  <si>
    <t>단위</t>
    <phoneticPr fontId="21" type="noConversion"/>
  </si>
  <si>
    <t>전년동기대비</t>
    <phoneticPr fontId="5" type="noConversion"/>
  </si>
  <si>
    <t>연간누계</t>
    <phoneticPr fontId="5" type="noConversion"/>
  </si>
  <si>
    <t>C-A</t>
    <phoneticPr fontId="5" type="noConversion"/>
  </si>
  <si>
    <t>(%)</t>
    <phoneticPr fontId="5" type="noConversion"/>
  </si>
  <si>
    <t>D-B</t>
    <phoneticPr fontId="5" type="noConversion"/>
  </si>
  <si>
    <t>합  계</t>
    <phoneticPr fontId="5" type="noConversion"/>
  </si>
  <si>
    <t>TEU</t>
    <phoneticPr fontId="21" type="noConversion"/>
  </si>
  <si>
    <t>톤</t>
    <phoneticPr fontId="21" type="noConversion"/>
  </si>
  <si>
    <t>선박입항 및 화물수송</t>
    <phoneticPr fontId="5" type="noConversion"/>
  </si>
  <si>
    <t xml:space="preserve">     (여객)</t>
    <phoneticPr fontId="5" type="noConversion"/>
  </si>
  <si>
    <t xml:space="preserve">     (화물입출항)</t>
    <phoneticPr fontId="5" type="noConversion"/>
  </si>
  <si>
    <t xml:space="preserve">   (선박입출항)</t>
    <phoneticPr fontId="5" type="noConversion"/>
  </si>
  <si>
    <t>국제여객부두1번</t>
  </si>
  <si>
    <t>국제여객부두2번</t>
  </si>
  <si>
    <t>동부두 6</t>
    <phoneticPr fontId="21" type="noConversion"/>
  </si>
  <si>
    <t>동부두 8</t>
    <phoneticPr fontId="21" type="noConversion"/>
  </si>
  <si>
    <t>C-A</t>
    <phoneticPr fontId="5" type="noConversion"/>
  </si>
  <si>
    <t>동부두 12</t>
    <phoneticPr fontId="21" type="noConversion"/>
  </si>
  <si>
    <t>동부두 14</t>
    <phoneticPr fontId="21" type="noConversion"/>
  </si>
  <si>
    <t>동부두 15</t>
    <phoneticPr fontId="21" type="noConversion"/>
  </si>
  <si>
    <t>동부두 16</t>
    <phoneticPr fontId="21" type="noConversion"/>
  </si>
  <si>
    <t>동부두 7</t>
    <phoneticPr fontId="21" type="noConversion"/>
  </si>
  <si>
    <t>동부두 11</t>
    <phoneticPr fontId="21" type="noConversion"/>
  </si>
  <si>
    <t>TEU</t>
    <phoneticPr fontId="21" type="noConversion"/>
  </si>
  <si>
    <t>톤</t>
    <phoneticPr fontId="21" type="noConversion"/>
  </si>
  <si>
    <t>동부두 5</t>
    <phoneticPr fontId="21" type="noConversion"/>
  </si>
  <si>
    <t>-</t>
    <phoneticPr fontId="21" type="noConversion"/>
  </si>
  <si>
    <t>-</t>
    <phoneticPr fontId="21" type="noConversion"/>
  </si>
  <si>
    <t>자동차(대)</t>
    <phoneticPr fontId="5" type="noConversion"/>
  </si>
  <si>
    <t>동부두 9</t>
    <phoneticPr fontId="21" type="noConversion"/>
  </si>
  <si>
    <t>소계</t>
    <phoneticPr fontId="5" type="noConversion"/>
  </si>
  <si>
    <t>(단위 : 척)</t>
    <phoneticPr fontId="5" type="noConversion"/>
  </si>
  <si>
    <r>
      <t xml:space="preserve">                         </t>
    </r>
    <r>
      <rPr>
        <sz val="10"/>
        <rFont val="굴림체"/>
        <family val="3"/>
        <charset val="129"/>
      </rPr>
      <t>(단위 : 척, 천톤, 100% 기준)</t>
    </r>
    <phoneticPr fontId="5" type="noConversion"/>
  </si>
  <si>
    <t>(2021. 1월분)</t>
    <phoneticPr fontId="5" type="noConversion"/>
  </si>
  <si>
    <t>2020년도</t>
    <phoneticPr fontId="5" type="noConversion"/>
  </si>
  <si>
    <t>1월(A)</t>
    <phoneticPr fontId="5" type="noConversion"/>
  </si>
  <si>
    <t>1월누계(B)</t>
    <phoneticPr fontId="5" type="noConversion"/>
  </si>
  <si>
    <t>2021년도</t>
    <phoneticPr fontId="5" type="noConversion"/>
  </si>
  <si>
    <t>1월(C)</t>
    <phoneticPr fontId="5" type="noConversion"/>
  </si>
  <si>
    <t>1월누계(D)</t>
    <phoneticPr fontId="5" type="noConversion"/>
  </si>
  <si>
    <t>2021년도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</si>
</sst>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3">
    <numFmt numFmtId="41" formatCode="_-* #,##0_-;\-* #,##0_-;_-* &quot;-&quot;_-;_-@_-"/>
    <numFmt numFmtId="176" formatCode="_ * #,##0_ ;_ * \-#,##0_ ;_ * &quot;-&quot;_ ;_ @_ "/>
    <numFmt numFmtId="177" formatCode="&quot;$&quot;#,##0;[Red]\-&quot;$&quot;#,##0"/>
    <numFmt numFmtId="178" formatCode="&quot;$&quot;#,##0.00;[Red]\-&quot;$&quot;#,##0.00"/>
    <numFmt numFmtId="179" formatCode="_ * #,##0_ ;_ * &quot;₩&quot;&quot;₩&quot;&quot;₩&quot;&quot;₩&quot;&quot;₩&quot;&quot;₩&quot;\-#,##0_ ;_ * &quot;-&quot;_ ;_ @_ "/>
    <numFmt numFmtId="180" formatCode="0_);[Red]\(0\)"/>
    <numFmt numFmtId="181" formatCode="#,##0_ "/>
    <numFmt numFmtId="182" formatCode="#,###,"/>
    <numFmt numFmtId="183" formatCode="#,##0_);[Red]\(#,##0\)"/>
    <numFmt numFmtId="184" formatCode="_-* #,##0.0_-;&quot;△&quot;\ #,##0.0_-;_-* &quot;-&quot;??_-;_-@_-"/>
    <numFmt numFmtId="185" formatCode="_ * #,##0_ ;_ * &quot;△&quot;#,##0_ ;_ * &quot;-&quot;_ ;_ @_ "/>
    <numFmt numFmtId="186" formatCode="0.0_);\(0.0\)"/>
    <numFmt numFmtId="187" formatCode="0.0_);[Red]\(0.0\)"/>
  </numFmts>
  <fonts count="35">
    <font>
      <sz val="12"/>
      <name val="바탕체"/>
      <family val="1"/>
      <charset val="129"/>
    </font>
    <font>
      <sz val="11"/>
      <color theme="1"/>
      <name val="맑은 고딕"/>
      <family val="2"/>
      <charset val="129"/>
      <scheme val="minor"/>
    </font>
    <font>
      <b/>
      <sz val="12"/>
      <name val="바탕체"/>
      <family val="1"/>
      <charset val="129"/>
    </font>
    <font>
      <sz val="12"/>
      <name val="바탕체"/>
      <family val="1"/>
      <charset val="129"/>
    </font>
    <font>
      <sz val="10"/>
      <name val="바탕체"/>
      <family val="1"/>
      <charset val="129"/>
    </font>
    <font>
      <sz val="8"/>
      <name val="바탕"/>
      <family val="1"/>
      <charset val="129"/>
    </font>
    <font>
      <sz val="10"/>
      <name val="Geneva"/>
      <family val="2"/>
    </font>
    <font>
      <sz val="10"/>
      <name val="Arial"/>
      <family val="2"/>
    </font>
    <font>
      <sz val="10"/>
      <name val="MS Sans Serif"/>
      <family val="2"/>
    </font>
    <font>
      <sz val="8"/>
      <name val="Arial"/>
      <family val="2"/>
    </font>
    <font>
      <b/>
      <sz val="20"/>
      <name val="굴림체"/>
      <family val="3"/>
      <charset val="129"/>
    </font>
    <font>
      <sz val="10"/>
      <name val="굴림체"/>
      <family val="3"/>
      <charset val="129"/>
    </font>
    <font>
      <b/>
      <sz val="10"/>
      <name val="굴림체"/>
      <family val="3"/>
      <charset val="129"/>
    </font>
    <font>
      <sz val="7"/>
      <name val="굴림체"/>
      <family val="3"/>
      <charset val="129"/>
    </font>
    <font>
      <b/>
      <sz val="14"/>
      <name val="굴림체"/>
      <family val="3"/>
      <charset val="129"/>
    </font>
    <font>
      <b/>
      <sz val="10"/>
      <name val="바탕체"/>
      <family val="1"/>
      <charset val="129"/>
    </font>
    <font>
      <b/>
      <sz val="12"/>
      <name val="굴림체"/>
      <family val="3"/>
      <charset val="129"/>
    </font>
    <font>
      <b/>
      <sz val="14"/>
      <name val="바탕체"/>
      <family val="1"/>
      <charset val="129"/>
    </font>
    <font>
      <sz val="14"/>
      <name val="바탕체"/>
      <family val="1"/>
      <charset val="129"/>
    </font>
    <font>
      <b/>
      <sz val="14"/>
      <name val="돋움"/>
      <family val="3"/>
      <charset val="129"/>
    </font>
    <font>
      <sz val="8"/>
      <name val="바탕체"/>
      <family val="1"/>
      <charset val="129"/>
    </font>
    <font>
      <sz val="8"/>
      <name val="돋움"/>
      <family val="3"/>
      <charset val="129"/>
    </font>
    <font>
      <b/>
      <sz val="11"/>
      <name val="굴림체"/>
      <family val="3"/>
      <charset val="129"/>
    </font>
    <font>
      <sz val="11"/>
      <name val="굴림체"/>
      <family val="3"/>
      <charset val="129"/>
    </font>
    <font>
      <sz val="11"/>
      <name val="돋움"/>
      <family val="3"/>
      <charset val="129"/>
    </font>
    <font>
      <b/>
      <sz val="11"/>
      <name val="돋움"/>
      <family val="3"/>
      <charset val="129"/>
    </font>
    <font>
      <b/>
      <sz val="10.5"/>
      <name val="굴림체"/>
      <family val="3"/>
      <charset val="129"/>
    </font>
    <font>
      <b/>
      <sz val="22"/>
      <name val="휴먼모음T"/>
      <family val="1"/>
      <charset val="129"/>
    </font>
    <font>
      <sz val="10"/>
      <color indexed="12"/>
      <name val="굴림체"/>
      <family val="3"/>
      <charset val="129"/>
    </font>
    <font>
      <sz val="10"/>
      <color indexed="12"/>
      <name val="바탕체"/>
      <family val="1"/>
      <charset val="129"/>
    </font>
    <font>
      <sz val="7"/>
      <color indexed="12"/>
      <name val="굴림체"/>
      <family val="3"/>
      <charset val="129"/>
    </font>
    <font>
      <sz val="11"/>
      <color indexed="12"/>
      <name val="굴림체"/>
      <family val="3"/>
      <charset val="129"/>
    </font>
    <font>
      <b/>
      <sz val="16"/>
      <color indexed="10"/>
      <name val="굴림체"/>
      <family val="3"/>
      <charset val="129"/>
    </font>
    <font>
      <sz val="11"/>
      <color rgb="FF0000FF"/>
      <name val="굴림체"/>
      <family val="3"/>
      <charset val="129"/>
    </font>
    <font>
      <b/>
      <sz val="10"/>
      <color theme="1"/>
      <name val="굴림체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1">
    <xf numFmtId="0" fontId="0" fillId="0" borderId="0"/>
    <xf numFmtId="38" fontId="6" fillId="0" borderId="0" applyFont="0" applyFill="0" applyBorder="0" applyAlignment="0" applyProtection="0"/>
    <xf numFmtId="4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38" fontId="9" fillId="2" borderId="0" applyNumberFormat="0" applyBorder="0" applyAlignment="0" applyProtection="0"/>
    <xf numFmtId="10" fontId="9" fillId="3" borderId="1" applyNumberFormat="0" applyBorder="0" applyAlignment="0" applyProtection="0"/>
    <xf numFmtId="38" fontId="8" fillId="0" borderId="0" applyFont="0" applyFill="0" applyBorder="0" applyAlignment="0" applyProtection="0"/>
    <xf numFmtId="40" fontId="8" fillId="0" borderId="0" applyFont="0" applyFill="0" applyBorder="0" applyAlignment="0" applyProtection="0"/>
    <xf numFmtId="177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179" fontId="7" fillId="0" borderId="0"/>
    <xf numFmtId="0" fontId="6" fillId="0" borderId="0"/>
    <xf numFmtId="10" fontId="7" fillId="0" borderId="0" applyFont="0" applyFill="0" applyBorder="0" applyAlignment="0" applyProtection="0"/>
    <xf numFmtId="9" fontId="8" fillId="0" borderId="2" applyNumberFormat="0" applyBorder="0"/>
    <xf numFmtId="176" fontId="3" fillId="0" borderId="0" applyFont="0" applyFill="0" applyBorder="0" applyAlignment="0" applyProtection="0"/>
    <xf numFmtId="0" fontId="3" fillId="0" borderId="0"/>
    <xf numFmtId="0" fontId="24" fillId="0" borderId="0">
      <alignment vertical="center"/>
    </xf>
    <xf numFmtId="0" fontId="1" fillId="0" borderId="0">
      <alignment vertical="center"/>
    </xf>
    <xf numFmtId="0" fontId="3" fillId="0" borderId="0"/>
    <xf numFmtId="176" fontId="3" fillId="0" borderId="0" applyFont="0" applyFill="0" applyBorder="0" applyAlignment="0" applyProtection="0"/>
  </cellStyleXfs>
  <cellXfs count="249">
    <xf numFmtId="0" fontId="0" fillId="0" borderId="0" xfId="0"/>
    <xf numFmtId="176" fontId="11" fillId="0" borderId="0" xfId="0" applyNumberFormat="1" applyFont="1" applyBorder="1" applyAlignment="1">
      <alignment horizontal="center" vertical="center"/>
    </xf>
    <xf numFmtId="176" fontId="13" fillId="0" borderId="1" xfId="0" applyNumberFormat="1" applyFont="1" applyBorder="1" applyAlignment="1">
      <alignment horizontal="center" vertical="center"/>
    </xf>
    <xf numFmtId="176" fontId="12" fillId="4" borderId="3" xfId="0" applyNumberFormat="1" applyFont="1" applyFill="1" applyBorder="1" applyAlignment="1">
      <alignment horizontal="center" vertical="center"/>
    </xf>
    <xf numFmtId="176" fontId="11" fillId="5" borderId="3" xfId="0" applyNumberFormat="1" applyFont="1" applyFill="1" applyBorder="1" applyAlignment="1">
      <alignment horizontal="right" vertical="center"/>
    </xf>
    <xf numFmtId="176" fontId="13" fillId="5" borderId="4" xfId="0" applyNumberFormat="1" applyFont="1" applyFill="1" applyBorder="1" applyAlignment="1">
      <alignment horizontal="center" vertical="center"/>
    </xf>
    <xf numFmtId="176" fontId="13" fillId="5" borderId="1" xfId="0" applyNumberFormat="1" applyFont="1" applyFill="1" applyBorder="1" applyAlignment="1">
      <alignment horizontal="center" vertical="center"/>
    </xf>
    <xf numFmtId="176" fontId="11" fillId="5" borderId="0" xfId="0" applyNumberFormat="1" applyFont="1" applyFill="1" applyBorder="1" applyAlignment="1">
      <alignment horizontal="center" vertical="center"/>
    </xf>
    <xf numFmtId="0" fontId="14" fillId="0" borderId="0" xfId="0" applyFont="1"/>
    <xf numFmtId="180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4" fillId="0" borderId="0" xfId="0" applyFont="1" applyAlignment="1">
      <alignment horizontal="right" vertical="center"/>
    </xf>
    <xf numFmtId="180" fontId="4" fillId="0" borderId="0" xfId="0" applyNumberFormat="1" applyFont="1" applyAlignment="1">
      <alignment horizontal="right" vertical="center"/>
    </xf>
    <xf numFmtId="176" fontId="12" fillId="4" borderId="3" xfId="0" applyNumberFormat="1" applyFont="1" applyFill="1" applyBorder="1" applyAlignment="1">
      <alignment horizontal="right" vertical="center"/>
    </xf>
    <xf numFmtId="176" fontId="15" fillId="4" borderId="1" xfId="0" applyNumberFormat="1" applyFont="1" applyFill="1" applyBorder="1" applyAlignment="1">
      <alignment horizontal="right" vertical="center"/>
    </xf>
    <xf numFmtId="176" fontId="11" fillId="0" borderId="0" xfId="0" applyNumberFormat="1" applyFont="1" applyBorder="1" applyAlignment="1">
      <alignment horizontal="right" vertical="center"/>
    </xf>
    <xf numFmtId="9" fontId="12" fillId="4" borderId="5" xfId="0" quotePrefix="1" applyNumberFormat="1" applyFont="1" applyFill="1" applyBorder="1" applyAlignment="1">
      <alignment horizontal="right" vertical="center"/>
    </xf>
    <xf numFmtId="176" fontId="12" fillId="5" borderId="6" xfId="0" applyNumberFormat="1" applyFont="1" applyFill="1" applyBorder="1" applyAlignment="1">
      <alignment horizontal="right" vertical="center"/>
    </xf>
    <xf numFmtId="9" fontId="11" fillId="5" borderId="5" xfId="0" quotePrefix="1" applyNumberFormat="1" applyFont="1" applyFill="1" applyBorder="1" applyAlignment="1">
      <alignment horizontal="right" vertical="center"/>
    </xf>
    <xf numFmtId="176" fontId="4" fillId="5" borderId="1" xfId="0" applyNumberFormat="1" applyFont="1" applyFill="1" applyBorder="1" applyAlignment="1">
      <alignment horizontal="right" vertical="center"/>
    </xf>
    <xf numFmtId="176" fontId="11" fillId="0" borderId="3" xfId="0" applyNumberFormat="1" applyFont="1" applyBorder="1" applyAlignment="1">
      <alignment horizontal="right" vertical="center"/>
    </xf>
    <xf numFmtId="176" fontId="11" fillId="0" borderId="3" xfId="0" applyNumberFormat="1" applyFont="1" applyFill="1" applyBorder="1" applyAlignment="1">
      <alignment horizontal="right" vertical="center"/>
    </xf>
    <xf numFmtId="9" fontId="11" fillId="0" borderId="5" xfId="0" quotePrefix="1" applyNumberFormat="1" applyFont="1" applyFill="1" applyBorder="1" applyAlignment="1">
      <alignment horizontal="right" vertical="center"/>
    </xf>
    <xf numFmtId="176" fontId="4" fillId="0" borderId="1" xfId="0" applyNumberFormat="1" applyFont="1" applyFill="1" applyBorder="1" applyAlignment="1">
      <alignment horizontal="right" vertical="center"/>
    </xf>
    <xf numFmtId="9" fontId="15" fillId="4" borderId="7" xfId="0" applyNumberFormat="1" applyFont="1" applyFill="1" applyBorder="1" applyAlignment="1">
      <alignment horizontal="right" vertical="center"/>
    </xf>
    <xf numFmtId="176" fontId="11" fillId="6" borderId="8" xfId="0" applyNumberFormat="1" applyFont="1" applyFill="1" applyBorder="1" applyAlignment="1">
      <alignment horizontal="center" vertical="center"/>
    </xf>
    <xf numFmtId="9" fontId="4" fillId="5" borderId="7" xfId="0" applyNumberFormat="1" applyFont="1" applyFill="1" applyBorder="1" applyAlignment="1">
      <alignment horizontal="right" vertical="center"/>
    </xf>
    <xf numFmtId="9" fontId="4" fillId="0" borderId="7" xfId="0" applyNumberFormat="1" applyFont="1" applyFill="1" applyBorder="1" applyAlignment="1">
      <alignment horizontal="right" vertical="center"/>
    </xf>
    <xf numFmtId="176" fontId="11" fillId="6" borderId="9" xfId="0" applyNumberFormat="1" applyFont="1" applyFill="1" applyBorder="1" applyAlignment="1">
      <alignment horizontal="center" vertical="center"/>
    </xf>
    <xf numFmtId="0" fontId="12" fillId="5" borderId="10" xfId="0" applyFont="1" applyFill="1" applyBorder="1" applyAlignment="1">
      <alignment horizontal="left"/>
    </xf>
    <xf numFmtId="0" fontId="11" fillId="5" borderId="0" xfId="0" applyFont="1" applyFill="1" applyBorder="1" applyAlignment="1">
      <alignment horizontal="center"/>
    </xf>
    <xf numFmtId="176" fontId="11" fillId="6" borderId="8" xfId="0" applyNumberFormat="1" applyFont="1" applyFill="1" applyBorder="1" applyAlignment="1">
      <alignment horizontal="left" vertical="center"/>
    </xf>
    <xf numFmtId="176" fontId="11" fillId="6" borderId="11" xfId="0" applyNumberFormat="1" applyFont="1" applyFill="1" applyBorder="1" applyAlignment="1">
      <alignment vertical="center"/>
    </xf>
    <xf numFmtId="176" fontId="11" fillId="0" borderId="0" xfId="0" applyNumberFormat="1" applyFont="1" applyFill="1" applyBorder="1" applyAlignment="1">
      <alignment horizontal="center" vertical="center"/>
    </xf>
    <xf numFmtId="176" fontId="12" fillId="0" borderId="0" xfId="0" applyNumberFormat="1" applyFont="1" applyFill="1" applyBorder="1" applyAlignment="1">
      <alignment horizontal="right" vertical="center"/>
    </xf>
    <xf numFmtId="181" fontId="12" fillId="0" borderId="0" xfId="0" applyNumberFormat="1" applyFont="1" applyFill="1" applyBorder="1" applyAlignment="1">
      <alignment horizontal="right" vertical="center"/>
    </xf>
    <xf numFmtId="9" fontId="12" fillId="0" borderId="0" xfId="0" quotePrefix="1" applyNumberFormat="1" applyFont="1" applyFill="1" applyBorder="1" applyAlignment="1">
      <alignment horizontal="right" vertical="center"/>
    </xf>
    <xf numFmtId="176" fontId="15" fillId="0" borderId="0" xfId="0" applyNumberFormat="1" applyFont="1" applyFill="1" applyBorder="1" applyAlignment="1">
      <alignment horizontal="right" vertical="center"/>
    </xf>
    <xf numFmtId="9" fontId="15" fillId="0" borderId="0" xfId="0" applyNumberFormat="1" applyFont="1" applyFill="1" applyBorder="1" applyAlignment="1">
      <alignment horizontal="right" vertical="center"/>
    </xf>
    <xf numFmtId="176" fontId="12" fillId="6" borderId="15" xfId="0" quotePrefix="1" applyNumberFormat="1" applyFont="1" applyFill="1" applyBorder="1" applyAlignment="1">
      <alignment horizontal="center" vertical="center"/>
    </xf>
    <xf numFmtId="176" fontId="12" fillId="6" borderId="16" xfId="0" applyNumberFormat="1" applyFont="1" applyFill="1" applyBorder="1" applyAlignment="1">
      <alignment horizontal="center" vertical="center"/>
    </xf>
    <xf numFmtId="176" fontId="12" fillId="6" borderId="1" xfId="0" applyNumberFormat="1" applyFont="1" applyFill="1" applyBorder="1" applyAlignment="1">
      <alignment horizontal="center" vertical="center"/>
    </xf>
    <xf numFmtId="9" fontId="12" fillId="6" borderId="5" xfId="0" applyNumberFormat="1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center" vertical="center"/>
    </xf>
    <xf numFmtId="180" fontId="12" fillId="6" borderId="7" xfId="0" applyNumberFormat="1" applyFont="1" applyFill="1" applyBorder="1" applyAlignment="1">
      <alignment horizontal="center" vertical="center"/>
    </xf>
    <xf numFmtId="182" fontId="12" fillId="4" borderId="3" xfId="0" applyNumberFormat="1" applyFont="1" applyFill="1" applyBorder="1" applyAlignment="1">
      <alignment horizontal="right" vertical="center"/>
    </xf>
    <xf numFmtId="182" fontId="11" fillId="0" borderId="4" xfId="0" applyNumberFormat="1" applyFont="1" applyBorder="1" applyAlignment="1">
      <alignment horizontal="right" vertical="center"/>
    </xf>
    <xf numFmtId="182" fontId="11" fillId="0" borderId="1" xfId="0" applyNumberFormat="1" applyFont="1" applyBorder="1" applyAlignment="1">
      <alignment horizontal="right" vertical="center"/>
    </xf>
    <xf numFmtId="182" fontId="4" fillId="5" borderId="1" xfId="0" applyNumberFormat="1" applyFont="1" applyFill="1" applyBorder="1" applyAlignment="1">
      <alignment horizontal="right" vertical="center"/>
    </xf>
    <xf numFmtId="182" fontId="15" fillId="4" borderId="1" xfId="0" applyNumberFormat="1" applyFont="1" applyFill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9" fontId="4" fillId="5" borderId="1" xfId="0" applyNumberFormat="1" applyFont="1" applyFill="1" applyBorder="1" applyAlignment="1">
      <alignment horizontal="right" vertical="center"/>
    </xf>
    <xf numFmtId="176" fontId="13" fillId="0" borderId="1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horizontal="left" vertical="center"/>
    </xf>
    <xf numFmtId="176" fontId="11" fillId="0" borderId="4" xfId="0" applyNumberFormat="1" applyFont="1" applyFill="1" applyBorder="1" applyAlignment="1">
      <alignment horizontal="center" vertical="center"/>
    </xf>
    <xf numFmtId="176" fontId="11" fillId="0" borderId="1" xfId="0" applyNumberFormat="1" applyFont="1" applyFill="1" applyBorder="1" applyAlignment="1">
      <alignment horizontal="center" vertical="center"/>
    </xf>
    <xf numFmtId="41" fontId="11" fillId="0" borderId="1" xfId="0" applyNumberFormat="1" applyFont="1" applyFill="1" applyBorder="1" applyAlignment="1">
      <alignment horizontal="center" vertical="center"/>
    </xf>
    <xf numFmtId="0" fontId="19" fillId="0" borderId="0" xfId="0" applyFont="1"/>
    <xf numFmtId="0" fontId="3" fillId="0" borderId="0" xfId="16"/>
    <xf numFmtId="0" fontId="22" fillId="6" borderId="19" xfId="0" applyFont="1" applyFill="1" applyBorder="1" applyAlignment="1">
      <alignment horizontal="center" vertical="center"/>
    </xf>
    <xf numFmtId="180" fontId="22" fillId="6" borderId="20" xfId="0" quotePrefix="1" applyNumberFormat="1" applyFont="1" applyFill="1" applyBorder="1" applyAlignment="1">
      <alignment horizontal="center" vertical="center"/>
    </xf>
    <xf numFmtId="0" fontId="22" fillId="4" borderId="19" xfId="0" applyFont="1" applyFill="1" applyBorder="1" applyAlignment="1">
      <alignment horizontal="center" vertical="center"/>
    </xf>
    <xf numFmtId="0" fontId="22" fillId="0" borderId="0" xfId="0" applyFont="1" applyBorder="1" applyAlignment="1">
      <alignment horizontal="center" vertical="center"/>
    </xf>
    <xf numFmtId="183" fontId="23" fillId="0" borderId="0" xfId="0" applyNumberFormat="1" applyFont="1" applyBorder="1" applyAlignment="1">
      <alignment vertical="center"/>
    </xf>
    <xf numFmtId="0" fontId="3" fillId="0" borderId="0" xfId="16" applyAlignment="1">
      <alignment horizontal="right"/>
    </xf>
    <xf numFmtId="180" fontId="3" fillId="0" borderId="0" xfId="16" applyNumberFormat="1" applyAlignment="1">
      <alignment horizontal="right"/>
    </xf>
    <xf numFmtId="0" fontId="4" fillId="0" borderId="0" xfId="16" applyFont="1" applyAlignment="1">
      <alignment horizontal="right" vertical="center"/>
    </xf>
    <xf numFmtId="180" fontId="4" fillId="0" borderId="0" xfId="16" applyNumberFormat="1" applyFont="1" applyAlignment="1">
      <alignment horizontal="right" vertical="center"/>
    </xf>
    <xf numFmtId="0" fontId="16" fillId="0" borderId="0" xfId="16" applyFont="1" applyAlignment="1">
      <alignment vertical="center"/>
    </xf>
    <xf numFmtId="0" fontId="14" fillId="0" borderId="0" xfId="16" applyFont="1" applyAlignment="1">
      <alignment vertical="center"/>
    </xf>
    <xf numFmtId="0" fontId="24" fillId="0" borderId="0" xfId="17">
      <alignment vertical="center"/>
    </xf>
    <xf numFmtId="0" fontId="24" fillId="0" borderId="0" xfId="17" applyAlignment="1">
      <alignment horizontal="right"/>
    </xf>
    <xf numFmtId="180" fontId="24" fillId="0" borderId="0" xfId="17" applyNumberFormat="1" applyAlignment="1">
      <alignment horizontal="right"/>
    </xf>
    <xf numFmtId="0" fontId="4" fillId="0" borderId="0" xfId="17" applyFont="1" applyAlignment="1">
      <alignment horizontal="right" vertical="center"/>
    </xf>
    <xf numFmtId="180" fontId="4" fillId="0" borderId="0" xfId="17" applyNumberFormat="1" applyFont="1" applyAlignment="1">
      <alignment horizontal="right" vertical="center"/>
    </xf>
    <xf numFmtId="176" fontId="12" fillId="6" borderId="20" xfId="17" quotePrefix="1" applyNumberFormat="1" applyFont="1" applyFill="1" applyBorder="1" applyAlignment="1">
      <alignment horizontal="center" vertical="center"/>
    </xf>
    <xf numFmtId="176" fontId="12" fillId="6" borderId="1" xfId="17" applyNumberFormat="1" applyFont="1" applyFill="1" applyBorder="1" applyAlignment="1">
      <alignment horizontal="center" vertical="center"/>
    </xf>
    <xf numFmtId="9" fontId="12" fillId="6" borderId="1" xfId="17" applyNumberFormat="1" applyFont="1" applyFill="1" applyBorder="1" applyAlignment="1">
      <alignment horizontal="center" vertical="center"/>
    </xf>
    <xf numFmtId="0" fontId="15" fillId="6" borderId="1" xfId="17" applyFont="1" applyFill="1" applyBorder="1" applyAlignment="1">
      <alignment horizontal="center" vertical="center"/>
    </xf>
    <xf numFmtId="0" fontId="22" fillId="4" borderId="1" xfId="17" applyFont="1" applyFill="1" applyBorder="1" applyAlignment="1">
      <alignment horizontal="center" vertical="center"/>
    </xf>
    <xf numFmtId="0" fontId="22" fillId="5" borderId="1" xfId="17" applyFont="1" applyFill="1" applyBorder="1" applyAlignment="1">
      <alignment horizontal="center" vertical="center"/>
    </xf>
    <xf numFmtId="184" fontId="12" fillId="5" borderId="1" xfId="17" quotePrefix="1" applyNumberFormat="1" applyFont="1" applyFill="1" applyBorder="1" applyAlignment="1">
      <alignment horizontal="right" vertical="center"/>
    </xf>
    <xf numFmtId="176" fontId="15" fillId="5" borderId="1" xfId="17" applyNumberFormat="1" applyFont="1" applyFill="1" applyBorder="1" applyAlignment="1">
      <alignment horizontal="right" vertical="center"/>
    </xf>
    <xf numFmtId="0" fontId="22" fillId="5" borderId="4" xfId="17" applyFont="1" applyFill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22" fillId="5" borderId="16" xfId="17" applyFont="1" applyFill="1" applyBorder="1" applyAlignment="1">
      <alignment horizontal="center" vertical="center"/>
    </xf>
    <xf numFmtId="0" fontId="27" fillId="0" borderId="0" xfId="17" applyFont="1">
      <alignment vertical="center"/>
    </xf>
    <xf numFmtId="182" fontId="28" fillId="0" borderId="4" xfId="0" applyNumberFormat="1" applyFont="1" applyFill="1" applyBorder="1" applyAlignment="1">
      <alignment horizontal="right" vertical="center"/>
    </xf>
    <xf numFmtId="182" fontId="28" fillId="0" borderId="3" xfId="0" applyNumberFormat="1" applyFont="1" applyFill="1" applyBorder="1" applyAlignment="1">
      <alignment horizontal="right" vertical="center"/>
    </xf>
    <xf numFmtId="9" fontId="28" fillId="0" borderId="5" xfId="0" quotePrefix="1" applyNumberFormat="1" applyFont="1" applyFill="1" applyBorder="1" applyAlignment="1">
      <alignment horizontal="right" vertical="center"/>
    </xf>
    <xf numFmtId="182" fontId="29" fillId="0" borderId="1" xfId="0" applyNumberFormat="1" applyFont="1" applyFill="1" applyBorder="1" applyAlignment="1">
      <alignment horizontal="right" vertical="center"/>
    </xf>
    <xf numFmtId="9" fontId="29" fillId="0" borderId="7" xfId="0" applyNumberFormat="1" applyFont="1" applyFill="1" applyBorder="1" applyAlignment="1">
      <alignment horizontal="right" vertical="center"/>
    </xf>
    <xf numFmtId="182" fontId="28" fillId="5" borderId="4" xfId="0" applyNumberFormat="1" applyFont="1" applyFill="1" applyBorder="1" applyAlignment="1">
      <alignment horizontal="right" vertical="center"/>
    </xf>
    <xf numFmtId="182" fontId="28" fillId="5" borderId="3" xfId="0" applyNumberFormat="1" applyFont="1" applyFill="1" applyBorder="1" applyAlignment="1">
      <alignment horizontal="right" vertical="center"/>
    </xf>
    <xf numFmtId="9" fontId="28" fillId="5" borderId="5" xfId="0" quotePrefix="1" applyNumberFormat="1" applyFont="1" applyFill="1" applyBorder="1" applyAlignment="1">
      <alignment horizontal="right" vertical="center"/>
    </xf>
    <xf numFmtId="182" fontId="29" fillId="5" borderId="1" xfId="0" applyNumberFormat="1" applyFont="1" applyFill="1" applyBorder="1" applyAlignment="1">
      <alignment horizontal="right" vertical="center"/>
    </xf>
    <xf numFmtId="9" fontId="29" fillId="5" borderId="7" xfId="0" applyNumberFormat="1" applyFont="1" applyFill="1" applyBorder="1" applyAlignment="1">
      <alignment horizontal="right" vertical="center"/>
    </xf>
    <xf numFmtId="176" fontId="30" fillId="0" borderId="4" xfId="0" applyNumberFormat="1" applyFont="1" applyFill="1" applyBorder="1" applyAlignment="1">
      <alignment horizontal="center" vertical="center"/>
    </xf>
    <xf numFmtId="176" fontId="30" fillId="5" borderId="4" xfId="0" applyNumberFormat="1" applyFont="1" applyFill="1" applyBorder="1" applyAlignment="1">
      <alignment horizontal="center" vertical="center"/>
    </xf>
    <xf numFmtId="176" fontId="30" fillId="5" borderId="1" xfId="0" applyNumberFormat="1" applyFont="1" applyFill="1" applyBorder="1" applyAlignment="1">
      <alignment horizontal="center" vertical="center"/>
    </xf>
    <xf numFmtId="176" fontId="28" fillId="5" borderId="1" xfId="0" applyNumberFormat="1" applyFont="1" applyFill="1" applyBorder="1" applyAlignment="1">
      <alignment horizontal="center" vertical="center"/>
    </xf>
    <xf numFmtId="176" fontId="28" fillId="5" borderId="1" xfId="0" applyNumberFormat="1" applyFont="1" applyFill="1" applyBorder="1" applyAlignment="1">
      <alignment horizontal="right" vertical="center"/>
    </xf>
    <xf numFmtId="9" fontId="29" fillId="5" borderId="1" xfId="0" applyNumberFormat="1" applyFont="1" applyFill="1" applyBorder="1" applyAlignment="1">
      <alignment horizontal="right" vertical="center"/>
    </xf>
    <xf numFmtId="176" fontId="29" fillId="5" borderId="1" xfId="0" applyNumberFormat="1" applyFont="1" applyFill="1" applyBorder="1" applyAlignment="1">
      <alignment horizontal="right" vertical="center"/>
    </xf>
    <xf numFmtId="176" fontId="12" fillId="4" borderId="3" xfId="0" applyNumberFormat="1" applyFont="1" applyFill="1" applyBorder="1" applyAlignment="1">
      <alignment horizontal="center" vertical="center" shrinkToFit="1"/>
    </xf>
    <xf numFmtId="176" fontId="12" fillId="4" borderId="3" xfId="0" applyNumberFormat="1" applyFont="1" applyFill="1" applyBorder="1" applyAlignment="1">
      <alignment horizontal="right" vertical="center" shrinkToFit="1"/>
    </xf>
    <xf numFmtId="9" fontId="12" fillId="4" borderId="5" xfId="0" quotePrefix="1" applyNumberFormat="1" applyFont="1" applyFill="1" applyBorder="1" applyAlignment="1">
      <alignment horizontal="right" vertical="center" shrinkToFit="1"/>
    </xf>
    <xf numFmtId="176" fontId="15" fillId="4" borderId="1" xfId="0" applyNumberFormat="1" applyFont="1" applyFill="1" applyBorder="1" applyAlignment="1">
      <alignment horizontal="right" vertical="center" shrinkToFit="1"/>
    </xf>
    <xf numFmtId="185" fontId="12" fillId="4" borderId="1" xfId="17" applyNumberFormat="1" applyFont="1" applyFill="1" applyBorder="1" applyAlignment="1">
      <alignment horizontal="right" vertical="center" shrinkToFit="1"/>
    </xf>
    <xf numFmtId="184" fontId="12" fillId="4" borderId="1" xfId="17" quotePrefix="1" applyNumberFormat="1" applyFont="1" applyFill="1" applyBorder="1" applyAlignment="1">
      <alignment horizontal="right" vertical="center" shrinkToFit="1"/>
    </xf>
    <xf numFmtId="176" fontId="15" fillId="4" borderId="1" xfId="17" applyNumberFormat="1" applyFont="1" applyFill="1" applyBorder="1" applyAlignment="1">
      <alignment horizontal="right" vertical="center" shrinkToFit="1"/>
    </xf>
    <xf numFmtId="185" fontId="12" fillId="5" borderId="1" xfId="17" applyNumberFormat="1" applyFont="1" applyFill="1" applyBorder="1" applyAlignment="1">
      <alignment horizontal="right" vertical="center" shrinkToFit="1"/>
    </xf>
    <xf numFmtId="184" fontId="12" fillId="5" borderId="1" xfId="17" quotePrefix="1" applyNumberFormat="1" applyFont="1" applyFill="1" applyBorder="1" applyAlignment="1">
      <alignment horizontal="right" vertical="center" shrinkToFit="1"/>
    </xf>
    <xf numFmtId="176" fontId="15" fillId="5" borderId="1" xfId="17" applyNumberFormat="1" applyFont="1" applyFill="1" applyBorder="1" applyAlignment="1">
      <alignment horizontal="right" vertical="center" shrinkToFit="1"/>
    </xf>
    <xf numFmtId="184" fontId="12" fillId="5" borderId="4" xfId="17" quotePrefix="1" applyNumberFormat="1" applyFont="1" applyFill="1" applyBorder="1" applyAlignment="1">
      <alignment horizontal="right" vertical="center" shrinkToFit="1"/>
    </xf>
    <xf numFmtId="176" fontId="15" fillId="5" borderId="4" xfId="17" applyNumberFormat="1" applyFont="1" applyFill="1" applyBorder="1" applyAlignment="1">
      <alignment horizontal="right" vertical="center" shrinkToFit="1"/>
    </xf>
    <xf numFmtId="184" fontId="12" fillId="5" borderId="16" xfId="17" quotePrefix="1" applyNumberFormat="1" applyFont="1" applyFill="1" applyBorder="1" applyAlignment="1">
      <alignment horizontal="right" vertical="center" shrinkToFit="1"/>
    </xf>
    <xf numFmtId="176" fontId="15" fillId="5" borderId="16" xfId="17" applyNumberFormat="1" applyFont="1" applyFill="1" applyBorder="1" applyAlignment="1">
      <alignment horizontal="right" vertical="center" shrinkToFit="1"/>
    </xf>
    <xf numFmtId="183" fontId="22" fillId="4" borderId="1" xfId="17" applyNumberFormat="1" applyFont="1" applyFill="1" applyBorder="1" applyAlignment="1">
      <alignment vertical="center" shrinkToFit="1"/>
    </xf>
    <xf numFmtId="183" fontId="23" fillId="0" borderId="1" xfId="17" applyNumberFormat="1" applyFont="1" applyBorder="1" applyAlignment="1">
      <alignment vertical="center" shrinkToFit="1"/>
    </xf>
    <xf numFmtId="183" fontId="23" fillId="0" borderId="16" xfId="17" applyNumberFormat="1" applyFont="1" applyBorder="1" applyAlignment="1">
      <alignment vertical="center" shrinkToFit="1"/>
    </xf>
    <xf numFmtId="180" fontId="12" fillId="6" borderId="25" xfId="17" applyNumberFormat="1" applyFont="1" applyFill="1" applyBorder="1" applyAlignment="1">
      <alignment horizontal="center" vertical="center"/>
    </xf>
    <xf numFmtId="184" fontId="12" fillId="4" borderId="25" xfId="17" quotePrefix="1" applyNumberFormat="1" applyFont="1" applyFill="1" applyBorder="1" applyAlignment="1">
      <alignment horizontal="right" vertical="center" shrinkToFit="1"/>
    </xf>
    <xf numFmtId="184" fontId="12" fillId="5" borderId="25" xfId="17" quotePrefix="1" applyNumberFormat="1" applyFont="1" applyFill="1" applyBorder="1" applyAlignment="1">
      <alignment horizontal="right" vertical="center" shrinkToFit="1"/>
    </xf>
    <xf numFmtId="184" fontId="12" fillId="5" borderId="25" xfId="17" quotePrefix="1" applyNumberFormat="1" applyFont="1" applyFill="1" applyBorder="1" applyAlignment="1">
      <alignment horizontal="right" vertical="center"/>
    </xf>
    <xf numFmtId="184" fontId="12" fillId="5" borderId="26" xfId="17" quotePrefix="1" applyNumberFormat="1" applyFont="1" applyFill="1" applyBorder="1" applyAlignment="1">
      <alignment horizontal="right" vertical="center" shrinkToFit="1"/>
    </xf>
    <xf numFmtId="184" fontId="12" fillId="5" borderId="27" xfId="17" quotePrefix="1" applyNumberFormat="1" applyFont="1" applyFill="1" applyBorder="1" applyAlignment="1">
      <alignment horizontal="right" vertical="center" shrinkToFit="1"/>
    </xf>
    <xf numFmtId="0" fontId="16" fillId="0" borderId="0" xfId="16" applyFont="1" applyAlignment="1">
      <alignment horizontal="left" vertical="center"/>
    </xf>
    <xf numFmtId="0" fontId="16" fillId="0" borderId="0" xfId="0" applyFont="1" applyAlignment="1">
      <alignment horizontal="left" vertical="top"/>
    </xf>
    <xf numFmtId="183" fontId="23" fillId="0" borderId="4" xfId="17" applyNumberFormat="1" applyFont="1" applyBorder="1" applyAlignment="1">
      <alignment vertical="center" shrinkToFit="1"/>
    </xf>
    <xf numFmtId="185" fontId="12" fillId="5" borderId="4" xfId="17" applyNumberFormat="1" applyFont="1" applyFill="1" applyBorder="1" applyAlignment="1">
      <alignment horizontal="right" vertical="center" shrinkToFit="1"/>
    </xf>
    <xf numFmtId="0" fontId="22" fillId="5" borderId="28" xfId="17" applyFont="1" applyFill="1" applyBorder="1" applyAlignment="1">
      <alignment horizontal="center" vertical="center"/>
    </xf>
    <xf numFmtId="183" fontId="23" fillId="0" borderId="28" xfId="17" applyNumberFormat="1" applyFont="1" applyBorder="1" applyAlignment="1">
      <alignment vertical="center" shrinkToFit="1"/>
    </xf>
    <xf numFmtId="185" fontId="12" fillId="5" borderId="28" xfId="17" applyNumberFormat="1" applyFont="1" applyFill="1" applyBorder="1" applyAlignment="1">
      <alignment horizontal="right" vertical="center" shrinkToFit="1"/>
    </xf>
    <xf numFmtId="176" fontId="15" fillId="5" borderId="28" xfId="17" applyNumberFormat="1" applyFont="1" applyFill="1" applyBorder="1" applyAlignment="1">
      <alignment horizontal="right" vertical="center" shrinkToFit="1"/>
    </xf>
    <xf numFmtId="0" fontId="0" fillId="0" borderId="0" xfId="16" applyFont="1"/>
    <xf numFmtId="184" fontId="12" fillId="5" borderId="1" xfId="17" applyNumberFormat="1" applyFont="1" applyFill="1" applyBorder="1" applyAlignment="1">
      <alignment horizontal="right" vertical="center" shrinkToFit="1"/>
    </xf>
    <xf numFmtId="184" fontId="12" fillId="5" borderId="28" xfId="17" applyNumberFormat="1" applyFont="1" applyFill="1" applyBorder="1" applyAlignment="1">
      <alignment horizontal="right" vertical="center" shrinkToFit="1"/>
    </xf>
    <xf numFmtId="184" fontId="12" fillId="5" borderId="25" xfId="17" applyNumberFormat="1" applyFont="1" applyFill="1" applyBorder="1" applyAlignment="1">
      <alignment horizontal="right" vertical="center" shrinkToFit="1"/>
    </xf>
    <xf numFmtId="184" fontId="12" fillId="5" borderId="29" xfId="17" applyNumberFormat="1" applyFont="1" applyFill="1" applyBorder="1" applyAlignment="1">
      <alignment horizontal="right" vertical="center" shrinkToFit="1"/>
    </xf>
    <xf numFmtId="184" fontId="12" fillId="5" borderId="4" xfId="17" applyNumberFormat="1" applyFont="1" applyFill="1" applyBorder="1" applyAlignment="1">
      <alignment horizontal="right" vertical="center" shrinkToFit="1"/>
    </xf>
    <xf numFmtId="0" fontId="0" fillId="0" borderId="0" xfId="0" applyFont="1"/>
    <xf numFmtId="181" fontId="12" fillId="4" borderId="12" xfId="0" applyNumberFormat="1" applyFont="1" applyFill="1" applyBorder="1" applyAlignment="1">
      <alignment horizontal="right" vertical="center"/>
    </xf>
    <xf numFmtId="176" fontId="12" fillId="4" borderId="24" xfId="0" applyNumberFormat="1" applyFont="1" applyFill="1" applyBorder="1" applyAlignment="1">
      <alignment horizontal="right" vertical="center" shrinkToFit="1"/>
    </xf>
    <xf numFmtId="9" fontId="12" fillId="4" borderId="13" xfId="0" quotePrefix="1" applyNumberFormat="1" applyFont="1" applyFill="1" applyBorder="1" applyAlignment="1">
      <alignment horizontal="right" vertical="center"/>
    </xf>
    <xf numFmtId="176" fontId="15" fillId="4" borderId="12" xfId="0" applyNumberFormat="1" applyFont="1" applyFill="1" applyBorder="1" applyAlignment="1">
      <alignment horizontal="right" vertical="center"/>
    </xf>
    <xf numFmtId="9" fontId="15" fillId="4" borderId="14" xfId="0" applyNumberFormat="1" applyFont="1" applyFill="1" applyBorder="1" applyAlignment="1">
      <alignment horizontal="right" vertical="center"/>
    </xf>
    <xf numFmtId="183" fontId="23" fillId="0" borderId="1" xfId="17" applyNumberFormat="1" applyFont="1" applyFill="1" applyBorder="1" applyAlignment="1">
      <alignment vertical="center" shrinkToFit="1"/>
    </xf>
    <xf numFmtId="0" fontId="22" fillId="0" borderId="1" xfId="17" applyFont="1" applyFill="1" applyBorder="1" applyAlignment="1">
      <alignment horizontal="center" vertical="center"/>
    </xf>
    <xf numFmtId="185" fontId="12" fillId="0" borderId="1" xfId="17" applyNumberFormat="1" applyFont="1" applyFill="1" applyBorder="1" applyAlignment="1">
      <alignment horizontal="right" vertical="center" shrinkToFit="1"/>
    </xf>
    <xf numFmtId="184" fontId="12" fillId="0" borderId="1" xfId="17" applyNumberFormat="1" applyFont="1" applyFill="1" applyBorder="1" applyAlignment="1">
      <alignment horizontal="right" vertical="center" shrinkToFit="1"/>
    </xf>
    <xf numFmtId="176" fontId="15" fillId="0" borderId="1" xfId="17" applyNumberFormat="1" applyFont="1" applyFill="1" applyBorder="1" applyAlignment="1">
      <alignment horizontal="right" vertical="center" shrinkToFit="1"/>
    </xf>
    <xf numFmtId="184" fontId="12" fillId="0" borderId="25" xfId="17" quotePrefix="1" applyNumberFormat="1" applyFont="1" applyFill="1" applyBorder="1" applyAlignment="1">
      <alignment horizontal="right" vertical="center" shrinkToFit="1"/>
    </xf>
    <xf numFmtId="0" fontId="22" fillId="0" borderId="4" xfId="17" applyFont="1" applyFill="1" applyBorder="1" applyAlignment="1">
      <alignment horizontal="center" vertical="center"/>
    </xf>
    <xf numFmtId="184" fontId="12" fillId="0" borderId="4" xfId="17" applyNumberFormat="1" applyFont="1" applyFill="1" applyBorder="1" applyAlignment="1">
      <alignment horizontal="right" vertical="center" shrinkToFit="1"/>
    </xf>
    <xf numFmtId="176" fontId="15" fillId="0" borderId="4" xfId="17" applyNumberFormat="1" applyFont="1" applyFill="1" applyBorder="1" applyAlignment="1">
      <alignment horizontal="right" vertical="center" shrinkToFit="1"/>
    </xf>
    <xf numFmtId="184" fontId="12" fillId="0" borderId="26" xfId="17" quotePrefix="1" applyNumberFormat="1" applyFont="1" applyFill="1" applyBorder="1" applyAlignment="1">
      <alignment horizontal="right" vertical="center" shrinkToFit="1"/>
    </xf>
    <xf numFmtId="41" fontId="23" fillId="0" borderId="1" xfId="17" applyNumberFormat="1" applyFont="1" applyFill="1" applyBorder="1" applyAlignment="1">
      <alignment vertical="center" shrinkToFit="1"/>
    </xf>
    <xf numFmtId="41" fontId="23" fillId="0" borderId="1" xfId="17" applyNumberFormat="1" applyFont="1" applyBorder="1" applyAlignment="1">
      <alignment vertical="center" shrinkToFit="1"/>
    </xf>
    <xf numFmtId="41" fontId="11" fillId="0" borderId="1" xfId="0" applyNumberFormat="1" applyFont="1" applyBorder="1" applyAlignment="1">
      <alignment horizontal="right" vertical="center"/>
    </xf>
    <xf numFmtId="180" fontId="0" fillId="0" borderId="18" xfId="0" applyNumberFormat="1" applyBorder="1" applyAlignment="1">
      <alignment horizontal="center"/>
    </xf>
    <xf numFmtId="176" fontId="12" fillId="6" borderId="8" xfId="0" applyNumberFormat="1" applyFont="1" applyFill="1" applyBorder="1" applyAlignment="1">
      <alignment horizontal="left" vertical="center"/>
    </xf>
    <xf numFmtId="176" fontId="34" fillId="6" borderId="5" xfId="0" applyNumberFormat="1" applyFont="1" applyFill="1" applyBorder="1" applyAlignment="1">
      <alignment horizontal="center" vertical="center"/>
    </xf>
    <xf numFmtId="41" fontId="28" fillId="0" borderId="3" xfId="0" applyNumberFormat="1" applyFont="1" applyFill="1" applyBorder="1" applyAlignment="1">
      <alignment horizontal="right" vertical="center"/>
    </xf>
    <xf numFmtId="176" fontId="12" fillId="6" borderId="17" xfId="0" applyNumberFormat="1" applyFont="1" applyFill="1" applyBorder="1" applyAlignment="1">
      <alignment horizontal="center" vertical="center"/>
    </xf>
    <xf numFmtId="176" fontId="34" fillId="6" borderId="1" xfId="17" applyNumberFormat="1" applyFont="1" applyFill="1" applyBorder="1" applyAlignment="1">
      <alignment horizontal="center" vertical="center"/>
    </xf>
    <xf numFmtId="186" fontId="22" fillId="6" borderId="21" xfId="0" applyNumberFormat="1" applyFont="1" applyFill="1" applyBorder="1" applyAlignment="1">
      <alignment horizontal="center" vertical="center"/>
    </xf>
    <xf numFmtId="187" fontId="22" fillId="6" borderId="21" xfId="0" quotePrefix="1" applyNumberFormat="1" applyFont="1" applyFill="1" applyBorder="1" applyAlignment="1">
      <alignment horizontal="center" vertical="center"/>
    </xf>
    <xf numFmtId="183" fontId="23" fillId="0" borderId="12" xfId="0" applyNumberFormat="1" applyFont="1" applyBorder="1" applyAlignment="1">
      <alignment horizontal="right" vertical="center"/>
    </xf>
    <xf numFmtId="183" fontId="31" fillId="0" borderId="23" xfId="0" applyNumberFormat="1" applyFont="1" applyBorder="1" applyAlignment="1">
      <alignment horizontal="right" vertical="center"/>
    </xf>
    <xf numFmtId="176" fontId="31" fillId="0" borderId="23" xfId="15" applyFont="1" applyBorder="1" applyAlignment="1">
      <alignment horizontal="right" vertical="center" shrinkToFit="1"/>
    </xf>
    <xf numFmtId="183" fontId="23" fillId="0" borderId="12" xfId="0" applyNumberFormat="1" applyFont="1" applyBorder="1" applyAlignment="1">
      <alignment horizontal="right" vertical="center" shrinkToFit="1"/>
    </xf>
    <xf numFmtId="183" fontId="31" fillId="0" borderId="23" xfId="0" applyNumberFormat="1" applyFont="1" applyBorder="1" applyAlignment="1">
      <alignment horizontal="right" vertical="center" shrinkToFit="1"/>
    </xf>
    <xf numFmtId="176" fontId="33" fillId="0" borderId="23" xfId="15" applyFont="1" applyBorder="1" applyAlignment="1">
      <alignment horizontal="right" vertical="center" shrinkToFit="1"/>
    </xf>
    <xf numFmtId="176" fontId="11" fillId="0" borderId="1" xfId="0" applyNumberFormat="1" applyFont="1" applyBorder="1" applyAlignment="1">
      <alignment horizontal="center" vertical="center"/>
    </xf>
    <xf numFmtId="176" fontId="11" fillId="5" borderId="5" xfId="0" applyNumberFormat="1" applyFont="1" applyFill="1" applyBorder="1" applyAlignment="1">
      <alignment horizontal="center" vertical="center"/>
    </xf>
    <xf numFmtId="176" fontId="11" fillId="5" borderId="3" xfId="0" applyNumberFormat="1" applyFont="1" applyFill="1" applyBorder="1" applyAlignment="1">
      <alignment horizontal="center" vertical="center"/>
    </xf>
    <xf numFmtId="176" fontId="11" fillId="0" borderId="5" xfId="0" applyNumberFormat="1" applyFont="1" applyFill="1" applyBorder="1" applyAlignment="1">
      <alignment horizontal="center" vertical="center"/>
    </xf>
    <xf numFmtId="176" fontId="11" fillId="0" borderId="3" xfId="0" applyNumberFormat="1" applyFont="1" applyFill="1" applyBorder="1" applyAlignment="1">
      <alignment horizontal="center" vertical="center"/>
    </xf>
    <xf numFmtId="176" fontId="12" fillId="0" borderId="0" xfId="0" applyNumberFormat="1" applyFont="1" applyBorder="1" applyAlignment="1">
      <alignment horizontal="right" vertical="center"/>
    </xf>
    <xf numFmtId="0" fontId="2" fillId="0" borderId="0" xfId="0" applyFont="1" applyBorder="1" applyAlignment="1">
      <alignment horizontal="right" vertical="center"/>
    </xf>
    <xf numFmtId="176" fontId="11" fillId="5" borderId="4" xfId="0" applyNumberFormat="1" applyFont="1" applyFill="1" applyBorder="1" applyAlignment="1">
      <alignment horizontal="center" vertical="center"/>
    </xf>
    <xf numFmtId="176" fontId="11" fillId="5" borderId="30" xfId="0" applyNumberFormat="1" applyFont="1" applyFill="1" applyBorder="1" applyAlignment="1">
      <alignment horizontal="center" vertical="center"/>
    </xf>
    <xf numFmtId="176" fontId="11" fillId="5" borderId="16" xfId="0" applyNumberFormat="1" applyFont="1" applyFill="1" applyBorder="1" applyAlignment="1">
      <alignment horizontal="center" vertical="center"/>
    </xf>
    <xf numFmtId="176" fontId="12" fillId="6" borderId="9" xfId="0" applyNumberFormat="1" applyFont="1" applyFill="1" applyBorder="1" applyAlignment="1">
      <alignment horizontal="center" vertical="center"/>
    </xf>
    <xf numFmtId="176" fontId="12" fillId="6" borderId="8" xfId="0" applyNumberFormat="1" applyFont="1" applyFill="1" applyBorder="1" applyAlignment="1">
      <alignment horizontal="center" vertical="center"/>
    </xf>
    <xf numFmtId="176" fontId="12" fillId="6" borderId="11" xfId="0" applyNumberFormat="1" applyFont="1" applyFill="1" applyBorder="1" applyAlignment="1">
      <alignment horizontal="center" vertical="center"/>
    </xf>
    <xf numFmtId="176" fontId="12" fillId="4" borderId="5" xfId="0" applyNumberFormat="1" applyFont="1" applyFill="1" applyBorder="1" applyAlignment="1">
      <alignment horizontal="center" vertical="center"/>
    </xf>
    <xf numFmtId="176" fontId="12" fillId="4" borderId="3" xfId="0" applyNumberFormat="1" applyFont="1" applyFill="1" applyBorder="1" applyAlignment="1">
      <alignment horizontal="center" vertical="center"/>
    </xf>
    <xf numFmtId="9" fontId="12" fillId="5" borderId="6" xfId="0" applyNumberFormat="1" applyFont="1" applyFill="1" applyBorder="1" applyAlignment="1">
      <alignment horizontal="right"/>
    </xf>
    <xf numFmtId="9" fontId="12" fillId="5" borderId="6" xfId="0" quotePrefix="1" applyNumberFormat="1" applyFont="1" applyFill="1" applyBorder="1" applyAlignment="1">
      <alignment horizontal="right"/>
    </xf>
    <xf numFmtId="9" fontId="12" fillId="5" borderId="31" xfId="0" quotePrefix="1" applyNumberFormat="1" applyFont="1" applyFill="1" applyBorder="1" applyAlignment="1">
      <alignment horizontal="right"/>
    </xf>
    <xf numFmtId="176" fontId="11" fillId="2" borderId="4" xfId="0" applyNumberFormat="1" applyFont="1" applyFill="1" applyBorder="1" applyAlignment="1">
      <alignment horizontal="center" vertical="center"/>
    </xf>
    <xf numFmtId="176" fontId="11" fillId="2" borderId="30" xfId="0" applyNumberFormat="1" applyFont="1" applyFill="1" applyBorder="1" applyAlignment="1">
      <alignment horizontal="center" vertical="center"/>
    </xf>
    <xf numFmtId="176" fontId="11" fillId="2" borderId="16" xfId="0" applyNumberFormat="1" applyFont="1" applyFill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176" fontId="12" fillId="6" borderId="32" xfId="0" applyNumberFormat="1" applyFont="1" applyFill="1" applyBorder="1" applyAlignment="1">
      <alignment horizontal="center" vertical="center"/>
    </xf>
    <xf numFmtId="176" fontId="12" fillId="6" borderId="15" xfId="0" applyNumberFormat="1" applyFont="1" applyFill="1" applyBorder="1" applyAlignment="1">
      <alignment horizontal="center" vertical="center"/>
    </xf>
    <xf numFmtId="176" fontId="12" fillId="6" borderId="21" xfId="0" applyNumberFormat="1" applyFont="1" applyFill="1" applyBorder="1" applyAlignment="1">
      <alignment horizontal="center" vertical="center"/>
    </xf>
    <xf numFmtId="176" fontId="12" fillId="6" borderId="33" xfId="0" applyNumberFormat="1" applyFont="1" applyFill="1" applyBorder="1" applyAlignment="1">
      <alignment horizontal="center" vertical="center"/>
    </xf>
    <xf numFmtId="0" fontId="0" fillId="0" borderId="2" xfId="0" applyBorder="1"/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0" fillId="0" borderId="37" xfId="0" applyBorder="1"/>
    <xf numFmtId="176" fontId="10" fillId="0" borderId="0" xfId="0" applyNumberFormat="1" applyFont="1" applyAlignment="1">
      <alignment horizontal="center" wrapText="1"/>
    </xf>
    <xf numFmtId="176" fontId="10" fillId="0" borderId="0" xfId="0" applyNumberFormat="1" applyFont="1" applyAlignment="1">
      <alignment horizontal="center"/>
    </xf>
    <xf numFmtId="176" fontId="10" fillId="0" borderId="0" xfId="0" applyNumberFormat="1" applyFont="1" applyAlignment="1">
      <alignment horizontal="center" vertical="top" wrapText="1"/>
    </xf>
    <xf numFmtId="0" fontId="17" fillId="0" borderId="0" xfId="0" applyFont="1" applyBorder="1" applyAlignment="1">
      <alignment horizontal="left" vertical="center" wrapText="1"/>
    </xf>
    <xf numFmtId="0" fontId="18" fillId="0" borderId="0" xfId="0" applyFont="1" applyBorder="1" applyAlignment="1">
      <alignment horizontal="left" vertical="center"/>
    </xf>
    <xf numFmtId="176" fontId="11" fillId="2" borderId="1" xfId="0" applyNumberFormat="1" applyFont="1" applyFill="1" applyBorder="1" applyAlignment="1">
      <alignment horizontal="center" vertical="center"/>
    </xf>
    <xf numFmtId="176" fontId="12" fillId="6" borderId="38" xfId="0" applyNumberFormat="1" applyFont="1" applyFill="1" applyBorder="1" applyAlignment="1">
      <alignment horizontal="center" vertical="center"/>
    </xf>
    <xf numFmtId="176" fontId="12" fillId="6" borderId="39" xfId="0" applyNumberFormat="1" applyFont="1" applyFill="1" applyBorder="1" applyAlignment="1">
      <alignment horizontal="center" vertical="center"/>
    </xf>
    <xf numFmtId="176" fontId="12" fillId="6" borderId="24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16" fillId="0" borderId="0" xfId="0" applyFont="1" applyAlignment="1">
      <alignment horizontal="left" vertical="top"/>
    </xf>
    <xf numFmtId="0" fontId="14" fillId="0" borderId="0" xfId="0" applyFont="1" applyAlignment="1">
      <alignment horizontal="left" vertical="center"/>
    </xf>
    <xf numFmtId="180" fontId="0" fillId="0" borderId="18" xfId="0" applyNumberFormat="1" applyBorder="1" applyAlignment="1">
      <alignment horizontal="center"/>
    </xf>
    <xf numFmtId="180" fontId="0" fillId="0" borderId="40" xfId="0" applyNumberFormat="1" applyBorder="1" applyAlignment="1">
      <alignment horizontal="center"/>
    </xf>
    <xf numFmtId="176" fontId="12" fillId="6" borderId="20" xfId="17" applyNumberFormat="1" applyFont="1" applyFill="1" applyBorder="1" applyAlignment="1">
      <alignment horizontal="center" vertical="center"/>
    </xf>
    <xf numFmtId="176" fontId="12" fillId="6" borderId="41" xfId="17" applyNumberFormat="1" applyFont="1" applyFill="1" applyBorder="1" applyAlignment="1">
      <alignment horizontal="center" vertical="center"/>
    </xf>
    <xf numFmtId="0" fontId="22" fillId="4" borderId="42" xfId="17" applyFont="1" applyFill="1" applyBorder="1" applyAlignment="1">
      <alignment horizontal="center" vertical="center"/>
    </xf>
    <xf numFmtId="0" fontId="22" fillId="4" borderId="1" xfId="17" applyFont="1" applyFill="1" applyBorder="1" applyAlignment="1">
      <alignment horizontal="center" vertical="center"/>
    </xf>
    <xf numFmtId="0" fontId="23" fillId="0" borderId="42" xfId="17" applyFont="1" applyBorder="1" applyAlignment="1">
      <alignment horizontal="center" vertical="center"/>
    </xf>
    <xf numFmtId="0" fontId="23" fillId="0" borderId="1" xfId="17" applyFont="1" applyBorder="1" applyAlignment="1">
      <alignment horizontal="center" vertical="center"/>
    </xf>
    <xf numFmtId="176" fontId="12" fillId="6" borderId="19" xfId="17" applyNumberFormat="1" applyFont="1" applyFill="1" applyBorder="1" applyAlignment="1">
      <alignment horizontal="center" vertical="center"/>
    </xf>
    <xf numFmtId="0" fontId="24" fillId="6" borderId="20" xfId="17" applyFill="1" applyBorder="1">
      <alignment vertical="center"/>
    </xf>
    <xf numFmtId="0" fontId="24" fillId="6" borderId="42" xfId="17" applyFill="1" applyBorder="1">
      <alignment vertical="center"/>
    </xf>
    <xf numFmtId="0" fontId="24" fillId="6" borderId="1" xfId="17" applyFill="1" applyBorder="1">
      <alignment vertical="center"/>
    </xf>
    <xf numFmtId="0" fontId="25" fillId="6" borderId="20" xfId="17" applyFont="1" applyFill="1" applyBorder="1" applyAlignment="1">
      <alignment horizontal="center" vertical="center"/>
    </xf>
    <xf numFmtId="0" fontId="25" fillId="6" borderId="1" xfId="17" applyFont="1" applyFill="1" applyBorder="1" applyAlignment="1">
      <alignment horizontal="center" vertical="center"/>
    </xf>
    <xf numFmtId="0" fontId="23" fillId="0" borderId="45" xfId="17" applyFont="1" applyBorder="1" applyAlignment="1">
      <alignment horizontal="center" vertical="center"/>
    </xf>
    <xf numFmtId="0" fontId="23" fillId="0" borderId="46" xfId="17" applyFont="1" applyBorder="1" applyAlignment="1">
      <alignment horizontal="center" vertical="center"/>
    </xf>
    <xf numFmtId="0" fontId="23" fillId="0" borderId="47" xfId="17" applyFont="1" applyBorder="1" applyAlignment="1">
      <alignment horizontal="center" vertical="center"/>
    </xf>
    <xf numFmtId="0" fontId="23" fillId="0" borderId="35" xfId="17" applyFont="1" applyBorder="1" applyAlignment="1">
      <alignment horizontal="center" vertical="center"/>
    </xf>
    <xf numFmtId="0" fontId="23" fillId="0" borderId="36" xfId="17" applyFont="1" applyBorder="1" applyAlignment="1">
      <alignment horizontal="center" vertical="center"/>
    </xf>
    <xf numFmtId="0" fontId="23" fillId="0" borderId="37" xfId="17" applyFont="1" applyBorder="1" applyAlignment="1">
      <alignment horizontal="center" vertical="center"/>
    </xf>
    <xf numFmtId="0" fontId="23" fillId="0" borderId="44" xfId="17" applyFont="1" applyBorder="1" applyAlignment="1">
      <alignment horizontal="center" vertical="center"/>
    </xf>
    <xf numFmtId="0" fontId="23" fillId="0" borderId="28" xfId="17" applyFont="1" applyBorder="1" applyAlignment="1">
      <alignment horizontal="center" vertical="center"/>
    </xf>
    <xf numFmtId="0" fontId="23" fillId="0" borderId="42" xfId="17" applyFont="1" applyFill="1" applyBorder="1" applyAlignment="1">
      <alignment horizontal="center" vertical="center"/>
    </xf>
    <xf numFmtId="0" fontId="23" fillId="0" borderId="1" xfId="17" applyFont="1" applyFill="1" applyBorder="1" applyAlignment="1">
      <alignment horizontal="center" vertical="center"/>
    </xf>
    <xf numFmtId="0" fontId="23" fillId="0" borderId="9" xfId="17" applyFont="1" applyFill="1" applyBorder="1" applyAlignment="1">
      <alignment horizontal="center" vertical="center"/>
    </xf>
    <xf numFmtId="0" fontId="23" fillId="0" borderId="4" xfId="17" applyFont="1" applyFill="1" applyBorder="1" applyAlignment="1">
      <alignment horizontal="center" vertical="center"/>
    </xf>
    <xf numFmtId="0" fontId="23" fillId="0" borderId="9" xfId="17" applyFont="1" applyBorder="1" applyAlignment="1">
      <alignment horizontal="center" vertical="center"/>
    </xf>
    <xf numFmtId="0" fontId="23" fillId="0" borderId="4" xfId="17" applyFont="1" applyBorder="1" applyAlignment="1">
      <alignment horizontal="center" vertical="center"/>
    </xf>
    <xf numFmtId="176" fontId="12" fillId="6" borderId="43" xfId="0" applyNumberFormat="1" applyFont="1" applyFill="1" applyBorder="1" applyAlignment="1">
      <alignment horizontal="center" vertical="center"/>
    </xf>
    <xf numFmtId="176" fontId="12" fillId="6" borderId="20" xfId="0" applyNumberFormat="1" applyFont="1" applyFill="1" applyBorder="1" applyAlignment="1">
      <alignment horizontal="center" vertical="center"/>
    </xf>
    <xf numFmtId="176" fontId="12" fillId="6" borderId="32" xfId="17" applyNumberFormat="1" applyFont="1" applyFill="1" applyBorder="1" applyAlignment="1">
      <alignment horizontal="center" vertical="center"/>
    </xf>
    <xf numFmtId="176" fontId="12" fillId="6" borderId="43" xfId="17" applyNumberFormat="1" applyFont="1" applyFill="1" applyBorder="1" applyAlignment="1">
      <alignment horizontal="center" vertical="center"/>
    </xf>
  </cellXfs>
  <cellStyles count="21">
    <cellStyle name="Comma [0]_5year" xfId="1"/>
    <cellStyle name="Comma_495ALL" xfId="2"/>
    <cellStyle name="Currency [0]_5year" xfId="3"/>
    <cellStyle name="Currency_495ALL" xfId="4"/>
    <cellStyle name="Grey" xfId="5"/>
    <cellStyle name="Input [yellow]" xfId="6"/>
    <cellStyle name="Milliers [0]_AR1194" xfId="7"/>
    <cellStyle name="Milliers_AR1194" xfId="8"/>
    <cellStyle name="Mon?aire [0]_AR1194" xfId="9"/>
    <cellStyle name="Mon?aire_AR1194" xfId="10"/>
    <cellStyle name="Normal - Style1" xfId="11"/>
    <cellStyle name="Normal_495ALL" xfId="12"/>
    <cellStyle name="Percent [2]" xfId="13"/>
    <cellStyle name="PERCENTAGE" xfId="14"/>
    <cellStyle name="쉼표 [0]" xfId="15" builtinId="6"/>
    <cellStyle name="쉼표 [0] 2" xfId="20"/>
    <cellStyle name="표준" xfId="0" builtinId="0"/>
    <cellStyle name="표준 2" xfId="19"/>
    <cellStyle name="표준 3" xfId="18"/>
    <cellStyle name="표준_2008년 03월 평택.당진항 항만운영통계" xfId="16"/>
    <cellStyle name="표준_부두별입출항 실적(03)" xfId="17"/>
  </cellStyles>
  <dxfs count="0"/>
  <tableStyles count="0" defaultTableStyle="TableStyleMedium9" defaultPivotStyle="PivotStyleLight16"/>
  <colors>
    <mruColors>
      <color rgb="FF0000FF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depthPercent val="10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7627357032098168"/>
          <c:y val="9.3996853054965246E-2"/>
          <c:w val="0.73861084244523134"/>
          <c:h val="0.72015056580601577"/>
        </c:manualLayout>
      </c:layout>
      <c:bar3DChart>
        <c:barDir val="col"/>
        <c:grouping val="clustered"/>
        <c:varyColors val="0"/>
        <c:ser>
          <c:idx val="0"/>
          <c:order val="0"/>
          <c:tx>
            <c:v>'20년 1월 누계</c:v>
          </c:tx>
          <c:invertIfNegative val="0"/>
          <c:dLbls>
            <c:dLbl>
              <c:idx val="0"/>
              <c:layout>
                <c:manualLayout>
                  <c:x val="-8.3135074153025748E-3"/>
                  <c:y val="1.543203672652668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val>
            <c:numRef>
              <c:f>통계요약!$G$10</c:f>
              <c:numCache>
                <c:formatCode>#,###,</c:formatCode>
                <c:ptCount val="1"/>
                <c:pt idx="0">
                  <c:v>9863629</c:v>
                </c:pt>
              </c:numCache>
            </c:numRef>
          </c:val>
        </c:ser>
        <c:ser>
          <c:idx val="1"/>
          <c:order val="1"/>
          <c:tx>
            <c:v>'21년 1월 누계</c:v>
          </c:tx>
          <c:invertIfNegative val="0"/>
          <c:dLbls>
            <c:dLbl>
              <c:idx val="0"/>
              <c:layout>
                <c:manualLayout>
                  <c:x val="-2.5580040734075092E-3"/>
                  <c:y val="2.608552793397195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val>
            <c:numRef>
              <c:f>통계요약!$I$10</c:f>
              <c:numCache>
                <c:formatCode>#,###,</c:formatCode>
                <c:ptCount val="1"/>
                <c:pt idx="0">
                  <c:v>9973266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300"/>
        <c:shape val="box"/>
        <c:axId val="201826304"/>
        <c:axId val="201827840"/>
        <c:axId val="0"/>
      </c:bar3DChart>
      <c:catAx>
        <c:axId val="201826304"/>
        <c:scaling>
          <c:orientation val="minMax"/>
        </c:scaling>
        <c:delete val="1"/>
        <c:axPos val="b"/>
        <c:majorTickMark val="out"/>
        <c:minorTickMark val="none"/>
        <c:tickLblPos val="none"/>
        <c:crossAx val="201827840"/>
        <c:crosses val="autoZero"/>
        <c:auto val="1"/>
        <c:lblAlgn val="ctr"/>
        <c:lblOffset val="100"/>
        <c:noMultiLvlLbl val="0"/>
      </c:catAx>
      <c:valAx>
        <c:axId val="201827840"/>
        <c:scaling>
          <c:orientation val="minMax"/>
          <c:max val="50000000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</a:t>
                </a:r>
                <a:r>
                  <a:rPr lang="en-US"/>
                  <a:t>:</a:t>
                </a:r>
                <a:r>
                  <a:rPr lang="ko-KR"/>
                  <a:t>천톤</a:t>
                </a:r>
                <a:r>
                  <a:rPr lang="en-US"/>
                  <a:t>)</a:t>
                </a:r>
              </a:p>
            </c:rich>
          </c:tx>
          <c:layout>
            <c:manualLayout>
              <c:xMode val="edge"/>
              <c:yMode val="edge"/>
              <c:x val="2.8214158194426176E-2"/>
              <c:y val="0.30597029801655806"/>
            </c:manualLayout>
          </c:layout>
          <c:overlay val="0"/>
          <c:spPr>
            <a:noFill/>
            <a:ln w="25400">
              <a:noFill/>
            </a:ln>
          </c:spPr>
        </c:title>
        <c:numFmt formatCode="#,###,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01826304"/>
        <c:crosses val="autoZero"/>
        <c:crossBetween val="between"/>
        <c:majorUnit val="10000000"/>
        <c:minorUnit val="100000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2182258721239797"/>
          <c:y val="0.88806106515163741"/>
          <c:w val="0.52997726119557265"/>
          <c:h val="7.4627064022060582E-2"/>
        </c:manualLayout>
      </c:layout>
      <c:overlay val="0"/>
    </c:legend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 horizontalDpi="120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depthPercent val="10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22892920642984141"/>
          <c:y val="9.0225651323785877E-2"/>
          <c:w val="0.72599614634732068"/>
          <c:h val="0.72556390977441165"/>
        </c:manualLayout>
      </c:layout>
      <c:bar3DChart>
        <c:barDir val="col"/>
        <c:grouping val="clustered"/>
        <c:varyColors val="0"/>
        <c:ser>
          <c:idx val="0"/>
          <c:order val="0"/>
          <c:tx>
            <c:v>'20년 1월 누계</c:v>
          </c:tx>
          <c:invertIfNegative val="0"/>
          <c:dLbls>
            <c:dLbl>
              <c:idx val="0"/>
              <c:layout>
                <c:manualLayout>
                  <c:x val="-1.4925806036843009E-2"/>
                  <c:y val="1.280997770015592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val>
            <c:numRef>
              <c:f>통계요약!$G$20</c:f>
              <c:numCache>
                <c:formatCode>_ * #,##0_ ;_ * \-#,##0_ ;_ * "-"_ ;_ @_ </c:formatCode>
                <c:ptCount val="1"/>
                <c:pt idx="0">
                  <c:v>58037</c:v>
                </c:pt>
              </c:numCache>
            </c:numRef>
          </c:val>
        </c:ser>
        <c:ser>
          <c:idx val="1"/>
          <c:order val="1"/>
          <c:tx>
            <c:v>'21년 1월 누계</c:v>
          </c:tx>
          <c:invertIfNegative val="0"/>
          <c:dLbls>
            <c:dLbl>
              <c:idx val="0"/>
              <c:layout>
                <c:manualLayout>
                  <c:x val="-1.2583962817401264E-2"/>
                  <c:y val="1.721547964399184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val>
            <c:numRef>
              <c:f>통계요약!$I$20</c:f>
              <c:numCache>
                <c:formatCode>_ * #,##0_ ;_ * \-#,##0_ ;_ * "-"_ ;_ @_ </c:formatCode>
                <c:ptCount val="1"/>
                <c:pt idx="0">
                  <c:v>72542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300"/>
        <c:shape val="box"/>
        <c:axId val="201728384"/>
        <c:axId val="201729920"/>
        <c:axId val="0"/>
      </c:bar3DChart>
      <c:catAx>
        <c:axId val="201728384"/>
        <c:scaling>
          <c:orientation val="minMax"/>
        </c:scaling>
        <c:delete val="1"/>
        <c:axPos val="b"/>
        <c:majorTickMark val="out"/>
        <c:minorTickMark val="none"/>
        <c:tickLblPos val="none"/>
        <c:crossAx val="201729920"/>
        <c:crosses val="autoZero"/>
        <c:auto val="1"/>
        <c:lblAlgn val="ctr"/>
        <c:lblOffset val="100"/>
        <c:noMultiLvlLbl val="0"/>
      </c:catAx>
      <c:valAx>
        <c:axId val="201729920"/>
        <c:scaling>
          <c:orientation val="minMax"/>
          <c:max val="400000"/>
          <c:min val="10000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</a:t>
                </a:r>
                <a:r>
                  <a:rPr lang="en-US"/>
                  <a:t>:TEU)</a:t>
                </a:r>
              </a:p>
            </c:rich>
          </c:tx>
          <c:layout>
            <c:manualLayout>
              <c:xMode val="edge"/>
              <c:yMode val="edge"/>
              <c:x val="4.4496430699789202E-2"/>
              <c:y val="0.31578959570116832"/>
            </c:manualLayout>
          </c:layout>
          <c:overlay val="0"/>
          <c:spPr>
            <a:noFill/>
            <a:ln w="25400">
              <a:noFill/>
            </a:ln>
          </c:spPr>
        </c:title>
        <c:numFmt formatCode="_ * #,##0_ ;_ * \-#,##0_ ;_ * &quot;-&quot;_ ;_ @_ 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01728384"/>
        <c:crosses val="autoZero"/>
        <c:crossBetween val="between"/>
        <c:majorUnit val="60000"/>
        <c:minorUnit val="60000"/>
      </c:val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0.26410818212941956"/>
          <c:y val="0.90188893580730956"/>
          <c:w val="0.54176093930287705"/>
          <c:h val="6.4150955893920183E-2"/>
        </c:manualLayout>
      </c:layout>
      <c:overlay val="0"/>
    </c:legend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 horizontalDpi="120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235071642942488"/>
          <c:y val="0.10236220472440972"/>
          <c:w val="0.74951971474536849"/>
          <c:h val="0.62204724409452195"/>
        </c:manualLayout>
      </c:layout>
      <c:lineChart>
        <c:grouping val="standard"/>
        <c:varyColors val="0"/>
        <c:ser>
          <c:idx val="0"/>
          <c:order val="0"/>
          <c:cat>
            <c:numRef>
              <c:f>'연도별 수송실적'!$I$3:$N$3</c:f>
              <c:numCache>
                <c:formatCode>0_);[Red]\(0\)</c:formatCode>
                <c:ptCount val="6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18</c:v>
                </c:pt>
                <c:pt idx="4">
                  <c:v>19</c:v>
                </c:pt>
                <c:pt idx="5" formatCode="0.0_);[Red]\(0.0\)">
                  <c:v>21.1</c:v>
                </c:pt>
              </c:numCache>
            </c:numRef>
          </c:cat>
          <c:val>
            <c:numRef>
              <c:f>'연도별 수송실적'!$I$4:$N$4</c:f>
              <c:numCache>
                <c:formatCode>#,##0_);[Red]\(#,##0\)</c:formatCode>
                <c:ptCount val="6"/>
                <c:pt idx="0">
                  <c:v>102121</c:v>
                </c:pt>
                <c:pt idx="1">
                  <c:v>112948</c:v>
                </c:pt>
                <c:pt idx="2">
                  <c:v>112491</c:v>
                </c:pt>
                <c:pt idx="3">
                  <c:v>115147</c:v>
                </c:pt>
                <c:pt idx="4">
                  <c:v>112966</c:v>
                </c:pt>
                <c:pt idx="5" formatCode="_ * #,##0_ ;_ * \-#,##0_ ;_ * &quot;-&quot;_ ;_ @_ ">
                  <c:v>9973.2659999999996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467648"/>
        <c:axId val="209498496"/>
      </c:lineChart>
      <c:catAx>
        <c:axId val="2094676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화물입출항 실적</a:t>
                </a:r>
              </a:p>
            </c:rich>
          </c:tx>
          <c:layout>
            <c:manualLayout>
              <c:xMode val="edge"/>
              <c:yMode val="edge"/>
              <c:x val="0.48362302134913548"/>
              <c:y val="0.87795296176213256"/>
            </c:manualLayout>
          </c:layout>
          <c:overlay val="0"/>
          <c:spPr>
            <a:noFill/>
            <a:ln w="25400">
              <a:noFill/>
            </a:ln>
          </c:spPr>
        </c:title>
        <c:numFmt formatCode="0_);[Red]\(0\)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0949849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09498496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</a:t>
                </a:r>
                <a:r>
                  <a:rPr lang="en-US"/>
                  <a:t>:</a:t>
                </a:r>
                <a:r>
                  <a:rPr lang="ko-KR"/>
                  <a:t>천톤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 altLang="en-US"/>
                  <a:t>년</a:t>
                </a:r>
                <a:r>
                  <a:rPr lang="ko-KR"/>
                  <a:t>평균증가율 </a:t>
                </a:r>
                <a:r>
                  <a:rPr lang="en-US" altLang="ko-KR"/>
                  <a:t>2.06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4.6242714506047576E-2"/>
              <c:y val="0.7386613143945600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09467648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717834531553121"/>
          <c:y val="0.12566179227596547"/>
          <c:w val="0.68998173328004464"/>
          <c:h val="0.63492309540512892"/>
        </c:manualLayout>
      </c:layout>
      <c:lineChart>
        <c:grouping val="standard"/>
        <c:varyColors val="0"/>
        <c:ser>
          <c:idx val="0"/>
          <c:order val="0"/>
          <c:cat>
            <c:numRef>
              <c:f>'연도별 수송실적'!$B$6:$G$6</c:f>
              <c:numCache>
                <c:formatCode>0_);[Red]\(0\)</c:formatCode>
                <c:ptCount val="6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18</c:v>
                </c:pt>
                <c:pt idx="4">
                  <c:v>19</c:v>
                </c:pt>
                <c:pt idx="5" formatCode="0.0_);[Red]\(0.0\)">
                  <c:v>21.1</c:v>
                </c:pt>
              </c:numCache>
            </c:numRef>
          </c:cat>
          <c:val>
            <c:numRef>
              <c:f>'연도별 수송실적'!$B$7:$G$7</c:f>
              <c:numCache>
                <c:formatCode>#,##0_);[Red]\(#,##0\)</c:formatCode>
                <c:ptCount val="6"/>
                <c:pt idx="0">
                  <c:v>565661</c:v>
                </c:pt>
                <c:pt idx="1">
                  <c:v>623339</c:v>
                </c:pt>
                <c:pt idx="2">
                  <c:v>643233</c:v>
                </c:pt>
                <c:pt idx="3">
                  <c:v>689852</c:v>
                </c:pt>
                <c:pt idx="4">
                  <c:v>723427</c:v>
                </c:pt>
                <c:pt idx="5">
                  <c:v>72542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993728"/>
        <c:axId val="209995648"/>
      </c:lineChart>
      <c:catAx>
        <c:axId val="2099937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컨테이너</a:t>
                </a:r>
              </a:p>
            </c:rich>
          </c:tx>
          <c:layout>
            <c:manualLayout>
              <c:xMode val="edge"/>
              <c:yMode val="edge"/>
              <c:x val="0.55765649739126733"/>
              <c:y val="0.89264550264554843"/>
            </c:manualLayout>
          </c:layout>
          <c:overlay val="0"/>
          <c:spPr>
            <a:noFill/>
            <a:ln w="25400">
              <a:noFill/>
            </a:ln>
          </c:spPr>
        </c:title>
        <c:numFmt formatCode="0_);[Red]\(0\)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0999564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09995648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TEU)</a:t>
                </a:r>
              </a:p>
              <a:p>
                <a:pPr>
                  <a:defRPr/>
                </a:pPr>
                <a:r>
                  <a:rPr lang="ko-KR" altLang="en-US"/>
                  <a:t>년</a:t>
                </a:r>
                <a:r>
                  <a:rPr lang="ko-KR"/>
                  <a:t>평균증가율 </a:t>
                </a:r>
                <a:r>
                  <a:rPr lang="en-US" altLang="ko-KR"/>
                  <a:t>1.7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5.2929962702030674E-2"/>
              <c:y val="0.736587093280006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09993728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5291852820111876"/>
          <c:y val="0.11646632022747329"/>
          <c:w val="0.71011740610315865"/>
          <c:h val="0.62650848122364933"/>
        </c:manualLayout>
      </c:layout>
      <c:lineChart>
        <c:grouping val="standard"/>
        <c:varyColors val="0"/>
        <c:ser>
          <c:idx val="0"/>
          <c:order val="0"/>
          <c:cat>
            <c:numRef>
              <c:f>'연도별 수송실적'!$I$6:$N$6</c:f>
              <c:numCache>
                <c:formatCode>0_);[Red]\(0\)</c:formatCode>
                <c:ptCount val="6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18</c:v>
                </c:pt>
                <c:pt idx="4">
                  <c:v>19</c:v>
                </c:pt>
                <c:pt idx="5" formatCode="0.0_);[Red]\(0.0\)">
                  <c:v>21.1</c:v>
                </c:pt>
              </c:numCache>
            </c:numRef>
          </c:cat>
          <c:val>
            <c:numRef>
              <c:f>'연도별 수송실적'!$I$7:$N$7</c:f>
              <c:numCache>
                <c:formatCode>#,##0_);[Red]\(#,##0\)</c:formatCode>
                <c:ptCount val="6"/>
                <c:pt idx="0">
                  <c:v>494740</c:v>
                </c:pt>
                <c:pt idx="1">
                  <c:v>435104</c:v>
                </c:pt>
                <c:pt idx="2">
                  <c:v>482428</c:v>
                </c:pt>
                <c:pt idx="3">
                  <c:v>452480</c:v>
                </c:pt>
                <c:pt idx="4">
                  <c:v>623733</c:v>
                </c:pt>
                <c:pt idx="5" formatCode="_ * #,##0_ ;_ * \-#,##0_ ;_ * &quot;-&quot;_ ;_ @_ ">
                  <c:v>40267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0020224"/>
        <c:axId val="210022400"/>
      </c:lineChart>
      <c:catAx>
        <c:axId val="2100202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여 객</a:t>
                </a:r>
              </a:p>
            </c:rich>
          </c:tx>
          <c:layout>
            <c:manualLayout>
              <c:xMode val="edge"/>
              <c:yMode val="edge"/>
              <c:x val="0.56809424809424813"/>
              <c:y val="0.88755359580049831"/>
            </c:manualLayout>
          </c:layout>
          <c:overlay val="0"/>
          <c:spPr>
            <a:noFill/>
            <a:ln w="25400">
              <a:noFill/>
            </a:ln>
          </c:spPr>
        </c:title>
        <c:numFmt formatCode="0_);[Red]\(0\)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1002240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10022400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</a:t>
                </a:r>
                <a:r>
                  <a:rPr lang="ko-KR"/>
                  <a:t>명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 altLang="en-US"/>
                  <a:t>년</a:t>
                </a:r>
                <a:r>
                  <a:rPr lang="ko-KR"/>
                  <a:t>평균증가율 </a:t>
                </a:r>
                <a:endParaRPr lang="en-US" altLang="ko-KR"/>
              </a:p>
              <a:p>
                <a:pPr>
                  <a:defRPr/>
                </a:pPr>
                <a:r>
                  <a:rPr lang="en-US" altLang="ko-KR"/>
                  <a:t>-0.07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4.280168721113934E-2"/>
              <c:y val="0.7334135433070865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10020224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1354784780343869"/>
          <c:y val="0.12706733923884511"/>
          <c:w val="0.75236364341221218"/>
          <c:h val="0.63492309540512948"/>
        </c:manualLayout>
      </c:layout>
      <c:lineChart>
        <c:grouping val="standard"/>
        <c:varyColors val="0"/>
        <c:ser>
          <c:idx val="0"/>
          <c:order val="0"/>
          <c:cat>
            <c:numRef>
              <c:f>'연도별 수송실적'!$B$3:$G$3</c:f>
              <c:numCache>
                <c:formatCode>0_);[Red]\(0\)</c:formatCode>
                <c:ptCount val="6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18</c:v>
                </c:pt>
                <c:pt idx="4">
                  <c:v>19</c:v>
                </c:pt>
                <c:pt idx="5" formatCode="0.0_);\(0.0\)">
                  <c:v>21.1</c:v>
                </c:pt>
              </c:numCache>
            </c:numRef>
          </c:cat>
          <c:val>
            <c:numRef>
              <c:f>'연도별 수송실적'!$B$4:$G$4</c:f>
              <c:numCache>
                <c:formatCode>#,##0_);[Red]\(#,##0\)</c:formatCode>
                <c:ptCount val="6"/>
                <c:pt idx="0">
                  <c:v>19166</c:v>
                </c:pt>
                <c:pt idx="1">
                  <c:v>19916</c:v>
                </c:pt>
                <c:pt idx="2">
                  <c:v>19440</c:v>
                </c:pt>
                <c:pt idx="3">
                  <c:v>18829</c:v>
                </c:pt>
                <c:pt idx="4">
                  <c:v>18385</c:v>
                </c:pt>
                <c:pt idx="5">
                  <c:v>1408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0034048"/>
        <c:axId val="209724928"/>
      </c:lineChart>
      <c:catAx>
        <c:axId val="2100340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선박입출항</a:t>
                </a:r>
              </a:p>
            </c:rich>
          </c:tx>
          <c:layout>
            <c:manualLayout>
              <c:xMode val="edge"/>
              <c:yMode val="edge"/>
              <c:x val="0.52362975754791263"/>
              <c:y val="0.87301981369981729"/>
            </c:manualLayout>
          </c:layout>
          <c:overlay val="0"/>
          <c:spPr>
            <a:noFill/>
            <a:ln w="25400">
              <a:noFill/>
            </a:ln>
          </c:spPr>
        </c:title>
        <c:numFmt formatCode="0_);[Red]\(0\)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0972492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09724928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</a:t>
                </a:r>
                <a:r>
                  <a:rPr lang="ko-KR"/>
                  <a:t>척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/>
                  <a:t>평균증가율 </a:t>
                </a:r>
                <a:r>
                  <a:rPr lang="en-US" altLang="ko-KR"/>
                  <a:t>8.6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3.2136123829591752E-2"/>
              <c:y val="0.7386613143945600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10034048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8475578167407974"/>
          <c:y val="0.11144233923884495"/>
          <c:w val="0.75236364341221218"/>
          <c:h val="0.63492309540512981"/>
        </c:manualLayout>
      </c:layout>
      <c:lineChart>
        <c:grouping val="standard"/>
        <c:varyColors val="0"/>
        <c:ser>
          <c:idx val="0"/>
          <c:order val="0"/>
          <c:cat>
            <c:numRef>
              <c:f>'연도별 수송실적'!$B$3:$G$3</c:f>
              <c:numCache>
                <c:formatCode>0_);[Red]\(0\)</c:formatCode>
                <c:ptCount val="6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18</c:v>
                </c:pt>
                <c:pt idx="4">
                  <c:v>19</c:v>
                </c:pt>
                <c:pt idx="5" formatCode="0.0_);\(0.0\)">
                  <c:v>21.1</c:v>
                </c:pt>
              </c:numCache>
            </c:numRef>
          </c:cat>
          <c:val>
            <c:numRef>
              <c:f>'연도별 수송실적'!$B$4:$G$4</c:f>
              <c:numCache>
                <c:formatCode>#,##0_);[Red]\(#,##0\)</c:formatCode>
                <c:ptCount val="6"/>
                <c:pt idx="0">
                  <c:v>19166</c:v>
                </c:pt>
                <c:pt idx="1">
                  <c:v>19916</c:v>
                </c:pt>
                <c:pt idx="2">
                  <c:v>19440</c:v>
                </c:pt>
                <c:pt idx="3">
                  <c:v>18829</c:v>
                </c:pt>
                <c:pt idx="4">
                  <c:v>18385</c:v>
                </c:pt>
                <c:pt idx="5">
                  <c:v>1408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757312"/>
        <c:axId val="209759232"/>
      </c:lineChart>
      <c:catAx>
        <c:axId val="2097573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선박입출항</a:t>
                </a:r>
              </a:p>
            </c:rich>
          </c:tx>
          <c:layout>
            <c:manualLayout>
              <c:xMode val="edge"/>
              <c:yMode val="edge"/>
              <c:x val="0.52362969392605463"/>
              <c:y val="0.87301960301841408"/>
            </c:manualLayout>
          </c:layout>
          <c:overlay val="0"/>
          <c:spPr>
            <a:noFill/>
            <a:ln w="25400">
              <a:noFill/>
            </a:ln>
          </c:spPr>
        </c:title>
        <c:numFmt formatCode="0_);[Red]\(0\)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0975923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09759232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</a:t>
                </a:r>
                <a:r>
                  <a:rPr lang="ko-KR"/>
                  <a:t>척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/>
                  <a:t>평균증가율 </a:t>
                </a:r>
                <a:r>
                  <a:rPr lang="en-US" altLang="ko-KR"/>
                  <a:t>0.45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3.2136110938888546E-2"/>
              <c:y val="0.7407029199475067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09757312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30</xdr:row>
      <xdr:rowOff>261731</xdr:rowOff>
    </xdr:from>
    <xdr:to>
      <xdr:col>7</xdr:col>
      <xdr:colOff>95250</xdr:colOff>
      <xdr:row>39</xdr:row>
      <xdr:rowOff>166481</xdr:rowOff>
    </xdr:to>
    <xdr:graphicFrame macro="">
      <xdr:nvGraphicFramePr>
        <xdr:cNvPr id="6376023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222885</xdr:colOff>
      <xdr:row>30</xdr:row>
      <xdr:rowOff>230505</xdr:rowOff>
    </xdr:from>
    <xdr:to>
      <xdr:col>12</xdr:col>
      <xdr:colOff>489585</xdr:colOff>
      <xdr:row>39</xdr:row>
      <xdr:rowOff>144780</xdr:rowOff>
    </xdr:to>
    <xdr:graphicFrame macro="">
      <xdr:nvGraphicFramePr>
        <xdr:cNvPr id="6376024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276225</xdr:colOff>
      <xdr:row>13</xdr:row>
      <xdr:rowOff>0</xdr:rowOff>
    </xdr:from>
    <xdr:to>
      <xdr:col>13</xdr:col>
      <xdr:colOff>590550</xdr:colOff>
      <xdr:row>20</xdr:row>
      <xdr:rowOff>295275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180975</xdr:colOff>
      <xdr:row>23</xdr:row>
      <xdr:rowOff>0</xdr:rowOff>
    </xdr:from>
    <xdr:to>
      <xdr:col>7</xdr:col>
      <xdr:colOff>66675</xdr:colOff>
      <xdr:row>30</xdr:row>
      <xdr:rowOff>266700</xdr:rowOff>
    </xdr:to>
    <xdr:graphicFrame macro="">
      <xdr:nvGraphicFramePr>
        <xdr:cNvPr id="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342900</xdr:colOff>
      <xdr:row>23</xdr:row>
      <xdr:rowOff>9525</xdr:rowOff>
    </xdr:from>
    <xdr:to>
      <xdr:col>13</xdr:col>
      <xdr:colOff>619125</xdr:colOff>
      <xdr:row>30</xdr:row>
      <xdr:rowOff>257175</xdr:rowOff>
    </xdr:to>
    <xdr:graphicFrame macro="">
      <xdr:nvGraphicFramePr>
        <xdr:cNvPr id="4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161925</xdr:colOff>
      <xdr:row>13</xdr:row>
      <xdr:rowOff>0</xdr:rowOff>
    </xdr:from>
    <xdr:to>
      <xdr:col>7</xdr:col>
      <xdr:colOff>76200</xdr:colOff>
      <xdr:row>20</xdr:row>
      <xdr:rowOff>295275</xdr:rowOff>
    </xdr:to>
    <xdr:graphicFrame macro="">
      <xdr:nvGraphicFramePr>
        <xdr:cNvPr id="5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104775</xdr:colOff>
      <xdr:row>13</xdr:row>
      <xdr:rowOff>0</xdr:rowOff>
    </xdr:from>
    <xdr:to>
      <xdr:col>7</xdr:col>
      <xdr:colOff>123825</xdr:colOff>
      <xdr:row>21</xdr:row>
      <xdr:rowOff>0</xdr:rowOff>
    </xdr:to>
    <xdr:graphicFrame macro="">
      <xdr:nvGraphicFramePr>
        <xdr:cNvPr id="6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99" zoomScaleSheetLayoutView="68" workbookViewId="0"/>
  </sheetViews>
  <sheetFormatPr defaultRowHeight="14.25"/>
  <sheetData/>
  <phoneticPr fontId="5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2"/>
  <sheetViews>
    <sheetView topLeftCell="A3" zoomScale="115" zoomScaleNormal="115" workbookViewId="0">
      <pane xSplit="4" ySplit="5" topLeftCell="E8" activePane="bottomRight" state="frozen"/>
      <selection activeCell="A3" sqref="A3"/>
      <selection pane="topRight" activeCell="E3" sqref="E3"/>
      <selection pane="bottomLeft" activeCell="A8" sqref="A8"/>
      <selection pane="bottomRight" activeCell="B4" sqref="B4:M4"/>
    </sheetView>
  </sheetViews>
  <sheetFormatPr defaultRowHeight="24" customHeight="1"/>
  <cols>
    <col min="1" max="1" width="2" customWidth="1"/>
    <col min="2" max="2" width="6.25" customWidth="1"/>
    <col min="3" max="3" width="7.25" customWidth="1"/>
    <col min="4" max="4" width="4.875" customWidth="1"/>
    <col min="5" max="5" width="11.875" customWidth="1"/>
    <col min="6" max="6" width="12.625" bestFit="1" customWidth="1"/>
    <col min="7" max="7" width="11.75" customWidth="1"/>
    <col min="8" max="8" width="12.625" bestFit="1" customWidth="1"/>
    <col min="9" max="9" width="11.375" customWidth="1"/>
    <col min="10" max="10" width="12.625" style="10" bestFit="1" customWidth="1"/>
    <col min="11" max="11" width="7.75" style="9" customWidth="1"/>
    <col min="12" max="12" width="13.75" style="11" bestFit="1" customWidth="1"/>
    <col min="13" max="13" width="7.75" style="12" customWidth="1"/>
    <col min="14" max="14" width="2" customWidth="1"/>
    <col min="15" max="15" width="10.125" customWidth="1"/>
    <col min="16" max="16" width="15.125" bestFit="1" customWidth="1"/>
    <col min="17" max="17" width="9.25" bestFit="1" customWidth="1"/>
    <col min="18" max="18" width="7.125" customWidth="1"/>
    <col min="20" max="20" width="9.375" customWidth="1"/>
    <col min="21" max="21" width="8.125" customWidth="1"/>
  </cols>
  <sheetData>
    <row r="1" spans="2:13" ht="36" customHeight="1">
      <c r="B1" s="8" t="s">
        <v>26</v>
      </c>
      <c r="L1" s="195"/>
      <c r="M1" s="195"/>
    </row>
    <row r="2" spans="2:13" ht="33" customHeight="1">
      <c r="B2" s="205" t="s">
        <v>49</v>
      </c>
      <c r="C2" s="206"/>
      <c r="D2" s="206"/>
      <c r="E2" s="206"/>
      <c r="F2" s="206"/>
      <c r="G2" s="206"/>
      <c r="H2" s="206"/>
      <c r="I2" s="206"/>
      <c r="J2" s="206"/>
      <c r="K2" s="206"/>
      <c r="L2" s="206"/>
      <c r="M2" s="206"/>
    </row>
    <row r="3" spans="2:13" ht="27.75" customHeight="1">
      <c r="B3" s="207" t="s">
        <v>74</v>
      </c>
      <c r="C3" s="207"/>
      <c r="D3" s="207"/>
      <c r="E3" s="207"/>
      <c r="F3" s="207"/>
      <c r="G3" s="207"/>
      <c r="H3" s="207"/>
      <c r="I3" s="207"/>
      <c r="J3" s="207"/>
      <c r="K3" s="207"/>
      <c r="L3" s="207"/>
      <c r="M3" s="207"/>
    </row>
    <row r="4" spans="2:13" ht="21.2" customHeight="1" thickBot="1">
      <c r="B4" s="179" t="s">
        <v>73</v>
      </c>
      <c r="C4" s="180"/>
      <c r="D4" s="180"/>
      <c r="E4" s="180"/>
      <c r="F4" s="180"/>
      <c r="G4" s="180"/>
      <c r="H4" s="180"/>
      <c r="I4" s="180"/>
      <c r="J4" s="180"/>
      <c r="K4" s="180"/>
      <c r="L4" s="180"/>
      <c r="M4" s="180"/>
    </row>
    <row r="5" spans="2:13" ht="21.2" customHeight="1">
      <c r="B5" s="199" t="s">
        <v>7</v>
      </c>
      <c r="C5" s="200"/>
      <c r="D5" s="201"/>
      <c r="E5" s="39"/>
      <c r="F5" s="197" t="s">
        <v>75</v>
      </c>
      <c r="G5" s="245"/>
      <c r="H5" s="246" t="s">
        <v>78</v>
      </c>
      <c r="I5" s="246"/>
      <c r="J5" s="196" t="s">
        <v>15</v>
      </c>
      <c r="K5" s="197"/>
      <c r="L5" s="197"/>
      <c r="M5" s="198"/>
    </row>
    <row r="6" spans="2:13" ht="20.25" customHeight="1">
      <c r="B6" s="202"/>
      <c r="C6" s="203"/>
      <c r="D6" s="204"/>
      <c r="E6" s="40" t="s">
        <v>11</v>
      </c>
      <c r="F6" s="164" t="s">
        <v>76</v>
      </c>
      <c r="G6" s="41" t="s">
        <v>77</v>
      </c>
      <c r="H6" s="164" t="s">
        <v>79</v>
      </c>
      <c r="I6" s="162" t="s">
        <v>80</v>
      </c>
      <c r="J6" s="41" t="s">
        <v>57</v>
      </c>
      <c r="K6" s="42" t="s">
        <v>16</v>
      </c>
      <c r="L6" s="43" t="s">
        <v>18</v>
      </c>
      <c r="M6" s="44" t="s">
        <v>16</v>
      </c>
    </row>
    <row r="7" spans="2:13" ht="21.2" customHeight="1">
      <c r="B7" s="184" t="s">
        <v>21</v>
      </c>
      <c r="C7" s="187" t="s">
        <v>12</v>
      </c>
      <c r="D7" s="188"/>
      <c r="E7" s="13">
        <f>SUM(E8:E9)</f>
        <v>18416</v>
      </c>
      <c r="F7" s="13">
        <f>SUM(F8:F9)</f>
        <v>1543</v>
      </c>
      <c r="G7" s="13">
        <f>SUM(G8:G9)</f>
        <v>1543</v>
      </c>
      <c r="H7" s="13">
        <f>SUM(H8:H9)</f>
        <v>1408</v>
      </c>
      <c r="I7" s="13">
        <f>SUM(I8:I9)</f>
        <v>1408</v>
      </c>
      <c r="J7" s="13">
        <f>H7-F7</f>
        <v>-135</v>
      </c>
      <c r="K7" s="16">
        <f>H7/F7</f>
        <v>0.91250810110174985</v>
      </c>
      <c r="L7" s="14">
        <f>I7-G7</f>
        <v>-135</v>
      </c>
      <c r="M7" s="24">
        <f>I7/G7</f>
        <v>0.91250810110174985</v>
      </c>
    </row>
    <row r="8" spans="2:13" ht="19.5" customHeight="1">
      <c r="B8" s="185"/>
      <c r="C8" s="175" t="s">
        <v>9</v>
      </c>
      <c r="D8" s="176"/>
      <c r="E8" s="20">
        <v>11525</v>
      </c>
      <c r="F8" s="20">
        <v>927</v>
      </c>
      <c r="G8" s="21">
        <v>927</v>
      </c>
      <c r="H8" s="20">
        <v>844</v>
      </c>
      <c r="I8" s="20">
        <v>844</v>
      </c>
      <c r="J8" s="4">
        <f t="shared" ref="J8:J28" si="0">H8-F8</f>
        <v>-83</v>
      </c>
      <c r="K8" s="18">
        <f t="shared" ref="K8:K28" si="1">H8/F8</f>
        <v>0.91046386192017259</v>
      </c>
      <c r="L8" s="19">
        <f t="shared" ref="L8:L28" si="2">I8-G8</f>
        <v>-83</v>
      </c>
      <c r="M8" s="26">
        <f t="shared" ref="M8:M28" si="3">I8/G8</f>
        <v>0.91046386192017259</v>
      </c>
    </row>
    <row r="9" spans="2:13" ht="19.5" customHeight="1">
      <c r="B9" s="186"/>
      <c r="C9" s="177" t="s">
        <v>10</v>
      </c>
      <c r="D9" s="178"/>
      <c r="E9" s="21">
        <v>6891</v>
      </c>
      <c r="F9" s="21">
        <v>616</v>
      </c>
      <c r="G9" s="21">
        <v>616</v>
      </c>
      <c r="H9" s="21">
        <v>564</v>
      </c>
      <c r="I9" s="21">
        <v>564</v>
      </c>
      <c r="J9" s="21">
        <f t="shared" si="0"/>
        <v>-52</v>
      </c>
      <c r="K9" s="22">
        <f t="shared" si="1"/>
        <v>0.91558441558441561</v>
      </c>
      <c r="L9" s="23">
        <f t="shared" si="2"/>
        <v>-52</v>
      </c>
      <c r="M9" s="27">
        <f t="shared" si="3"/>
        <v>0.91558441558441561</v>
      </c>
    </row>
    <row r="10" spans="2:13" ht="21.2" customHeight="1">
      <c r="B10" s="184" t="s">
        <v>22</v>
      </c>
      <c r="C10" s="187" t="s">
        <v>8</v>
      </c>
      <c r="D10" s="188"/>
      <c r="E10" s="45">
        <f>E11+E15</f>
        <v>106845294</v>
      </c>
      <c r="F10" s="45">
        <f>F11+F15</f>
        <v>9863629</v>
      </c>
      <c r="G10" s="45">
        <f>G11+G15</f>
        <v>9863629</v>
      </c>
      <c r="H10" s="45">
        <f>H11+H15</f>
        <v>9973266</v>
      </c>
      <c r="I10" s="45">
        <f>I11+I15</f>
        <v>9973266</v>
      </c>
      <c r="J10" s="45">
        <f t="shared" si="0"/>
        <v>109637</v>
      </c>
      <c r="K10" s="16">
        <f t="shared" si="1"/>
        <v>1.0111152801874441</v>
      </c>
      <c r="L10" s="49">
        <f>I10-G10</f>
        <v>109637</v>
      </c>
      <c r="M10" s="24">
        <f t="shared" si="3"/>
        <v>1.0111152801874441</v>
      </c>
    </row>
    <row r="11" spans="2:13" ht="19.5" customHeight="1">
      <c r="B11" s="185"/>
      <c r="C11" s="181" t="s">
        <v>1</v>
      </c>
      <c r="D11" s="98" t="s">
        <v>0</v>
      </c>
      <c r="E11" s="92">
        <f>SUM(E12:E14)</f>
        <v>95663945</v>
      </c>
      <c r="F11" s="92">
        <f>SUM(F12:F14)</f>
        <v>8943055</v>
      </c>
      <c r="G11" s="92">
        <f>SUM(G12:G14)</f>
        <v>8943055</v>
      </c>
      <c r="H11" s="92">
        <f>SUM(H12:H14)</f>
        <v>9013448</v>
      </c>
      <c r="I11" s="92">
        <f>SUM(I12:I14)</f>
        <v>9013448</v>
      </c>
      <c r="J11" s="93">
        <f t="shared" si="0"/>
        <v>70393</v>
      </c>
      <c r="K11" s="94">
        <f t="shared" si="1"/>
        <v>1.0078712475770304</v>
      </c>
      <c r="L11" s="95">
        <f t="shared" si="2"/>
        <v>70393</v>
      </c>
      <c r="M11" s="96">
        <f t="shared" si="3"/>
        <v>1.0078712475770304</v>
      </c>
    </row>
    <row r="12" spans="2:13" ht="19.5" customHeight="1">
      <c r="B12" s="185"/>
      <c r="C12" s="182"/>
      <c r="D12" s="5" t="s">
        <v>5</v>
      </c>
      <c r="E12" s="46">
        <v>76439827</v>
      </c>
      <c r="F12" s="46">
        <v>7190213</v>
      </c>
      <c r="G12" s="46">
        <v>7190213</v>
      </c>
      <c r="H12" s="46">
        <v>7167671</v>
      </c>
      <c r="I12" s="46">
        <v>7167671</v>
      </c>
      <c r="J12" s="93">
        <f t="shared" si="0"/>
        <v>-22542</v>
      </c>
      <c r="K12" s="18">
        <f t="shared" si="1"/>
        <v>0.99686490511477199</v>
      </c>
      <c r="L12" s="48">
        <f t="shared" si="2"/>
        <v>-22542</v>
      </c>
      <c r="M12" s="26">
        <f t="shared" si="3"/>
        <v>0.99686490511477199</v>
      </c>
    </row>
    <row r="13" spans="2:13" ht="19.5" customHeight="1">
      <c r="B13" s="185"/>
      <c r="C13" s="182"/>
      <c r="D13" s="5" t="s">
        <v>6</v>
      </c>
      <c r="E13" s="46">
        <v>13946411</v>
      </c>
      <c r="F13" s="46">
        <v>1261415</v>
      </c>
      <c r="G13" s="46">
        <v>1261415</v>
      </c>
      <c r="H13" s="46">
        <v>1356490</v>
      </c>
      <c r="I13" s="46">
        <v>1356490</v>
      </c>
      <c r="J13" s="93">
        <f t="shared" si="0"/>
        <v>95075</v>
      </c>
      <c r="K13" s="18">
        <f t="shared" si="1"/>
        <v>1.0753717055846015</v>
      </c>
      <c r="L13" s="48">
        <f t="shared" si="2"/>
        <v>95075</v>
      </c>
      <c r="M13" s="26">
        <f t="shared" si="3"/>
        <v>1.0753717055846015</v>
      </c>
    </row>
    <row r="14" spans="2:13" ht="19.5" customHeight="1">
      <c r="B14" s="185"/>
      <c r="C14" s="183"/>
      <c r="D14" s="5" t="s">
        <v>13</v>
      </c>
      <c r="E14" s="46">
        <v>5277707</v>
      </c>
      <c r="F14" s="46">
        <v>491427</v>
      </c>
      <c r="G14" s="46">
        <v>491427</v>
      </c>
      <c r="H14" s="46">
        <v>489287</v>
      </c>
      <c r="I14" s="46">
        <v>489287</v>
      </c>
      <c r="J14" s="93">
        <f t="shared" si="0"/>
        <v>-2140</v>
      </c>
      <c r="K14" s="18">
        <f>H14/F14</f>
        <v>0.99564533491240814</v>
      </c>
      <c r="L14" s="48">
        <f t="shared" si="2"/>
        <v>-2140</v>
      </c>
      <c r="M14" s="26">
        <f t="shared" si="3"/>
        <v>0.99564533491240814</v>
      </c>
    </row>
    <row r="15" spans="2:13" ht="19.5" customHeight="1">
      <c r="B15" s="185"/>
      <c r="C15" s="192" t="s">
        <v>2</v>
      </c>
      <c r="D15" s="97" t="s">
        <v>0</v>
      </c>
      <c r="E15" s="87">
        <f>SUM(E16:E18)</f>
        <v>11181349</v>
      </c>
      <c r="F15" s="87">
        <f>SUM(F16:F18)</f>
        <v>920574</v>
      </c>
      <c r="G15" s="87">
        <f>SUM(G16:G18)</f>
        <v>920574</v>
      </c>
      <c r="H15" s="87">
        <f>SUM(H16:H18)</f>
        <v>959818</v>
      </c>
      <c r="I15" s="87">
        <f>SUM(I16:I18)</f>
        <v>959818</v>
      </c>
      <c r="J15" s="88">
        <f t="shared" si="0"/>
        <v>39244</v>
      </c>
      <c r="K15" s="89">
        <f t="shared" si="1"/>
        <v>1.0426299243732715</v>
      </c>
      <c r="L15" s="90">
        <f t="shared" si="2"/>
        <v>39244</v>
      </c>
      <c r="M15" s="91">
        <f t="shared" si="3"/>
        <v>1.0426299243732715</v>
      </c>
    </row>
    <row r="16" spans="2:13" ht="19.5" customHeight="1">
      <c r="B16" s="185"/>
      <c r="C16" s="193"/>
      <c r="D16" s="5" t="s">
        <v>3</v>
      </c>
      <c r="E16" s="46">
        <v>8023567</v>
      </c>
      <c r="F16" s="46">
        <v>641282</v>
      </c>
      <c r="G16" s="46">
        <v>641282</v>
      </c>
      <c r="H16" s="46">
        <v>639477</v>
      </c>
      <c r="I16" s="46">
        <v>639477</v>
      </c>
      <c r="J16" s="88">
        <f t="shared" si="0"/>
        <v>-1805</v>
      </c>
      <c r="K16" s="18">
        <f t="shared" si="1"/>
        <v>0.99718532564456819</v>
      </c>
      <c r="L16" s="48">
        <f t="shared" si="2"/>
        <v>-1805</v>
      </c>
      <c r="M16" s="26">
        <f t="shared" si="3"/>
        <v>0.99718532564456819</v>
      </c>
    </row>
    <row r="17" spans="1:13" ht="19.5" customHeight="1">
      <c r="B17" s="185"/>
      <c r="C17" s="193"/>
      <c r="D17" s="6" t="s">
        <v>4</v>
      </c>
      <c r="E17" s="47">
        <v>3148861</v>
      </c>
      <c r="F17" s="47">
        <v>279292</v>
      </c>
      <c r="G17" s="47">
        <v>279292</v>
      </c>
      <c r="H17" s="47">
        <v>320341</v>
      </c>
      <c r="I17" s="47">
        <v>320341</v>
      </c>
      <c r="J17" s="163">
        <v>0</v>
      </c>
      <c r="K17" s="18">
        <f t="shared" si="1"/>
        <v>1.146975208742105</v>
      </c>
      <c r="L17" s="48">
        <f t="shared" si="2"/>
        <v>41049</v>
      </c>
      <c r="M17" s="26">
        <f t="shared" si="3"/>
        <v>1.146975208742105</v>
      </c>
    </row>
    <row r="18" spans="1:13" ht="19.5" customHeight="1">
      <c r="B18" s="186"/>
      <c r="C18" s="194"/>
      <c r="D18" s="6" t="s">
        <v>17</v>
      </c>
      <c r="E18" s="47">
        <v>8921</v>
      </c>
      <c r="F18" s="159">
        <v>0</v>
      </c>
      <c r="G18" s="159">
        <v>0</v>
      </c>
      <c r="H18" s="159">
        <v>0</v>
      </c>
      <c r="I18" s="159">
        <v>0</v>
      </c>
      <c r="J18" s="88">
        <f t="shared" si="0"/>
        <v>0</v>
      </c>
      <c r="K18" s="18" t="e">
        <f t="shared" si="1"/>
        <v>#DIV/0!</v>
      </c>
      <c r="L18" s="48">
        <f t="shared" si="2"/>
        <v>0</v>
      </c>
      <c r="M18" s="26" t="e">
        <f t="shared" si="3"/>
        <v>#DIV/0!</v>
      </c>
    </row>
    <row r="19" spans="1:13" ht="20.100000000000001" customHeight="1">
      <c r="B19" s="29"/>
      <c r="C19" s="30"/>
      <c r="D19" s="7"/>
      <c r="E19" s="15"/>
      <c r="F19" s="1"/>
      <c r="G19" s="1"/>
      <c r="H19" s="1"/>
      <c r="I19" s="15"/>
      <c r="J19" s="17"/>
      <c r="K19" s="189" t="s">
        <v>23</v>
      </c>
      <c r="L19" s="190"/>
      <c r="M19" s="191"/>
    </row>
    <row r="20" spans="1:13" ht="21.2" customHeight="1">
      <c r="B20" s="28"/>
      <c r="C20" s="187" t="s">
        <v>8</v>
      </c>
      <c r="D20" s="188"/>
      <c r="E20" s="104">
        <f>SUM(E21,E25)</f>
        <v>792643</v>
      </c>
      <c r="F20" s="3">
        <f>SUM(F21,F25)</f>
        <v>58037</v>
      </c>
      <c r="G20" s="3">
        <f>SUM(G21,G25)</f>
        <v>58037</v>
      </c>
      <c r="H20" s="104">
        <f>SUM(H21,H25)</f>
        <v>72542</v>
      </c>
      <c r="I20" s="104">
        <f>SUM(I21,I25)</f>
        <v>72542</v>
      </c>
      <c r="J20" s="105">
        <f t="shared" si="0"/>
        <v>14505</v>
      </c>
      <c r="K20" s="106">
        <f t="shared" si="1"/>
        <v>1.2499267708530766</v>
      </c>
      <c r="L20" s="107">
        <f t="shared" si="2"/>
        <v>14505</v>
      </c>
      <c r="M20" s="24">
        <f>I20/G20</f>
        <v>1.2499267708530766</v>
      </c>
    </row>
    <row r="21" spans="1:13" ht="19.5" customHeight="1">
      <c r="B21" s="25"/>
      <c r="C21" s="174" t="s">
        <v>1</v>
      </c>
      <c r="D21" s="99" t="s">
        <v>0</v>
      </c>
      <c r="E21" s="100">
        <f>SUM(E22:E24)</f>
        <v>792643</v>
      </c>
      <c r="F21" s="100">
        <f>SUM(F22:F24)</f>
        <v>58037</v>
      </c>
      <c r="G21" s="100">
        <f>SUM(G22:G24)</f>
        <v>58037</v>
      </c>
      <c r="H21" s="100">
        <f>SUM(H22:H24)</f>
        <v>72542</v>
      </c>
      <c r="I21" s="100">
        <f>SUM(I22:I24)</f>
        <v>72542</v>
      </c>
      <c r="J21" s="101">
        <f t="shared" si="0"/>
        <v>14505</v>
      </c>
      <c r="K21" s="102">
        <f t="shared" si="1"/>
        <v>1.2499267708530766</v>
      </c>
      <c r="L21" s="103">
        <f t="shared" si="2"/>
        <v>14505</v>
      </c>
      <c r="M21" s="96">
        <f t="shared" si="3"/>
        <v>1.2499267708530766</v>
      </c>
    </row>
    <row r="22" spans="1:13" ht="19.5" customHeight="1">
      <c r="B22" s="161" t="s">
        <v>19</v>
      </c>
      <c r="C22" s="174"/>
      <c r="D22" s="52" t="s">
        <v>5</v>
      </c>
      <c r="E22" s="54">
        <v>391129</v>
      </c>
      <c r="F22" s="54">
        <v>30331</v>
      </c>
      <c r="G22" s="54">
        <v>30331</v>
      </c>
      <c r="H22" s="54">
        <v>35564</v>
      </c>
      <c r="I22" s="54">
        <v>35564</v>
      </c>
      <c r="J22" s="101">
        <f t="shared" si="0"/>
        <v>5233</v>
      </c>
      <c r="K22" s="51">
        <f t="shared" si="1"/>
        <v>1.1725297550361016</v>
      </c>
      <c r="L22" s="23">
        <f t="shared" si="2"/>
        <v>5233</v>
      </c>
      <c r="M22" s="26">
        <f t="shared" si="3"/>
        <v>1.1725297550361016</v>
      </c>
    </row>
    <row r="23" spans="1:13" ht="19.5" customHeight="1">
      <c r="B23" s="161" t="s">
        <v>20</v>
      </c>
      <c r="C23" s="174"/>
      <c r="D23" s="2" t="s">
        <v>14</v>
      </c>
      <c r="E23" s="54">
        <v>389634</v>
      </c>
      <c r="F23" s="54">
        <v>26322</v>
      </c>
      <c r="G23" s="54">
        <v>26322</v>
      </c>
      <c r="H23" s="54">
        <v>35854</v>
      </c>
      <c r="I23" s="54">
        <v>35854</v>
      </c>
      <c r="J23" s="101">
        <f t="shared" si="0"/>
        <v>9532</v>
      </c>
      <c r="K23" s="51">
        <f t="shared" si="1"/>
        <v>1.3621305371932224</v>
      </c>
      <c r="L23" s="19">
        <f t="shared" si="2"/>
        <v>9532</v>
      </c>
      <c r="M23" s="26">
        <f t="shared" si="3"/>
        <v>1.3621305371932224</v>
      </c>
    </row>
    <row r="24" spans="1:13" ht="19.5" customHeight="1">
      <c r="B24" s="31"/>
      <c r="C24" s="174"/>
      <c r="D24" s="2" t="s">
        <v>13</v>
      </c>
      <c r="E24" s="54">
        <v>11880</v>
      </c>
      <c r="F24" s="54">
        <v>1384</v>
      </c>
      <c r="G24" s="54">
        <v>1384</v>
      </c>
      <c r="H24" s="54">
        <v>1124</v>
      </c>
      <c r="I24" s="54">
        <v>1124</v>
      </c>
      <c r="J24" s="101">
        <f t="shared" si="0"/>
        <v>-260</v>
      </c>
      <c r="K24" s="51">
        <f t="shared" si="1"/>
        <v>0.81213872832369938</v>
      </c>
      <c r="L24" s="19">
        <f t="shared" si="2"/>
        <v>-260</v>
      </c>
      <c r="M24" s="26">
        <f t="shared" si="3"/>
        <v>0.81213872832369938</v>
      </c>
    </row>
    <row r="25" spans="1:13" ht="19.5" customHeight="1">
      <c r="B25" s="25"/>
      <c r="C25" s="210" t="s">
        <v>2</v>
      </c>
      <c r="D25" s="99" t="s">
        <v>71</v>
      </c>
      <c r="E25" s="100">
        <f>SUM(E26:E27)</f>
        <v>0</v>
      </c>
      <c r="F25" s="100">
        <f>SUM(F26:F27)</f>
        <v>0</v>
      </c>
      <c r="G25" s="100">
        <f>SUM(G26:G27)</f>
        <v>0</v>
      </c>
      <c r="H25" s="100">
        <f>SUM(H26:H27)</f>
        <v>0</v>
      </c>
      <c r="I25" s="100">
        <f>SUM(I26:I27)</f>
        <v>0</v>
      </c>
      <c r="J25" s="101">
        <f t="shared" si="0"/>
        <v>0</v>
      </c>
      <c r="K25" s="51" t="e">
        <f t="shared" si="1"/>
        <v>#DIV/0!</v>
      </c>
      <c r="L25" s="19">
        <f t="shared" si="2"/>
        <v>0</v>
      </c>
      <c r="M25" s="26" t="e">
        <f t="shared" si="3"/>
        <v>#DIV/0!</v>
      </c>
    </row>
    <row r="26" spans="1:13" ht="19.5" customHeight="1">
      <c r="B26" s="25"/>
      <c r="C26" s="210"/>
      <c r="D26" s="99" t="s">
        <v>71</v>
      </c>
      <c r="E26" s="55">
        <v>0</v>
      </c>
      <c r="F26" s="55">
        <v>0</v>
      </c>
      <c r="G26" s="55">
        <v>0</v>
      </c>
      <c r="H26" s="55">
        <v>0</v>
      </c>
      <c r="I26" s="55">
        <v>0</v>
      </c>
      <c r="J26" s="101">
        <f t="shared" si="0"/>
        <v>0</v>
      </c>
      <c r="K26" s="51" t="e">
        <f t="shared" si="1"/>
        <v>#DIV/0!</v>
      </c>
      <c r="L26" s="19">
        <f t="shared" si="2"/>
        <v>0</v>
      </c>
      <c r="M26" s="26" t="e">
        <f t="shared" si="3"/>
        <v>#DIV/0!</v>
      </c>
    </row>
    <row r="27" spans="1:13" ht="19.5" customHeight="1">
      <c r="B27" s="32"/>
      <c r="C27" s="210"/>
      <c r="D27" s="99" t="s">
        <v>71</v>
      </c>
      <c r="E27" s="56">
        <v>0</v>
      </c>
      <c r="F27" s="56">
        <v>0</v>
      </c>
      <c r="G27" s="56">
        <v>0</v>
      </c>
      <c r="H27" s="56">
        <v>0</v>
      </c>
      <c r="I27" s="56">
        <v>0</v>
      </c>
      <c r="J27" s="101">
        <f t="shared" si="0"/>
        <v>0</v>
      </c>
      <c r="K27" s="51" t="e">
        <f t="shared" si="1"/>
        <v>#DIV/0!</v>
      </c>
      <c r="L27" s="19">
        <f t="shared" si="2"/>
        <v>0</v>
      </c>
      <c r="M27" s="26" t="e">
        <f t="shared" si="3"/>
        <v>#DIV/0!</v>
      </c>
    </row>
    <row r="28" spans="1:13" s="141" customFormat="1" ht="21.2" customHeight="1" thickBot="1">
      <c r="B28" s="211" t="s">
        <v>69</v>
      </c>
      <c r="C28" s="212"/>
      <c r="D28" s="213"/>
      <c r="E28" s="142">
        <v>1260128</v>
      </c>
      <c r="F28" s="142">
        <v>104568</v>
      </c>
      <c r="G28" s="142">
        <v>104568</v>
      </c>
      <c r="H28" s="142">
        <v>126602</v>
      </c>
      <c r="I28" s="142">
        <v>126602</v>
      </c>
      <c r="J28" s="143">
        <f t="shared" si="0"/>
        <v>22034</v>
      </c>
      <c r="K28" s="144">
        <f t="shared" si="1"/>
        <v>1.2107145589472879</v>
      </c>
      <c r="L28" s="145">
        <f t="shared" si="2"/>
        <v>22034</v>
      </c>
      <c r="M28" s="146">
        <f t="shared" si="3"/>
        <v>1.2107145589472879</v>
      </c>
    </row>
    <row r="29" spans="1:13" ht="12.75" customHeight="1">
      <c r="B29" s="33"/>
      <c r="C29" s="33"/>
      <c r="D29" s="33"/>
      <c r="E29" s="34"/>
      <c r="F29" s="35"/>
      <c r="G29" s="35"/>
      <c r="H29" s="35"/>
      <c r="I29" s="35"/>
      <c r="J29" s="34"/>
      <c r="K29" s="36"/>
      <c r="L29" s="37"/>
      <c r="M29" s="38"/>
    </row>
    <row r="30" spans="1:13" s="216" customFormat="1" ht="18.75" customHeight="1">
      <c r="A30" s="216" t="s">
        <v>27</v>
      </c>
    </row>
    <row r="31" spans="1:13" s="53" customFormat="1" ht="21.2" customHeight="1">
      <c r="B31" s="215" t="s">
        <v>24</v>
      </c>
      <c r="C31" s="215"/>
      <c r="D31" s="128"/>
      <c r="E31" s="128"/>
      <c r="F31" s="128"/>
      <c r="G31" s="128"/>
      <c r="H31" s="215" t="s">
        <v>25</v>
      </c>
      <c r="I31" s="215"/>
    </row>
    <row r="32" spans="1:13" s="50" customFormat="1" ht="24" customHeight="1">
      <c r="B32"/>
      <c r="C32"/>
      <c r="D32"/>
      <c r="E32"/>
      <c r="F32"/>
      <c r="G32"/>
      <c r="H32"/>
      <c r="I32"/>
      <c r="J32" s="10"/>
      <c r="K32" s="9"/>
      <c r="L32" s="11"/>
      <c r="M32" s="12"/>
    </row>
    <row r="33" spans="2:13" s="50" customFormat="1" ht="30.2" customHeight="1">
      <c r="B33"/>
      <c r="C33"/>
      <c r="D33"/>
      <c r="E33"/>
      <c r="F33"/>
      <c r="G33"/>
      <c r="H33"/>
      <c r="I33"/>
      <c r="J33" s="10"/>
      <c r="K33" s="9"/>
      <c r="L33" s="11"/>
      <c r="M33" s="12"/>
    </row>
    <row r="34" spans="2:13" s="50" customFormat="1" ht="37.15" customHeight="1">
      <c r="B34"/>
      <c r="C34"/>
      <c r="D34"/>
      <c r="E34"/>
      <c r="F34"/>
      <c r="G34"/>
      <c r="H34"/>
      <c r="I34"/>
      <c r="J34" s="10"/>
      <c r="K34" s="9"/>
      <c r="L34" s="11"/>
      <c r="M34" s="12"/>
    </row>
    <row r="35" spans="2:13" s="50" customFormat="1" ht="37.15" customHeight="1">
      <c r="B35"/>
      <c r="C35"/>
      <c r="D35"/>
      <c r="E35"/>
      <c r="F35"/>
      <c r="G35"/>
      <c r="H35"/>
      <c r="I35"/>
      <c r="J35" s="10"/>
      <c r="K35" s="9"/>
      <c r="L35" s="11"/>
      <c r="M35" s="12"/>
    </row>
    <row r="40" spans="2:13" s="214" customFormat="1" ht="24" customHeight="1"/>
    <row r="41" spans="2:13" ht="19.5" customHeight="1">
      <c r="B41" s="208"/>
      <c r="C41" s="209"/>
      <c r="D41" s="209"/>
      <c r="E41" s="209"/>
      <c r="F41" s="209"/>
      <c r="G41" s="209"/>
      <c r="H41" s="209"/>
      <c r="I41" s="209"/>
      <c r="J41" s="209"/>
      <c r="K41" s="209"/>
      <c r="L41" s="209"/>
      <c r="M41" s="209"/>
    </row>
    <row r="42" spans="2:13" ht="19.5" customHeight="1">
      <c r="B42" s="208"/>
      <c r="C42" s="209"/>
      <c r="D42" s="209"/>
      <c r="E42" s="209"/>
      <c r="F42" s="209"/>
      <c r="G42" s="209"/>
      <c r="H42" s="209"/>
      <c r="I42" s="209"/>
      <c r="J42" s="209"/>
      <c r="K42" s="209"/>
      <c r="L42" s="209"/>
      <c r="M42" s="209"/>
    </row>
  </sheetData>
  <mergeCells count="27">
    <mergeCell ref="B41:M41"/>
    <mergeCell ref="B42:M42"/>
    <mergeCell ref="C25:C27"/>
    <mergeCell ref="B28:D28"/>
    <mergeCell ref="A40:XFD40"/>
    <mergeCell ref="B31:C31"/>
    <mergeCell ref="H31:I31"/>
    <mergeCell ref="A30:XFD30"/>
    <mergeCell ref="L1:M1"/>
    <mergeCell ref="C10:D10"/>
    <mergeCell ref="C7:D7"/>
    <mergeCell ref="J5:M5"/>
    <mergeCell ref="B5:D6"/>
    <mergeCell ref="B2:M2"/>
    <mergeCell ref="B3:M3"/>
    <mergeCell ref="F5:G5"/>
    <mergeCell ref="C21:C24"/>
    <mergeCell ref="C8:D8"/>
    <mergeCell ref="C9:D9"/>
    <mergeCell ref="B4:M4"/>
    <mergeCell ref="C11:C14"/>
    <mergeCell ref="B10:B18"/>
    <mergeCell ref="C20:D20"/>
    <mergeCell ref="K19:M19"/>
    <mergeCell ref="H5:I5"/>
    <mergeCell ref="C15:C18"/>
    <mergeCell ref="B7:B9"/>
  </mergeCells>
  <phoneticPr fontId="5" type="noConversion"/>
  <printOptions horizontalCentered="1" gridLinesSet="0"/>
  <pageMargins left="0.19685039370078741" right="0.19685039370078741" top="0.15748031496062992" bottom="0.23622047244094491" header="0.19685039370078741" footer="0.23622047244094491"/>
  <pageSetup paperSize="9" scale="80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1"/>
  <sheetViews>
    <sheetView zoomScale="85" zoomScaleNormal="85" workbookViewId="0">
      <selection activeCell="G4" sqref="G4"/>
    </sheetView>
  </sheetViews>
  <sheetFormatPr defaultRowHeight="14.25"/>
  <cols>
    <col min="1" max="1" width="11.25" customWidth="1"/>
    <col min="2" max="6" width="8.75" customWidth="1"/>
    <col min="7" max="7" width="9.5" customWidth="1"/>
    <col min="8" max="8" width="12.125" customWidth="1"/>
    <col min="9" max="13" width="8.875" customWidth="1"/>
    <col min="14" max="14" width="12.25" customWidth="1"/>
    <col min="17" max="17" width="10.75" bestFit="1" customWidth="1"/>
  </cols>
  <sheetData>
    <row r="1" spans="1:27" s="58" customFormat="1" ht="18.75">
      <c r="A1" s="57" t="s">
        <v>28</v>
      </c>
    </row>
    <row r="2" spans="1:27" s="58" customFormat="1" ht="15" thickBot="1">
      <c r="A2"/>
      <c r="B2"/>
      <c r="C2"/>
      <c r="D2" s="160"/>
      <c r="E2" s="160"/>
      <c r="F2" s="217" t="s">
        <v>72</v>
      </c>
      <c r="G2" s="217"/>
      <c r="H2"/>
      <c r="I2"/>
      <c r="J2"/>
      <c r="K2" s="160"/>
      <c r="L2" s="160"/>
      <c r="M2" s="217" t="s">
        <v>29</v>
      </c>
      <c r="N2" s="217"/>
    </row>
    <row r="3" spans="1:27" s="58" customFormat="1" ht="32.25" customHeight="1">
      <c r="A3" s="59" t="s">
        <v>30</v>
      </c>
      <c r="B3" s="60">
        <v>15</v>
      </c>
      <c r="C3" s="60">
        <v>16</v>
      </c>
      <c r="D3" s="60">
        <v>17</v>
      </c>
      <c r="E3" s="60">
        <v>18</v>
      </c>
      <c r="F3" s="60">
        <v>19</v>
      </c>
      <c r="G3" s="166">
        <v>21.1</v>
      </c>
      <c r="H3" s="61" t="s">
        <v>30</v>
      </c>
      <c r="I3" s="60">
        <v>15</v>
      </c>
      <c r="J3" s="60">
        <v>16</v>
      </c>
      <c r="K3" s="60">
        <v>17</v>
      </c>
      <c r="L3" s="60">
        <v>18</v>
      </c>
      <c r="M3" s="60">
        <v>19</v>
      </c>
      <c r="N3" s="167">
        <f>$G$3</f>
        <v>21.1</v>
      </c>
    </row>
    <row r="4" spans="1:27" s="58" customFormat="1" ht="39.200000000000003" customHeight="1" thickBot="1">
      <c r="A4" s="84" t="s">
        <v>31</v>
      </c>
      <c r="B4" s="168">
        <v>19166</v>
      </c>
      <c r="C4" s="168">
        <v>19916</v>
      </c>
      <c r="D4" s="168">
        <v>19440</v>
      </c>
      <c r="E4" s="168">
        <v>18829</v>
      </c>
      <c r="F4" s="168">
        <v>18385</v>
      </c>
      <c r="G4" s="169">
        <f>통계요약!I7</f>
        <v>1408</v>
      </c>
      <c r="H4" s="84" t="s">
        <v>32</v>
      </c>
      <c r="I4" s="168">
        <v>102121</v>
      </c>
      <c r="J4" s="168">
        <v>112948</v>
      </c>
      <c r="K4" s="168">
        <v>112491</v>
      </c>
      <c r="L4" s="168">
        <v>115147</v>
      </c>
      <c r="M4" s="168">
        <v>112966</v>
      </c>
      <c r="N4" s="170">
        <f>통계요약!I10/1000</f>
        <v>9973.2659999999996</v>
      </c>
    </row>
    <row r="5" spans="1:27" s="58" customFormat="1" ht="30.2" customHeight="1" thickBot="1">
      <c r="A5"/>
      <c r="B5"/>
      <c r="C5"/>
      <c r="D5" s="160"/>
      <c r="E5" s="160"/>
      <c r="F5" s="218" t="s">
        <v>33</v>
      </c>
      <c r="G5" s="218"/>
      <c r="H5" s="62"/>
      <c r="I5" s="63"/>
      <c r="J5" s="63"/>
      <c r="K5" s="160"/>
      <c r="L5" s="160"/>
      <c r="M5" s="218" t="s">
        <v>34</v>
      </c>
      <c r="N5" s="218"/>
    </row>
    <row r="6" spans="1:27" s="58" customFormat="1" ht="32.25" customHeight="1">
      <c r="A6" s="59" t="s">
        <v>30</v>
      </c>
      <c r="B6" s="60">
        <v>15</v>
      </c>
      <c r="C6" s="60">
        <v>16</v>
      </c>
      <c r="D6" s="60">
        <v>17</v>
      </c>
      <c r="E6" s="60">
        <v>18</v>
      </c>
      <c r="F6" s="60">
        <v>19</v>
      </c>
      <c r="G6" s="167">
        <f>$G$3</f>
        <v>21.1</v>
      </c>
      <c r="H6" s="61" t="s">
        <v>30</v>
      </c>
      <c r="I6" s="60">
        <v>15</v>
      </c>
      <c r="J6" s="60">
        <v>16</v>
      </c>
      <c r="K6" s="60">
        <v>17</v>
      </c>
      <c r="L6" s="60">
        <v>18</v>
      </c>
      <c r="M6" s="60">
        <v>19</v>
      </c>
      <c r="N6" s="167">
        <f>$G$3</f>
        <v>21.1</v>
      </c>
    </row>
    <row r="7" spans="1:27" s="58" customFormat="1" ht="37.5" customHeight="1" thickBot="1">
      <c r="A7" s="84" t="s">
        <v>35</v>
      </c>
      <c r="B7" s="171">
        <v>565661</v>
      </c>
      <c r="C7" s="171">
        <v>623339</v>
      </c>
      <c r="D7" s="171">
        <v>643233</v>
      </c>
      <c r="E7" s="171">
        <v>689852</v>
      </c>
      <c r="F7" s="171">
        <v>723427</v>
      </c>
      <c r="G7" s="172">
        <f>통계요약!I20</f>
        <v>72542</v>
      </c>
      <c r="H7" s="84" t="s">
        <v>36</v>
      </c>
      <c r="I7" s="168">
        <v>494740</v>
      </c>
      <c r="J7" s="168">
        <v>435104</v>
      </c>
      <c r="K7" s="168">
        <v>482428</v>
      </c>
      <c r="L7" s="168">
        <v>452480</v>
      </c>
      <c r="M7" s="168">
        <v>623733</v>
      </c>
      <c r="N7" s="173">
        <v>40267</v>
      </c>
      <c r="AA7" s="135">
        <f>(19166/188141)^(1/4)-1</f>
        <v>-0.43504740355323723</v>
      </c>
    </row>
    <row r="12" spans="1:27" s="69" customFormat="1" ht="25.5" customHeight="1">
      <c r="A12" s="69" t="s">
        <v>37</v>
      </c>
    </row>
    <row r="13" spans="1:27" s="58" customFormat="1" ht="21.2" customHeight="1">
      <c r="A13" s="127" t="s">
        <v>52</v>
      </c>
      <c r="H13" s="127" t="s">
        <v>51</v>
      </c>
      <c r="I13" s="64"/>
      <c r="J13" s="65"/>
      <c r="K13" s="66"/>
      <c r="L13" s="67"/>
      <c r="M13" s="67"/>
      <c r="N13" s="67"/>
    </row>
    <row r="14" spans="1:27" s="58" customFormat="1" ht="24" customHeight="1">
      <c r="I14" s="64"/>
      <c r="J14" s="65"/>
      <c r="K14" s="66"/>
      <c r="L14" s="67"/>
      <c r="M14" s="67"/>
      <c r="N14" s="67"/>
    </row>
    <row r="15" spans="1:27" s="58" customFormat="1" ht="24" customHeight="1">
      <c r="I15" s="64"/>
      <c r="J15" s="65"/>
      <c r="K15" s="66"/>
      <c r="L15" s="67"/>
      <c r="M15" s="67"/>
      <c r="N15" s="67"/>
    </row>
    <row r="16" spans="1:27" s="58" customFormat="1" ht="24" customHeight="1">
      <c r="I16" s="64"/>
      <c r="J16" s="65"/>
      <c r="K16" s="66"/>
      <c r="L16" s="67"/>
      <c r="M16" s="67"/>
      <c r="N16" s="67"/>
    </row>
    <row r="17" spans="1:14" s="58" customFormat="1" ht="24" customHeight="1">
      <c r="I17" s="64"/>
      <c r="J17" s="65"/>
      <c r="K17" s="66"/>
      <c r="L17" s="67"/>
      <c r="M17" s="67"/>
      <c r="N17" s="67"/>
    </row>
    <row r="18" spans="1:14" s="58" customFormat="1" ht="24" customHeight="1">
      <c r="I18" s="64"/>
      <c r="J18" s="65"/>
      <c r="K18" s="66"/>
      <c r="L18" s="67"/>
      <c r="M18" s="67"/>
      <c r="N18" s="67"/>
    </row>
    <row r="19" spans="1:14" s="58" customFormat="1" ht="24" customHeight="1">
      <c r="I19" s="64"/>
      <c r="J19" s="65"/>
      <c r="K19" s="66"/>
      <c r="L19" s="67"/>
      <c r="M19" s="67"/>
      <c r="N19" s="67"/>
    </row>
    <row r="20" spans="1:14" s="58" customFormat="1" ht="24" customHeight="1">
      <c r="I20" s="64"/>
      <c r="J20" s="65"/>
      <c r="K20" s="66"/>
      <c r="L20" s="67"/>
      <c r="M20" s="67"/>
      <c r="N20" s="67"/>
    </row>
    <row r="21" spans="1:14" s="58" customFormat="1" ht="24" customHeight="1">
      <c r="I21" s="64"/>
      <c r="J21" s="65"/>
      <c r="K21" s="66"/>
      <c r="L21" s="67"/>
      <c r="M21" s="67"/>
      <c r="N21" s="67"/>
    </row>
    <row r="22" spans="1:14" s="58" customFormat="1" ht="36" customHeight="1">
      <c r="I22" s="64"/>
      <c r="J22" s="65"/>
      <c r="K22" s="66"/>
      <c r="L22" s="67"/>
      <c r="M22" s="67"/>
      <c r="N22" s="67"/>
    </row>
    <row r="23" spans="1:14" s="58" customFormat="1" ht="27.75" customHeight="1">
      <c r="A23" s="68" t="s">
        <v>25</v>
      </c>
      <c r="H23" s="127" t="s">
        <v>50</v>
      </c>
      <c r="I23" s="64"/>
      <c r="J23" s="65"/>
      <c r="K23" s="66"/>
      <c r="L23" s="67"/>
      <c r="M23" s="67"/>
      <c r="N23" s="67"/>
    </row>
    <row r="24" spans="1:14" s="58" customFormat="1" ht="24" customHeight="1">
      <c r="I24" s="64"/>
      <c r="J24" s="65"/>
      <c r="K24" s="66"/>
      <c r="L24" s="67"/>
      <c r="M24" s="67"/>
      <c r="N24" s="67"/>
    </row>
    <row r="25" spans="1:14" s="58" customFormat="1" ht="24" customHeight="1">
      <c r="I25" s="64"/>
      <c r="J25" s="65"/>
      <c r="K25" s="66"/>
      <c r="L25" s="67"/>
      <c r="M25" s="67"/>
      <c r="N25" s="67"/>
    </row>
    <row r="26" spans="1:14" s="58" customFormat="1" ht="24" customHeight="1">
      <c r="I26" s="64"/>
      <c r="J26" s="65"/>
      <c r="K26" s="66"/>
      <c r="L26" s="67"/>
      <c r="M26" s="67"/>
      <c r="N26" s="67"/>
    </row>
    <row r="27" spans="1:14" s="58" customFormat="1" ht="24" customHeight="1">
      <c r="I27" s="64"/>
      <c r="J27" s="65"/>
      <c r="K27" s="66"/>
      <c r="L27" s="67"/>
      <c r="M27" s="67"/>
      <c r="N27" s="67"/>
    </row>
    <row r="28" spans="1:14" s="58" customFormat="1" ht="24" customHeight="1">
      <c r="I28" s="64"/>
      <c r="J28" s="65"/>
      <c r="K28" s="66"/>
      <c r="L28" s="67"/>
      <c r="M28" s="67"/>
      <c r="N28" s="67"/>
    </row>
    <row r="29" spans="1:14" s="58" customFormat="1" ht="24" customHeight="1">
      <c r="I29" s="64"/>
      <c r="J29" s="65"/>
      <c r="K29" s="66"/>
      <c r="L29" s="67"/>
      <c r="M29" s="67"/>
      <c r="N29" s="67"/>
    </row>
    <row r="30" spans="1:14" s="58" customFormat="1" ht="24" customHeight="1">
      <c r="I30" s="64"/>
      <c r="J30" s="65"/>
      <c r="K30" s="66"/>
      <c r="L30" s="67"/>
      <c r="M30" s="67"/>
      <c r="N30" s="67"/>
    </row>
    <row r="31" spans="1:14" s="58" customFormat="1" ht="24" customHeight="1">
      <c r="I31" s="64"/>
      <c r="J31" s="65"/>
      <c r="K31" s="66"/>
      <c r="L31" s="67"/>
      <c r="M31" s="67"/>
      <c r="N31" s="67"/>
    </row>
  </sheetData>
  <mergeCells count="4">
    <mergeCell ref="F2:G2"/>
    <mergeCell ref="M2:N2"/>
    <mergeCell ref="F5:G5"/>
    <mergeCell ref="M5:N5"/>
  </mergeCells>
  <phoneticPr fontId="20" type="noConversion"/>
  <pageMargins left="0.8" right="0.51181102362204722" top="1.36" bottom="0.98425196850393704" header="0.51181102362204722" footer="0.51181102362204722"/>
  <pageSetup paperSize="9" scale="61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"/>
  <sheetViews>
    <sheetView tabSelected="1" zoomScale="90" zoomScaleNormal="90" workbookViewId="0">
      <pane xSplit="5" ySplit="5" topLeftCell="F6" activePane="bottomRight" state="frozen"/>
      <selection pane="topRight" activeCell="F1" sqref="F1"/>
      <selection pane="bottomLeft" activeCell="A6" sqref="A6"/>
      <selection pane="bottomRight" activeCell="F1" sqref="F1"/>
    </sheetView>
  </sheetViews>
  <sheetFormatPr defaultColWidth="10" defaultRowHeight="13.5"/>
  <cols>
    <col min="1" max="1" width="10" style="70" customWidth="1"/>
    <col min="2" max="2" width="5.75" style="70" customWidth="1"/>
    <col min="3" max="3" width="1" style="70" customWidth="1"/>
    <col min="4" max="4" width="8" style="70" customWidth="1"/>
    <col min="5" max="5" width="14.875" style="70" bestFit="1" customWidth="1"/>
    <col min="6" max="6" width="11" style="70" customWidth="1"/>
    <col min="7" max="7" width="13.25" style="70" customWidth="1"/>
    <col min="8" max="8" width="11" style="70" customWidth="1"/>
    <col min="9" max="9" width="13.25" style="70" customWidth="1"/>
    <col min="10" max="10" width="12.25" style="70" customWidth="1"/>
    <col min="11" max="13" width="11" style="70" customWidth="1"/>
    <col min="14" max="16384" width="10" style="70"/>
  </cols>
  <sheetData>
    <row r="1" spans="1:13" ht="50.25" customHeight="1" thickBot="1">
      <c r="A1" s="86" t="s">
        <v>38</v>
      </c>
      <c r="J1" s="71"/>
      <c r="K1" s="72"/>
      <c r="L1" s="73"/>
      <c r="M1" s="74"/>
    </row>
    <row r="2" spans="1:13" ht="21.95" customHeight="1">
      <c r="A2" s="225" t="s">
        <v>39</v>
      </c>
      <c r="B2" s="226"/>
      <c r="C2" s="226"/>
      <c r="D2" s="229" t="s">
        <v>40</v>
      </c>
      <c r="E2" s="75"/>
      <c r="F2" s="247" t="s">
        <v>75</v>
      </c>
      <c r="G2" s="248"/>
      <c r="H2" s="219" t="s">
        <v>81</v>
      </c>
      <c r="I2" s="219"/>
      <c r="J2" s="219" t="s">
        <v>41</v>
      </c>
      <c r="K2" s="219"/>
      <c r="L2" s="219"/>
      <c r="M2" s="220"/>
    </row>
    <row r="3" spans="1:13" ht="21.95" customHeight="1">
      <c r="A3" s="227"/>
      <c r="B3" s="228"/>
      <c r="C3" s="228"/>
      <c r="D3" s="230"/>
      <c r="E3" s="76" t="s">
        <v>42</v>
      </c>
      <c r="F3" s="76" t="str">
        <f>통계요약!F6</f>
        <v>1월(A)</v>
      </c>
      <c r="G3" s="76" t="str">
        <f>통계요약!G6</f>
        <v>1월누계(B)</v>
      </c>
      <c r="H3" s="165" t="str">
        <f>통계요약!H6</f>
        <v>1월(C)</v>
      </c>
      <c r="I3" s="76" t="str">
        <f>통계요약!I6</f>
        <v>1월누계(D)</v>
      </c>
      <c r="J3" s="76" t="s">
        <v>43</v>
      </c>
      <c r="K3" s="77" t="s">
        <v>44</v>
      </c>
      <c r="L3" s="78" t="s">
        <v>45</v>
      </c>
      <c r="M3" s="121" t="s">
        <v>44</v>
      </c>
    </row>
    <row r="4" spans="1:13" ht="21.95" customHeight="1">
      <c r="A4" s="221" t="s">
        <v>46</v>
      </c>
      <c r="B4" s="222"/>
      <c r="C4" s="222"/>
      <c r="D4" s="79" t="s">
        <v>47</v>
      </c>
      <c r="E4" s="118">
        <f>SUM(E6,E8,E10,E12,E14,E16,E18,E22,E24,E26,E28,E20,)</f>
        <v>792643</v>
      </c>
      <c r="F4" s="118">
        <f>SUM(F6,F8,F10,F12,F14,F16,F18,F22,F24,F26,F28,F20)</f>
        <v>58037</v>
      </c>
      <c r="G4" s="118">
        <f>SUM(G6,G8,G10,G12,G14,G16,G18,G22,G24,G26,G28,G20)</f>
        <v>58037</v>
      </c>
      <c r="H4" s="118">
        <f>SUM(H6,H8,H12,H14,H16,H18,H22,H24,H26,H28,H20,H10)</f>
        <v>72542</v>
      </c>
      <c r="I4" s="118">
        <f>SUM(I6,I8,I12,I14,I16,I18,I22,I24,I26,I28,I20,I10)</f>
        <v>72542</v>
      </c>
      <c r="J4" s="108">
        <f t="shared" ref="J4:J27" si="0">H4-F4</f>
        <v>14505</v>
      </c>
      <c r="K4" s="109">
        <f t="shared" ref="K4:K27" si="1">(H4/F4*100)-100</f>
        <v>24.992677085307662</v>
      </c>
      <c r="L4" s="110">
        <f t="shared" ref="L4:L27" si="2">I4-G4</f>
        <v>14505</v>
      </c>
      <c r="M4" s="122">
        <f t="shared" ref="M4:M27" si="3">(I4/G4*100)-100</f>
        <v>24.992677085307662</v>
      </c>
    </row>
    <row r="5" spans="1:13" ht="21.95" customHeight="1">
      <c r="A5" s="221"/>
      <c r="B5" s="222"/>
      <c r="C5" s="222"/>
      <c r="D5" s="79" t="s">
        <v>48</v>
      </c>
      <c r="E5" s="118">
        <f>SUM(E7,E9,E11,E13,E15,E17,E19,E23,E25,E27,E29,E21)</f>
        <v>11993976</v>
      </c>
      <c r="F5" s="118">
        <f>SUM(F7,F9,F11,F13,F15,F17,F19,F23,F25,F27,F29,F21)</f>
        <v>859037</v>
      </c>
      <c r="G5" s="118">
        <f>SUM(G7,G9,G11,G13,G15,G17,G19,G23,G25,G27,G29,G21)</f>
        <v>859037</v>
      </c>
      <c r="H5" s="118">
        <f>SUM(H7,H9,H13,H15,H17,H19,H23,H25,H27,H29,H21,H11)</f>
        <v>1109896</v>
      </c>
      <c r="I5" s="118">
        <f>SUM(I7,I9,I13,I15,I17,I19,I23,I25,I27,I29,I21,I11)</f>
        <v>1109896</v>
      </c>
      <c r="J5" s="108">
        <f t="shared" si="0"/>
        <v>250859</v>
      </c>
      <c r="K5" s="109">
        <f t="shared" si="1"/>
        <v>29.202351004671499</v>
      </c>
      <c r="L5" s="110">
        <f t="shared" si="2"/>
        <v>250859</v>
      </c>
      <c r="M5" s="122">
        <f t="shared" si="3"/>
        <v>29.202351004671499</v>
      </c>
    </row>
    <row r="6" spans="1:13" ht="21.2" customHeight="1">
      <c r="A6" s="223" t="s">
        <v>53</v>
      </c>
      <c r="B6" s="224"/>
      <c r="C6" s="224"/>
      <c r="D6" s="80" t="s">
        <v>47</v>
      </c>
      <c r="E6" s="119">
        <v>40012</v>
      </c>
      <c r="F6" s="119">
        <v>2290</v>
      </c>
      <c r="G6" s="119">
        <v>2290</v>
      </c>
      <c r="H6" s="119">
        <v>4063</v>
      </c>
      <c r="I6" s="119">
        <v>4063</v>
      </c>
      <c r="J6" s="111">
        <f t="shared" ref="J6:J18" si="4">H6-F6</f>
        <v>1773</v>
      </c>
      <c r="K6" s="112">
        <f t="shared" ref="K6:K17" si="5">(H6/F6*100)-100</f>
        <v>77.423580786026207</v>
      </c>
      <c r="L6" s="113">
        <f t="shared" si="2"/>
        <v>1773</v>
      </c>
      <c r="M6" s="123">
        <f t="shared" si="3"/>
        <v>77.423580786026207</v>
      </c>
    </row>
    <row r="7" spans="1:13" ht="21.2" customHeight="1">
      <c r="A7" s="223"/>
      <c r="B7" s="224"/>
      <c r="C7" s="224"/>
      <c r="D7" s="80" t="s">
        <v>48</v>
      </c>
      <c r="E7" s="119">
        <v>733864</v>
      </c>
      <c r="F7" s="119">
        <v>42461</v>
      </c>
      <c r="G7" s="119">
        <v>42461</v>
      </c>
      <c r="H7" s="119">
        <v>74305</v>
      </c>
      <c r="I7" s="119">
        <v>74305</v>
      </c>
      <c r="J7" s="111">
        <f t="shared" si="4"/>
        <v>31844</v>
      </c>
      <c r="K7" s="112">
        <f t="shared" si="5"/>
        <v>74.995878570923907</v>
      </c>
      <c r="L7" s="113">
        <f t="shared" si="2"/>
        <v>31844</v>
      </c>
      <c r="M7" s="123">
        <f t="shared" si="3"/>
        <v>74.995878570923907</v>
      </c>
    </row>
    <row r="8" spans="1:13" ht="21.2" customHeight="1">
      <c r="A8" s="223" t="s">
        <v>54</v>
      </c>
      <c r="B8" s="224"/>
      <c r="C8" s="224"/>
      <c r="D8" s="80" t="s">
        <v>47</v>
      </c>
      <c r="E8" s="119">
        <v>64529</v>
      </c>
      <c r="F8" s="119">
        <v>3979</v>
      </c>
      <c r="G8" s="119">
        <v>3979</v>
      </c>
      <c r="H8" s="119">
        <v>6340</v>
      </c>
      <c r="I8" s="119">
        <v>6340</v>
      </c>
      <c r="J8" s="111">
        <f t="shared" si="4"/>
        <v>2361</v>
      </c>
      <c r="K8" s="112">
        <f t="shared" si="5"/>
        <v>59.336516712741883</v>
      </c>
      <c r="L8" s="113">
        <f t="shared" si="2"/>
        <v>2361</v>
      </c>
      <c r="M8" s="123">
        <f t="shared" si="3"/>
        <v>59.336516712741883</v>
      </c>
    </row>
    <row r="9" spans="1:13" ht="21.2" customHeight="1">
      <c r="A9" s="223"/>
      <c r="B9" s="224"/>
      <c r="C9" s="224"/>
      <c r="D9" s="80" t="s">
        <v>48</v>
      </c>
      <c r="E9" s="119">
        <v>1014764</v>
      </c>
      <c r="F9" s="119">
        <v>61843</v>
      </c>
      <c r="G9" s="119">
        <v>61843</v>
      </c>
      <c r="H9" s="119">
        <v>96827</v>
      </c>
      <c r="I9" s="119">
        <v>96827</v>
      </c>
      <c r="J9" s="111">
        <f t="shared" si="4"/>
        <v>34984</v>
      </c>
      <c r="K9" s="112">
        <f t="shared" si="5"/>
        <v>56.569053894539394</v>
      </c>
      <c r="L9" s="113">
        <f t="shared" si="2"/>
        <v>34984</v>
      </c>
      <c r="M9" s="123">
        <f t="shared" si="3"/>
        <v>56.569053894539394</v>
      </c>
    </row>
    <row r="10" spans="1:13" ht="21.2" customHeight="1">
      <c r="A10" s="231" t="s">
        <v>66</v>
      </c>
      <c r="B10" s="232"/>
      <c r="C10" s="233"/>
      <c r="D10" s="80" t="s">
        <v>47</v>
      </c>
      <c r="E10" s="119">
        <v>11</v>
      </c>
      <c r="F10" s="158">
        <v>0</v>
      </c>
      <c r="G10" s="158">
        <v>0</v>
      </c>
      <c r="H10" s="158">
        <v>0</v>
      </c>
      <c r="I10" s="158">
        <v>0</v>
      </c>
      <c r="J10" s="111">
        <f t="shared" si="4"/>
        <v>0</v>
      </c>
      <c r="K10" s="112" t="e">
        <f t="shared" si="5"/>
        <v>#DIV/0!</v>
      </c>
      <c r="L10" s="113">
        <f t="shared" si="2"/>
        <v>0</v>
      </c>
      <c r="M10" s="123" t="e">
        <f t="shared" si="3"/>
        <v>#DIV/0!</v>
      </c>
    </row>
    <row r="11" spans="1:13" ht="21.2" customHeight="1">
      <c r="A11" s="234"/>
      <c r="B11" s="235"/>
      <c r="C11" s="236"/>
      <c r="D11" s="80" t="s">
        <v>65</v>
      </c>
      <c r="E11" s="158">
        <v>0</v>
      </c>
      <c r="F11" s="158">
        <v>0</v>
      </c>
      <c r="G11" s="158">
        <v>0</v>
      </c>
      <c r="H11" s="158">
        <v>0</v>
      </c>
      <c r="I11" s="158">
        <v>0</v>
      </c>
      <c r="J11" s="111">
        <f t="shared" si="4"/>
        <v>0</v>
      </c>
      <c r="K11" s="112" t="e">
        <f t="shared" si="5"/>
        <v>#DIV/0!</v>
      </c>
      <c r="L11" s="113">
        <f t="shared" si="2"/>
        <v>0</v>
      </c>
      <c r="M11" s="123" t="e">
        <f t="shared" si="3"/>
        <v>#DIV/0!</v>
      </c>
    </row>
    <row r="12" spans="1:13" ht="21.2" customHeight="1">
      <c r="A12" s="223" t="s">
        <v>55</v>
      </c>
      <c r="B12" s="224"/>
      <c r="C12" s="224"/>
      <c r="D12" s="80" t="s">
        <v>47</v>
      </c>
      <c r="E12" s="119">
        <v>94591</v>
      </c>
      <c r="F12" s="119">
        <v>5422</v>
      </c>
      <c r="G12" s="119">
        <v>5422</v>
      </c>
      <c r="H12" s="119">
        <v>7405</v>
      </c>
      <c r="I12" s="119">
        <v>7405</v>
      </c>
      <c r="J12" s="111">
        <f t="shared" si="4"/>
        <v>1983</v>
      </c>
      <c r="K12" s="112">
        <f t="shared" si="5"/>
        <v>36.573220213943216</v>
      </c>
      <c r="L12" s="113">
        <f t="shared" si="2"/>
        <v>1983</v>
      </c>
      <c r="M12" s="123">
        <f t="shared" si="3"/>
        <v>36.573220213943216</v>
      </c>
    </row>
    <row r="13" spans="1:13" ht="21.2" customHeight="1">
      <c r="A13" s="223"/>
      <c r="B13" s="224"/>
      <c r="C13" s="224"/>
      <c r="D13" s="80" t="s">
        <v>48</v>
      </c>
      <c r="E13" s="119">
        <v>1458673</v>
      </c>
      <c r="F13" s="119">
        <v>87792</v>
      </c>
      <c r="G13" s="119">
        <v>87792</v>
      </c>
      <c r="H13" s="119">
        <v>120730</v>
      </c>
      <c r="I13" s="119">
        <v>120730</v>
      </c>
      <c r="J13" s="111">
        <f t="shared" si="4"/>
        <v>32938</v>
      </c>
      <c r="K13" s="112">
        <f t="shared" si="5"/>
        <v>37.518224895206856</v>
      </c>
      <c r="L13" s="113">
        <f t="shared" si="2"/>
        <v>32938</v>
      </c>
      <c r="M13" s="123">
        <f t="shared" si="3"/>
        <v>37.518224895206856</v>
      </c>
    </row>
    <row r="14" spans="1:13" ht="21.2" customHeight="1">
      <c r="A14" s="223" t="s">
        <v>62</v>
      </c>
      <c r="B14" s="224"/>
      <c r="C14" s="224"/>
      <c r="D14" s="80" t="s">
        <v>47</v>
      </c>
      <c r="E14" s="119">
        <v>230422</v>
      </c>
      <c r="F14" s="119">
        <v>16411</v>
      </c>
      <c r="G14" s="119">
        <v>16411</v>
      </c>
      <c r="H14" s="119">
        <v>21952</v>
      </c>
      <c r="I14" s="119">
        <v>21952</v>
      </c>
      <c r="J14" s="111">
        <f t="shared" si="4"/>
        <v>5541</v>
      </c>
      <c r="K14" s="112">
        <f t="shared" si="5"/>
        <v>33.763938821522146</v>
      </c>
      <c r="L14" s="113">
        <f t="shared" si="2"/>
        <v>5541</v>
      </c>
      <c r="M14" s="123">
        <f t="shared" si="3"/>
        <v>33.763938821522146</v>
      </c>
    </row>
    <row r="15" spans="1:13" ht="21.2" customHeight="1">
      <c r="A15" s="223"/>
      <c r="B15" s="224"/>
      <c r="C15" s="224"/>
      <c r="D15" s="80" t="s">
        <v>48</v>
      </c>
      <c r="E15" s="119">
        <v>3151058</v>
      </c>
      <c r="F15" s="119">
        <v>216984</v>
      </c>
      <c r="G15" s="119">
        <v>216984</v>
      </c>
      <c r="H15" s="119">
        <v>297634</v>
      </c>
      <c r="I15" s="119">
        <v>297634</v>
      </c>
      <c r="J15" s="111">
        <f t="shared" si="4"/>
        <v>80650</v>
      </c>
      <c r="K15" s="112">
        <f t="shared" si="5"/>
        <v>37.168639162334557</v>
      </c>
      <c r="L15" s="113">
        <f t="shared" si="2"/>
        <v>80650</v>
      </c>
      <c r="M15" s="123">
        <f t="shared" si="3"/>
        <v>37.168639162334557</v>
      </c>
    </row>
    <row r="16" spans="1:13" ht="21.2" customHeight="1">
      <c r="A16" s="223" t="s">
        <v>56</v>
      </c>
      <c r="B16" s="224"/>
      <c r="C16" s="224"/>
      <c r="D16" s="80" t="s">
        <v>47</v>
      </c>
      <c r="E16" s="119">
        <v>142475</v>
      </c>
      <c r="F16" s="119">
        <v>14281</v>
      </c>
      <c r="G16" s="119">
        <v>14281</v>
      </c>
      <c r="H16" s="119">
        <v>10922</v>
      </c>
      <c r="I16" s="119">
        <v>10922</v>
      </c>
      <c r="J16" s="111">
        <f t="shared" si="4"/>
        <v>-3359</v>
      </c>
      <c r="K16" s="81">
        <f t="shared" si="5"/>
        <v>-23.520761851410967</v>
      </c>
      <c r="L16" s="82">
        <f t="shared" si="2"/>
        <v>-3359</v>
      </c>
      <c r="M16" s="124">
        <f t="shared" si="3"/>
        <v>-23.520761851410967</v>
      </c>
    </row>
    <row r="17" spans="1:13" ht="21.2" customHeight="1">
      <c r="A17" s="223"/>
      <c r="B17" s="224"/>
      <c r="C17" s="224"/>
      <c r="D17" s="80" t="s">
        <v>48</v>
      </c>
      <c r="E17" s="119">
        <v>2264820</v>
      </c>
      <c r="F17" s="119">
        <v>218977</v>
      </c>
      <c r="G17" s="119">
        <v>218977</v>
      </c>
      <c r="H17" s="119">
        <v>172256</v>
      </c>
      <c r="I17" s="119">
        <v>172256</v>
      </c>
      <c r="J17" s="111">
        <f t="shared" si="4"/>
        <v>-46721</v>
      </c>
      <c r="K17" s="81">
        <f t="shared" si="5"/>
        <v>-21.336030724687987</v>
      </c>
      <c r="L17" s="82">
        <f t="shared" si="2"/>
        <v>-46721</v>
      </c>
      <c r="M17" s="124">
        <f t="shared" si="3"/>
        <v>-21.336030724687987</v>
      </c>
    </row>
    <row r="18" spans="1:13" ht="21.2" customHeight="1">
      <c r="A18" s="239" t="s">
        <v>70</v>
      </c>
      <c r="B18" s="240"/>
      <c r="C18" s="240"/>
      <c r="D18" s="148" t="s">
        <v>47</v>
      </c>
      <c r="E18" s="147">
        <v>670</v>
      </c>
      <c r="F18" s="157">
        <v>0</v>
      </c>
      <c r="G18" s="157">
        <v>0</v>
      </c>
      <c r="H18" s="157">
        <v>0</v>
      </c>
      <c r="I18" s="157">
        <v>0</v>
      </c>
      <c r="J18" s="149">
        <f t="shared" si="4"/>
        <v>0</v>
      </c>
      <c r="K18" s="150" t="s">
        <v>68</v>
      </c>
      <c r="L18" s="151">
        <f t="shared" si="2"/>
        <v>0</v>
      </c>
      <c r="M18" s="152">
        <v>0</v>
      </c>
    </row>
    <row r="19" spans="1:13" ht="21.2" customHeight="1">
      <c r="A19" s="241"/>
      <c r="B19" s="242"/>
      <c r="C19" s="242"/>
      <c r="D19" s="153" t="s">
        <v>48</v>
      </c>
      <c r="E19" s="147">
        <v>6371</v>
      </c>
      <c r="F19" s="157">
        <v>0</v>
      </c>
      <c r="G19" s="157">
        <v>0</v>
      </c>
      <c r="H19" s="157">
        <v>0</v>
      </c>
      <c r="I19" s="157">
        <v>0</v>
      </c>
      <c r="J19" s="149">
        <f t="shared" si="0"/>
        <v>0</v>
      </c>
      <c r="K19" s="154" t="s">
        <v>68</v>
      </c>
      <c r="L19" s="155">
        <f t="shared" si="2"/>
        <v>0</v>
      </c>
      <c r="M19" s="156">
        <v>0</v>
      </c>
    </row>
    <row r="20" spans="1:13" ht="21.2" customHeight="1">
      <c r="A20" s="231" t="s">
        <v>63</v>
      </c>
      <c r="B20" s="232"/>
      <c r="C20" s="233"/>
      <c r="D20" s="83" t="s">
        <v>64</v>
      </c>
      <c r="E20" s="119">
        <v>112</v>
      </c>
      <c r="F20" s="157">
        <v>0</v>
      </c>
      <c r="G20" s="157">
        <v>0</v>
      </c>
      <c r="H20" s="157">
        <v>0</v>
      </c>
      <c r="I20" s="157">
        <v>0</v>
      </c>
      <c r="J20" s="111">
        <f t="shared" si="0"/>
        <v>0</v>
      </c>
      <c r="K20" s="140" t="s">
        <v>68</v>
      </c>
      <c r="L20" s="115">
        <f t="shared" si="2"/>
        <v>0</v>
      </c>
      <c r="M20" s="125" t="e">
        <f t="shared" si="3"/>
        <v>#DIV/0!</v>
      </c>
    </row>
    <row r="21" spans="1:13" ht="21.2" customHeight="1">
      <c r="A21" s="234"/>
      <c r="B21" s="235"/>
      <c r="C21" s="236"/>
      <c r="D21" s="83" t="s">
        <v>65</v>
      </c>
      <c r="E21" s="119">
        <v>776</v>
      </c>
      <c r="F21" s="157">
        <v>0</v>
      </c>
      <c r="G21" s="157">
        <v>0</v>
      </c>
      <c r="H21" s="157">
        <v>0</v>
      </c>
      <c r="I21" s="157">
        <v>0</v>
      </c>
      <c r="J21" s="111">
        <f t="shared" si="0"/>
        <v>0</v>
      </c>
      <c r="K21" s="140" t="s">
        <v>68</v>
      </c>
      <c r="L21" s="115">
        <f t="shared" si="2"/>
        <v>0</v>
      </c>
      <c r="M21" s="125" t="e">
        <f t="shared" si="3"/>
        <v>#DIV/0!</v>
      </c>
    </row>
    <row r="22" spans="1:13" ht="21.2" customHeight="1">
      <c r="A22" s="223" t="s">
        <v>58</v>
      </c>
      <c r="B22" s="224"/>
      <c r="C22" s="224"/>
      <c r="D22" s="80" t="s">
        <v>47</v>
      </c>
      <c r="E22" s="119">
        <v>544</v>
      </c>
      <c r="F22" s="158">
        <v>52</v>
      </c>
      <c r="G22" s="119">
        <v>52</v>
      </c>
      <c r="H22" s="158">
        <v>0</v>
      </c>
      <c r="I22" s="158">
        <v>0</v>
      </c>
      <c r="J22" s="111">
        <f t="shared" si="0"/>
        <v>-52</v>
      </c>
      <c r="K22" s="112">
        <f t="shared" si="1"/>
        <v>-100</v>
      </c>
      <c r="L22" s="113">
        <f t="shared" si="2"/>
        <v>-52</v>
      </c>
      <c r="M22" s="123">
        <f t="shared" si="3"/>
        <v>-100</v>
      </c>
    </row>
    <row r="23" spans="1:13" ht="21.2" customHeight="1">
      <c r="A23" s="243"/>
      <c r="B23" s="244"/>
      <c r="C23" s="244"/>
      <c r="D23" s="83" t="s">
        <v>48</v>
      </c>
      <c r="E23" s="119">
        <v>4339</v>
      </c>
      <c r="F23" s="158">
        <v>428</v>
      </c>
      <c r="G23" s="119">
        <v>428</v>
      </c>
      <c r="H23" s="158">
        <v>0</v>
      </c>
      <c r="I23" s="158">
        <v>0</v>
      </c>
      <c r="J23" s="111">
        <f t="shared" si="0"/>
        <v>-428</v>
      </c>
      <c r="K23" s="114">
        <f t="shared" si="1"/>
        <v>-100</v>
      </c>
      <c r="L23" s="115">
        <f t="shared" si="2"/>
        <v>-428</v>
      </c>
      <c r="M23" s="125">
        <f t="shared" si="3"/>
        <v>-100</v>
      </c>
    </row>
    <row r="24" spans="1:13" ht="21.2" customHeight="1">
      <c r="A24" s="223" t="s">
        <v>59</v>
      </c>
      <c r="B24" s="224"/>
      <c r="C24" s="224"/>
      <c r="D24" s="80" t="s">
        <v>47</v>
      </c>
      <c r="E24" s="119">
        <v>75409</v>
      </c>
      <c r="F24" s="119">
        <v>5281</v>
      </c>
      <c r="G24" s="119">
        <v>5281</v>
      </c>
      <c r="H24" s="119">
        <v>7216</v>
      </c>
      <c r="I24" s="119">
        <v>7216</v>
      </c>
      <c r="J24" s="111">
        <f t="shared" si="0"/>
        <v>1935</v>
      </c>
      <c r="K24" s="112">
        <f t="shared" si="1"/>
        <v>36.640787729596667</v>
      </c>
      <c r="L24" s="113">
        <f t="shared" si="2"/>
        <v>1935</v>
      </c>
      <c r="M24" s="123">
        <f t="shared" si="3"/>
        <v>36.640787729596667</v>
      </c>
    </row>
    <row r="25" spans="1:13" ht="21.2" customHeight="1">
      <c r="A25" s="223"/>
      <c r="B25" s="224"/>
      <c r="C25" s="224"/>
      <c r="D25" s="80" t="s">
        <v>48</v>
      </c>
      <c r="E25" s="119">
        <v>1215186</v>
      </c>
      <c r="F25" s="119">
        <v>86417</v>
      </c>
      <c r="G25" s="119">
        <v>86417</v>
      </c>
      <c r="H25" s="119">
        <v>124425</v>
      </c>
      <c r="I25" s="119">
        <v>124425</v>
      </c>
      <c r="J25" s="111">
        <f t="shared" si="0"/>
        <v>38008</v>
      </c>
      <c r="K25" s="112">
        <f t="shared" si="1"/>
        <v>43.982086857909906</v>
      </c>
      <c r="L25" s="113">
        <f t="shared" si="2"/>
        <v>38008</v>
      </c>
      <c r="M25" s="123">
        <f t="shared" si="3"/>
        <v>43.982086857909906</v>
      </c>
    </row>
    <row r="26" spans="1:13" ht="21.2" customHeight="1">
      <c r="A26" s="223" t="s">
        <v>60</v>
      </c>
      <c r="B26" s="224"/>
      <c r="C26" s="224"/>
      <c r="D26" s="85" t="s">
        <v>47</v>
      </c>
      <c r="E26" s="120">
        <v>105261</v>
      </c>
      <c r="F26" s="120">
        <v>8520</v>
      </c>
      <c r="G26" s="120">
        <v>8520</v>
      </c>
      <c r="H26" s="120">
        <v>8981</v>
      </c>
      <c r="I26" s="120">
        <v>8981</v>
      </c>
      <c r="J26" s="111">
        <f t="shared" si="0"/>
        <v>461</v>
      </c>
      <c r="K26" s="116">
        <f t="shared" si="1"/>
        <v>5.410798122065728</v>
      </c>
      <c r="L26" s="117">
        <f t="shared" si="2"/>
        <v>461</v>
      </c>
      <c r="M26" s="126">
        <f t="shared" si="3"/>
        <v>5.410798122065728</v>
      </c>
    </row>
    <row r="27" spans="1:13" ht="21.2" customHeight="1">
      <c r="A27" s="223"/>
      <c r="B27" s="224"/>
      <c r="C27" s="224"/>
      <c r="D27" s="83" t="s">
        <v>48</v>
      </c>
      <c r="E27" s="129">
        <v>1550056</v>
      </c>
      <c r="F27" s="129">
        <v>114961</v>
      </c>
      <c r="G27" s="129">
        <v>114961</v>
      </c>
      <c r="H27" s="129">
        <v>135324</v>
      </c>
      <c r="I27" s="129">
        <v>135324</v>
      </c>
      <c r="J27" s="130">
        <f t="shared" si="0"/>
        <v>20363</v>
      </c>
      <c r="K27" s="114">
        <f t="shared" si="1"/>
        <v>17.712963526761243</v>
      </c>
      <c r="L27" s="115">
        <f t="shared" si="2"/>
        <v>20363</v>
      </c>
      <c r="M27" s="125">
        <f t="shared" si="3"/>
        <v>17.712963526761243</v>
      </c>
    </row>
    <row r="28" spans="1:13" ht="21.2" customHeight="1">
      <c r="A28" s="223" t="s">
        <v>61</v>
      </c>
      <c r="B28" s="224"/>
      <c r="C28" s="224"/>
      <c r="D28" s="80" t="s">
        <v>47</v>
      </c>
      <c r="E28" s="119">
        <v>38607</v>
      </c>
      <c r="F28" s="119">
        <v>1801</v>
      </c>
      <c r="G28" s="119">
        <v>1801</v>
      </c>
      <c r="H28" s="119">
        <v>5663</v>
      </c>
      <c r="I28" s="119">
        <v>5663</v>
      </c>
      <c r="J28" s="111">
        <f>H28-F28</f>
        <v>3862</v>
      </c>
      <c r="K28" s="136" t="s">
        <v>67</v>
      </c>
      <c r="L28" s="113">
        <f>I28-G28</f>
        <v>3862</v>
      </c>
      <c r="M28" s="138" t="s">
        <v>67</v>
      </c>
    </row>
    <row r="29" spans="1:13" ht="21.2" customHeight="1" thickBot="1">
      <c r="A29" s="237"/>
      <c r="B29" s="238"/>
      <c r="C29" s="238"/>
      <c r="D29" s="131" t="s">
        <v>48</v>
      </c>
      <c r="E29" s="132">
        <v>594069</v>
      </c>
      <c r="F29" s="132">
        <v>29174</v>
      </c>
      <c r="G29" s="132">
        <v>29174</v>
      </c>
      <c r="H29" s="132">
        <v>88395</v>
      </c>
      <c r="I29" s="132">
        <v>88395</v>
      </c>
      <c r="J29" s="133">
        <f>H29-F29</f>
        <v>59221</v>
      </c>
      <c r="K29" s="137" t="s">
        <v>67</v>
      </c>
      <c r="L29" s="134">
        <f>I29-G29</f>
        <v>59221</v>
      </c>
      <c r="M29" s="139" t="s">
        <v>67</v>
      </c>
    </row>
    <row r="30" spans="1:13" ht="14.25" thickTop="1"/>
  </sheetData>
  <mergeCells count="18">
    <mergeCell ref="A10:C11"/>
    <mergeCell ref="A28:C29"/>
    <mergeCell ref="A24:C25"/>
    <mergeCell ref="A26:C27"/>
    <mergeCell ref="A18:C19"/>
    <mergeCell ref="A12:C13"/>
    <mergeCell ref="A14:C15"/>
    <mergeCell ref="A16:C17"/>
    <mergeCell ref="A22:C23"/>
    <mergeCell ref="A20:C21"/>
    <mergeCell ref="J2:M2"/>
    <mergeCell ref="A4:C5"/>
    <mergeCell ref="A6:C7"/>
    <mergeCell ref="A8:C9"/>
    <mergeCell ref="A2:C3"/>
    <mergeCell ref="D2:D3"/>
    <mergeCell ref="F2:G2"/>
    <mergeCell ref="H2:I2"/>
  </mergeCells>
  <phoneticPr fontId="21" type="noConversion"/>
  <pageMargins left="0.74803149606299213" right="0.70866141732283472" top="0.98425196850393704" bottom="0.39370078740157483" header="0.27559055118110237" footer="0.27559055118110237"/>
  <pageSetup paperSize="9" scale="6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2</vt:i4>
      </vt:variant>
    </vt:vector>
  </HeadingPairs>
  <TitlesOfParts>
    <vt:vector size="5" baseType="lpstr">
      <vt:lpstr>통계요약</vt:lpstr>
      <vt:lpstr>연도별 수송실적</vt:lpstr>
      <vt:lpstr>컨테이너 재게</vt:lpstr>
      <vt:lpstr>'연도별 수송실적'!Print_Area</vt:lpstr>
      <vt:lpstr>통계요약!Print_Area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항만청</dc:creator>
  <cp:lastModifiedBy>MOF</cp:lastModifiedBy>
  <cp:lastPrinted>2019-05-27T01:43:03Z</cp:lastPrinted>
  <dcterms:created xsi:type="dcterms:W3CDTF">1998-03-31T03:01:22Z</dcterms:created>
  <dcterms:modified xsi:type="dcterms:W3CDTF">2021-02-24T05:47:21Z</dcterms:modified>
</cp:coreProperties>
</file>