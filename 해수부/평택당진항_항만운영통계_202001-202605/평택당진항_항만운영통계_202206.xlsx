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45" yWindow="1950" windowWidth="22605" windowHeight="1029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(6월)" sheetId="32" r:id="rId4"/>
    <sheet name="컨테이너 재게(5월)" sheetId="35" r:id="rId5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L35" i="35" l="1"/>
  <c r="J35" i="35"/>
  <c r="L34" i="35"/>
  <c r="J34" i="35"/>
  <c r="M33" i="35"/>
  <c r="L33" i="35"/>
  <c r="K33" i="35"/>
  <c r="J33" i="35"/>
  <c r="M32" i="35"/>
  <c r="L32" i="35"/>
  <c r="K32" i="35"/>
  <c r="J32" i="35"/>
  <c r="M31" i="35"/>
  <c r="L31" i="35"/>
  <c r="K31" i="35"/>
  <c r="J31" i="35"/>
  <c r="M30" i="35"/>
  <c r="L30" i="35"/>
  <c r="K30" i="35"/>
  <c r="J30" i="35"/>
  <c r="M29" i="35"/>
  <c r="L29" i="35"/>
  <c r="K29" i="35"/>
  <c r="J29" i="35"/>
  <c r="M28" i="35"/>
  <c r="L28" i="35"/>
  <c r="K28" i="35"/>
  <c r="J28" i="35"/>
  <c r="M27" i="35"/>
  <c r="L27" i="35"/>
  <c r="K27" i="35"/>
  <c r="J27" i="35"/>
  <c r="M26" i="35"/>
  <c r="L26" i="35"/>
  <c r="K26" i="35"/>
  <c r="J26" i="35"/>
  <c r="L25" i="35"/>
  <c r="J25" i="35"/>
  <c r="L24" i="35"/>
  <c r="J24" i="35"/>
  <c r="L23" i="35"/>
  <c r="J23" i="35"/>
  <c r="L22" i="35"/>
  <c r="J22" i="35"/>
  <c r="L21" i="35"/>
  <c r="J21" i="35"/>
  <c r="L20" i="35"/>
  <c r="J20" i="35"/>
  <c r="M19" i="35"/>
  <c r="L19" i="35"/>
  <c r="K19" i="35"/>
  <c r="J19" i="35"/>
  <c r="M18" i="35"/>
  <c r="L18" i="35"/>
  <c r="K18" i="35"/>
  <c r="J18" i="35"/>
  <c r="M17" i="35"/>
  <c r="L17" i="35"/>
  <c r="K17" i="35"/>
  <c r="J17" i="35"/>
  <c r="M16" i="35"/>
  <c r="L16" i="35"/>
  <c r="K16" i="35"/>
  <c r="J16" i="35"/>
  <c r="M15" i="35"/>
  <c r="L15" i="35"/>
  <c r="K15" i="35"/>
  <c r="J15" i="35"/>
  <c r="M14" i="35"/>
  <c r="L14" i="35"/>
  <c r="K14" i="35"/>
  <c r="J14" i="35"/>
  <c r="L13" i="35"/>
  <c r="J13" i="35"/>
  <c r="L12" i="35"/>
  <c r="J12" i="35"/>
  <c r="L11" i="35"/>
  <c r="J11" i="35"/>
  <c r="L10" i="35"/>
  <c r="J10" i="35"/>
  <c r="M9" i="35"/>
  <c r="L9" i="35"/>
  <c r="K9" i="35"/>
  <c r="J9" i="35"/>
  <c r="M8" i="35"/>
  <c r="L8" i="35"/>
  <c r="K8" i="35"/>
  <c r="J8" i="35"/>
  <c r="M7" i="35"/>
  <c r="L7" i="35"/>
  <c r="K7" i="35"/>
  <c r="J7" i="35"/>
  <c r="M6" i="35"/>
  <c r="L6" i="35"/>
  <c r="K6" i="35"/>
  <c r="J6" i="35"/>
  <c r="I5" i="35"/>
  <c r="H5" i="35"/>
  <c r="G5" i="35"/>
  <c r="F5" i="35"/>
  <c r="E5" i="35"/>
  <c r="I4" i="35"/>
  <c r="H4" i="35"/>
  <c r="G4" i="35"/>
  <c r="F4" i="35"/>
  <c r="E4" i="35"/>
  <c r="M4" i="35" l="1"/>
  <c r="J4" i="35"/>
  <c r="J5" i="35"/>
  <c r="K4" i="35"/>
  <c r="K5" i="35"/>
  <c r="L4" i="35"/>
  <c r="M5" i="35"/>
  <c r="L5" i="35"/>
  <c r="M26" i="32"/>
  <c r="M27" i="32"/>
  <c r="K26" i="32"/>
  <c r="K27" i="32"/>
  <c r="E4" i="32"/>
  <c r="I5" i="32" l="1"/>
  <c r="H5" i="32"/>
  <c r="I4" i="32"/>
  <c r="H4" i="32"/>
  <c r="G5" i="32"/>
  <c r="G4" i="32"/>
  <c r="F5" i="32"/>
  <c r="F4" i="32"/>
  <c r="L35" i="32"/>
  <c r="J35" i="32"/>
  <c r="L34" i="32"/>
  <c r="J34" i="32"/>
  <c r="J28" i="21" l="1"/>
  <c r="M33" i="32" l="1"/>
  <c r="H11" i="21" l="1"/>
  <c r="I15" i="21" l="1"/>
  <c r="I11" i="21"/>
  <c r="H15" i="21"/>
  <c r="H10" i="21" s="1"/>
  <c r="I10" i="21" l="1"/>
  <c r="N4" i="33" s="1"/>
  <c r="F15" i="21"/>
  <c r="F11" i="21"/>
  <c r="G15" i="21"/>
  <c r="G11" i="21"/>
  <c r="F10" i="21" l="1"/>
  <c r="G10" i="21"/>
  <c r="K9" i="32"/>
  <c r="K8" i="32"/>
  <c r="K6" i="32"/>
  <c r="J15" i="32"/>
  <c r="J16" i="32"/>
  <c r="J17" i="32"/>
  <c r="J18" i="32"/>
  <c r="J19" i="32"/>
  <c r="J14" i="32"/>
  <c r="J8" i="32"/>
  <c r="J6" i="32"/>
  <c r="J17" i="21" l="1"/>
  <c r="M32" i="32" l="1"/>
  <c r="L19" i="32"/>
  <c r="L20" i="32"/>
  <c r="L21" i="32"/>
  <c r="L22" i="32"/>
  <c r="L23" i="32"/>
  <c r="L11" i="32"/>
  <c r="L12" i="32"/>
  <c r="L13" i="32"/>
  <c r="L14" i="32"/>
  <c r="L15" i="32"/>
  <c r="L16" i="32"/>
  <c r="L17" i="32"/>
  <c r="L18" i="32"/>
  <c r="K14" i="32"/>
  <c r="K15" i="32"/>
  <c r="K16" i="32"/>
  <c r="K17" i="32"/>
  <c r="K18" i="32"/>
  <c r="K19" i="32"/>
  <c r="J22" i="32"/>
  <c r="J23" i="32"/>
  <c r="J24" i="32"/>
  <c r="J25" i="32"/>
  <c r="J26" i="32"/>
  <c r="J27" i="32"/>
  <c r="J28" i="32"/>
  <c r="J29" i="32"/>
  <c r="J11" i="32"/>
  <c r="J10" i="32"/>
  <c r="L10" i="32"/>
  <c r="E5" i="32" l="1"/>
  <c r="E15" i="21" l="1"/>
  <c r="E11" i="21"/>
  <c r="E10" i="21" l="1"/>
  <c r="H21" i="21"/>
  <c r="M8" i="32" l="1"/>
  <c r="L8" i="32"/>
  <c r="M6" i="32"/>
  <c r="L6" i="32"/>
  <c r="M14" i="32" l="1"/>
  <c r="K33" i="32"/>
  <c r="K32" i="32"/>
  <c r="G21" i="21" l="1"/>
  <c r="L11" i="21"/>
  <c r="G7" i="21" l="1"/>
  <c r="F3" i="32" l="1"/>
  <c r="I7" i="21" l="1"/>
  <c r="G4" i="33" s="1"/>
  <c r="H7" i="21" l="1"/>
  <c r="AA7" i="33" l="1"/>
  <c r="N6" i="33"/>
  <c r="G6" i="33"/>
  <c r="N3" i="33"/>
  <c r="I3" i="32" l="1"/>
  <c r="H3" i="32"/>
  <c r="G3" i="32"/>
  <c r="E7" i="21" l="1"/>
  <c r="L28" i="21" l="1"/>
  <c r="K28" i="21"/>
  <c r="L26" i="21"/>
  <c r="L27" i="21"/>
  <c r="L18" i="21"/>
  <c r="J11" i="21" l="1"/>
  <c r="J22" i="21" l="1"/>
  <c r="J23" i="21"/>
  <c r="J24" i="21"/>
  <c r="J26" i="21"/>
  <c r="J27" i="21"/>
  <c r="J16" i="21"/>
  <c r="J12" i="21"/>
  <c r="J13" i="21"/>
  <c r="J14" i="21"/>
  <c r="L25" i="32" l="1"/>
  <c r="I25" i="21"/>
  <c r="I21" i="21"/>
  <c r="E25" i="21" l="1"/>
  <c r="E21" i="21"/>
  <c r="E20" i="21" l="1"/>
  <c r="J13" i="32" l="1"/>
  <c r="J12" i="32"/>
  <c r="L24" i="32"/>
  <c r="F21" i="21" l="1"/>
  <c r="F7" i="21"/>
  <c r="F25" i="21" l="1"/>
  <c r="J25" i="21" s="1"/>
  <c r="G25" i="21"/>
  <c r="G20" i="21" s="1"/>
  <c r="L25" i="21" l="1"/>
  <c r="K14" i="21"/>
  <c r="M17" i="32" l="1"/>
  <c r="M24" i="21"/>
  <c r="M18" i="32"/>
  <c r="M19" i="32"/>
  <c r="M28" i="32"/>
  <c r="M29" i="32"/>
  <c r="M30" i="32"/>
  <c r="M31" i="32"/>
  <c r="K28" i="32"/>
  <c r="K29" i="32"/>
  <c r="K30" i="32"/>
  <c r="K31" i="32"/>
  <c r="L33" i="32"/>
  <c r="J33" i="32"/>
  <c r="L32" i="32"/>
  <c r="J32" i="32"/>
  <c r="J7" i="32"/>
  <c r="K7" i="32"/>
  <c r="L7" i="32"/>
  <c r="M7" i="32"/>
  <c r="J9" i="32"/>
  <c r="L9" i="32"/>
  <c r="M9" i="32"/>
  <c r="M15" i="32"/>
  <c r="J20" i="32"/>
  <c r="J21" i="32"/>
  <c r="L26" i="32"/>
  <c r="L27" i="32"/>
  <c r="L28" i="32"/>
  <c r="L29" i="32"/>
  <c r="J30" i="32"/>
  <c r="L30" i="32"/>
  <c r="J31" i="32"/>
  <c r="L31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6" i="32"/>
  <c r="I20" i="21" l="1"/>
  <c r="G7" i="33" s="1"/>
  <c r="H20" i="21"/>
  <c r="J15" i="21"/>
  <c r="M5" i="32"/>
  <c r="J4" i="32"/>
  <c r="M11" i="21"/>
  <c r="K15" i="21"/>
  <c r="L4" i="32"/>
  <c r="M21" i="21"/>
  <c r="K21" i="21"/>
  <c r="F20" i="21"/>
  <c r="L21" i="21"/>
  <c r="J21" i="21"/>
  <c r="L15" i="21"/>
  <c r="K11" i="21"/>
  <c r="M15" i="21"/>
  <c r="M7" i="21"/>
  <c r="L7" i="21"/>
  <c r="J7" i="21"/>
  <c r="K7" i="21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<sst xmlns="http://schemas.openxmlformats.org/spreadsheetml/2006/main" count="255" uniqueCount="111">
  <si>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</si>
  <si>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</si>
  <si>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</si>
  <si>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</si>
  <si>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</si>
  <si>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</si>
  <si>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</si>
  <si>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7" type="noConversion"/>
  </si>
  <si>
    <t xml:space="preserve"> 합  계</t>
    <phoneticPr fontId="7" type="noConversion"/>
  </si>
  <si>
    <t xml:space="preserve"> 외  항</t>
    <phoneticPr fontId="7" type="noConversion"/>
  </si>
  <si>
    <t xml:space="preserve"> 내  항</t>
    <phoneticPr fontId="7" type="noConversion"/>
  </si>
  <si>
    <t>연간누계</t>
    <phoneticPr fontId="7" type="noConversion"/>
  </si>
  <si>
    <t>계</t>
    <phoneticPr fontId="7" type="noConversion"/>
  </si>
  <si>
    <t>환적</t>
    <phoneticPr fontId="7" type="noConversion"/>
  </si>
  <si>
    <t>수출</t>
    <phoneticPr fontId="7" type="noConversion"/>
  </si>
  <si>
    <t>전년동기대비</t>
    <phoneticPr fontId="7" type="noConversion"/>
  </si>
  <si>
    <t>(%)</t>
    <phoneticPr fontId="7" type="noConversion"/>
  </si>
  <si>
    <t>환적</t>
    <phoneticPr fontId="7" type="noConversion"/>
  </si>
  <si>
    <t>D-B</t>
    <phoneticPr fontId="7" type="noConversion"/>
  </si>
  <si>
    <t>컨테</t>
    <phoneticPr fontId="7" type="noConversion"/>
  </si>
  <si>
    <t>이너</t>
    <phoneticPr fontId="7" type="noConversion"/>
  </si>
  <si>
    <t>선박</t>
    <phoneticPr fontId="7" type="noConversion"/>
  </si>
  <si>
    <t>화물</t>
    <phoneticPr fontId="7" type="noConversion"/>
  </si>
  <si>
    <t>(단위:TEU, 100% 기준)</t>
    <phoneticPr fontId="7" type="noConversion"/>
  </si>
  <si>
    <t>(화물)</t>
    <phoneticPr fontId="7" type="noConversion"/>
  </si>
  <si>
    <t xml:space="preserve">   (컨테이너)</t>
    <phoneticPr fontId="7" type="noConversion"/>
  </si>
  <si>
    <t>(평택·당진항)</t>
    <phoneticPr fontId="7" type="noConversion"/>
  </si>
  <si>
    <t xml:space="preserve">  □ 전년 동기대비 비교표</t>
    <phoneticPr fontId="7" type="noConversion"/>
  </si>
  <si>
    <t>■ 연도별 수송실적</t>
    <phoneticPr fontId="23" type="noConversion"/>
  </si>
  <si>
    <t>(단위 : 천톤)</t>
    <phoneticPr fontId="7" type="noConversion"/>
  </si>
  <si>
    <t xml:space="preserve">구분 </t>
    <phoneticPr fontId="7" type="noConversion"/>
  </si>
  <si>
    <t>선박입출항</t>
    <phoneticPr fontId="7" type="noConversion"/>
  </si>
  <si>
    <t>화물입출항</t>
    <phoneticPr fontId="7" type="noConversion"/>
  </si>
  <si>
    <t>(단위 : TEU)</t>
    <phoneticPr fontId="7" type="noConversion"/>
  </si>
  <si>
    <t>(단위 : 명)</t>
    <phoneticPr fontId="7" type="noConversion"/>
  </si>
  <si>
    <t>컨테이너</t>
    <phoneticPr fontId="7" type="noConversion"/>
  </si>
  <si>
    <t>여    객</t>
    <phoneticPr fontId="7" type="noConversion"/>
  </si>
  <si>
    <t xml:space="preserve">  □ 연도별 추이 </t>
  </si>
  <si>
    <t>□ 부두별 컨테이너 물동량</t>
    <phoneticPr fontId="7" type="noConversion"/>
  </si>
  <si>
    <t>구     분</t>
    <phoneticPr fontId="7" type="noConversion"/>
  </si>
  <si>
    <t>단위</t>
    <phoneticPr fontId="23" type="noConversion"/>
  </si>
  <si>
    <t>전년동기대비</t>
    <phoneticPr fontId="7" type="noConversion"/>
  </si>
  <si>
    <t>연간누계</t>
    <phoneticPr fontId="7" type="noConversion"/>
  </si>
  <si>
    <t>C-A</t>
    <phoneticPr fontId="7" type="noConversion"/>
  </si>
  <si>
    <t>(%)</t>
    <phoneticPr fontId="7" type="noConversion"/>
  </si>
  <si>
    <t>D-B</t>
    <phoneticPr fontId="7" type="noConversion"/>
  </si>
  <si>
    <t>합  계</t>
    <phoneticPr fontId="7" type="noConversion"/>
  </si>
  <si>
    <t>TEU</t>
    <phoneticPr fontId="23" type="noConversion"/>
  </si>
  <si>
    <t>톤</t>
    <phoneticPr fontId="23" type="noConversion"/>
  </si>
  <si>
    <t>선박입항 및 화물수송</t>
    <phoneticPr fontId="7" type="noConversion"/>
  </si>
  <si>
    <t xml:space="preserve">     (여객)</t>
    <phoneticPr fontId="7" type="noConversion"/>
  </si>
  <si>
    <t xml:space="preserve">     (화물입출항)</t>
    <phoneticPr fontId="7" type="noConversion"/>
  </si>
  <si>
    <t xml:space="preserve">   (선박입출항)</t>
    <phoneticPr fontId="7" type="noConversion"/>
  </si>
  <si>
    <t>국제여객부두1번</t>
  </si>
  <si>
    <t>국제여객부두2번</t>
  </si>
  <si>
    <t>동부두 6</t>
    <phoneticPr fontId="23" type="noConversion"/>
  </si>
  <si>
    <t>동부두 8</t>
    <phoneticPr fontId="23" type="noConversion"/>
  </si>
  <si>
    <t>C-A</t>
    <phoneticPr fontId="7" type="noConversion"/>
  </si>
  <si>
    <t>동부두 12</t>
    <phoneticPr fontId="23" type="noConversion"/>
  </si>
  <si>
    <t>동부두 14</t>
    <phoneticPr fontId="23" type="noConversion"/>
  </si>
  <si>
    <t>동부두 15</t>
    <phoneticPr fontId="23" type="noConversion"/>
  </si>
  <si>
    <t>동부두 16</t>
    <phoneticPr fontId="23" type="noConversion"/>
  </si>
  <si>
    <t>동부두 7</t>
    <phoneticPr fontId="23" type="noConversion"/>
  </si>
  <si>
    <t>동부두 11</t>
    <phoneticPr fontId="23" type="noConversion"/>
  </si>
  <si>
    <t>TEU</t>
    <phoneticPr fontId="23" type="noConversion"/>
  </si>
  <si>
    <t>톤</t>
    <phoneticPr fontId="23" type="noConversion"/>
  </si>
  <si>
    <t>동부두 5</t>
    <phoneticPr fontId="23" type="noConversion"/>
  </si>
  <si>
    <t>자동차(대)</t>
    <phoneticPr fontId="7" type="noConversion"/>
  </si>
  <si>
    <t>동부두 9</t>
    <phoneticPr fontId="23" type="noConversion"/>
  </si>
  <si>
    <t>소계</t>
    <phoneticPr fontId="7" type="noConversion"/>
  </si>
  <si>
    <t>(단위 : 척)</t>
    <phoneticPr fontId="7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</si>
  <si>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7" type="noConversion"/>
  </si>
  <si>
    <t>2021년도</t>
    <phoneticPr fontId="7" type="noConversion"/>
  </si>
  <si>
    <t>국제여객부두 1번선석</t>
  </si>
  <si>
    <t>국제여객부두 2번선석</t>
    <phoneticPr fontId="23" type="noConversion"/>
  </si>
  <si>
    <t>동부두 5번선석</t>
    <phoneticPr fontId="23" type="noConversion"/>
  </si>
  <si>
    <t>동부두 6번선석</t>
    <phoneticPr fontId="23" type="noConversion"/>
  </si>
  <si>
    <t>동부두 6번선석</t>
    <phoneticPr fontId="23" type="noConversion"/>
  </si>
  <si>
    <t>동부두 7번선석</t>
    <phoneticPr fontId="23" type="noConversion"/>
  </si>
  <si>
    <t>동부두 7번선석</t>
    <phoneticPr fontId="23" type="noConversion"/>
  </si>
  <si>
    <t>동부두 8번선석</t>
    <phoneticPr fontId="23" type="noConversion"/>
  </si>
  <si>
    <t>동부두 8번선석</t>
    <phoneticPr fontId="23" type="noConversion"/>
  </si>
  <si>
    <t>동부두 9번선석</t>
    <phoneticPr fontId="23" type="noConversion"/>
  </si>
  <si>
    <t>동부두 9번선석</t>
    <phoneticPr fontId="23" type="noConversion"/>
  </si>
  <si>
    <t>동부두 11번선석</t>
    <phoneticPr fontId="23" type="noConversion"/>
  </si>
  <si>
    <t>동부두 12번선석</t>
    <phoneticPr fontId="23" type="noConversion"/>
  </si>
  <si>
    <t>동부두 12번선석</t>
    <phoneticPr fontId="23" type="noConversion"/>
  </si>
  <si>
    <t>동부두 14번선석</t>
    <phoneticPr fontId="23" type="noConversion"/>
  </si>
  <si>
    <t>동부두 14번선석</t>
    <phoneticPr fontId="23" type="noConversion"/>
  </si>
  <si>
    <t>동부두 15번선석</t>
    <phoneticPr fontId="23" type="noConversion"/>
  </si>
  <si>
    <t>동부두 15번선석</t>
    <phoneticPr fontId="23" type="noConversion"/>
  </si>
  <si>
    <t>동부두 16번선석</t>
    <phoneticPr fontId="23" type="noConversion"/>
  </si>
  <si>
    <t>동부두 16번선석</t>
    <phoneticPr fontId="23" type="noConversion"/>
  </si>
  <si>
    <t>동부두 10</t>
    <phoneticPr fontId="23" type="noConversion"/>
  </si>
  <si>
    <t>동부두 1</t>
    <phoneticPr fontId="23" type="noConversion"/>
  </si>
  <si>
    <t>동부두 1번선석</t>
    <phoneticPr fontId="23" type="noConversion"/>
  </si>
  <si>
    <t>동부두 10번선석</t>
    <phoneticPr fontId="23" type="noConversion"/>
  </si>
  <si>
    <t>2022년도</t>
    <phoneticPr fontId="7" type="noConversion"/>
  </si>
  <si>
    <t>순증</t>
    <phoneticPr fontId="7" type="noConversion"/>
  </si>
  <si>
    <t>순증</t>
    <phoneticPr fontId="23" type="noConversion"/>
  </si>
  <si>
    <t>고대부두 8</t>
    <phoneticPr fontId="23" type="noConversion"/>
  </si>
  <si>
    <t>고대부두 8번선석</t>
    <phoneticPr fontId="23" type="noConversion"/>
  </si>
  <si>
    <t>(2022.6월분)</t>
    <phoneticPr fontId="7" type="noConversion"/>
  </si>
  <si>
    <t>6월(A)</t>
    <phoneticPr fontId="7" type="noConversion"/>
  </si>
  <si>
    <t>6월누계(B)</t>
    <phoneticPr fontId="7" type="noConversion"/>
  </si>
  <si>
    <t>6월(C)</t>
    <phoneticPr fontId="7" type="noConversion"/>
  </si>
  <si>
    <t>6월누계(D)</t>
    <phoneticPr fontId="7" type="noConversion"/>
  </si>
  <si>
    <t>5월(A)</t>
    <phoneticPr fontId="22" type="noConversion"/>
  </si>
  <si>
    <t>5월누계(B)</t>
    <phoneticPr fontId="22" type="noConversion"/>
  </si>
  <si>
    <t>5월(C)</t>
    <phoneticPr fontId="22" type="noConversion"/>
  </si>
  <si>
    <t>5월누계(D)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</si>
</sst>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</numFmts>
  <fonts count="38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7">
    <xf numFmtId="0" fontId="0" fillId="0" borderId="0"/>
    <xf numFmtId="38" fontId="8" fillId="0" borderId="0" applyFont="0" applyFill="0" applyBorder="0" applyAlignment="0" applyProtection="0"/>
    <xf numFmtId="4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38" fontId="11" fillId="2" borderId="0" applyNumberFormat="0" applyBorder="0" applyAlignment="0" applyProtection="0"/>
    <xf numFmtId="10" fontId="11" fillId="3" borderId="1" applyNumberFormat="0" applyBorder="0" applyAlignment="0" applyProtection="0"/>
    <xf numFmtId="38" fontId="10" fillId="0" borderId="0" applyFont="0" applyFill="0" applyBorder="0" applyAlignment="0" applyProtection="0"/>
    <xf numFmtId="40" fontId="10" fillId="0" borderId="0" applyFont="0" applyFill="0" applyBorder="0" applyAlignment="0" applyProtection="0"/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179" fontId="9" fillId="0" borderId="0"/>
    <xf numFmtId="0" fontId="8" fillId="0" borderId="0"/>
    <xf numFmtId="10" fontId="9" fillId="0" borderId="0" applyFont="0" applyFill="0" applyBorder="0" applyAlignment="0" applyProtection="0"/>
    <xf numFmtId="9" fontId="10" fillId="0" borderId="2" applyNumberFormat="0" applyBorder="0"/>
    <xf numFmtId="176" fontId="5" fillId="0" borderId="0" applyFont="0" applyFill="0" applyBorder="0" applyAlignment="0" applyProtection="0"/>
    <xf numFmtId="0" fontId="5" fillId="0" borderId="0"/>
    <xf numFmtId="0" fontId="26" fillId="0" borderId="0">
      <alignment vertical="center"/>
    </xf>
    <xf numFmtId="0" fontId="3" fillId="0" borderId="0">
      <alignment vertical="center"/>
    </xf>
    <xf numFmtId="0" fontId="5" fillId="0" borderId="0"/>
    <xf numFmtId="176" fontId="5" fillId="0" borderId="0" applyFont="0" applyFill="0" applyBorder="0" applyAlignment="0" applyProtection="0"/>
    <xf numFmtId="0" fontId="2" fillId="0" borderId="0">
      <alignment vertical="center"/>
    </xf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33">
    <xf numFmtId="0" fontId="0" fillId="0" borderId="0" xfId="0"/>
    <xf numFmtId="176" fontId="13" fillId="0" borderId="0" xfId="0" applyNumberFormat="1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right" vertical="center"/>
    </xf>
    <xf numFmtId="176" fontId="15" fillId="5" borderId="4" xfId="0" applyNumberFormat="1" applyFont="1" applyFill="1" applyBorder="1" applyAlignment="1">
      <alignment horizontal="center" vertical="center"/>
    </xf>
    <xf numFmtId="176" fontId="15" fillId="5" borderId="1" xfId="0" applyNumberFormat="1" applyFont="1" applyFill="1" applyBorder="1" applyAlignment="1">
      <alignment horizontal="center" vertical="center"/>
    </xf>
    <xf numFmtId="176" fontId="13" fillId="5" borderId="0" xfId="0" applyNumberFormat="1" applyFont="1" applyFill="1" applyBorder="1" applyAlignment="1">
      <alignment horizontal="center" vertical="center"/>
    </xf>
    <xf numFmtId="0" fontId="16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/>
    </xf>
    <xf numFmtId="180" fontId="6" fillId="0" borderId="0" xfId="0" applyNumberFormat="1" applyFont="1" applyAlignment="1">
      <alignment horizontal="right" vertical="center"/>
    </xf>
    <xf numFmtId="176" fontId="14" fillId="4" borderId="3" xfId="0" applyNumberFormat="1" applyFont="1" applyFill="1" applyBorder="1" applyAlignment="1">
      <alignment horizontal="right" vertical="center"/>
    </xf>
    <xf numFmtId="176" fontId="17" fillId="4" borderId="1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horizontal="right" vertical="center"/>
    </xf>
    <xf numFmtId="9" fontId="14" fillId="4" borderId="5" xfId="0" quotePrefix="1" applyNumberFormat="1" applyFont="1" applyFill="1" applyBorder="1" applyAlignment="1">
      <alignment horizontal="right" vertical="center"/>
    </xf>
    <xf numFmtId="176" fontId="14" fillId="5" borderId="6" xfId="0" applyNumberFormat="1" applyFont="1" applyFill="1" applyBorder="1" applyAlignment="1">
      <alignment horizontal="right" vertical="center"/>
    </xf>
    <xf numFmtId="9" fontId="13" fillId="5" borderId="5" xfId="0" quotePrefix="1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9" fontId="13" fillId="0" borderId="5" xfId="0" quotePrefix="1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9" fontId="17" fillId="4" borderId="7" xfId="0" applyNumberFormat="1" applyFont="1" applyFill="1" applyBorder="1" applyAlignment="1">
      <alignment horizontal="right" vertical="center"/>
    </xf>
    <xf numFmtId="9" fontId="6" fillId="5" borderId="7" xfId="0" applyNumberFormat="1" applyFont="1" applyFill="1" applyBorder="1" applyAlignment="1">
      <alignment horizontal="right" vertical="center"/>
    </xf>
    <xf numFmtId="9" fontId="6" fillId="0" borderId="7" xfId="0" applyNumberFormat="1" applyFont="1" applyFill="1" applyBorder="1" applyAlignment="1">
      <alignment horizontal="right" vertical="center"/>
    </xf>
    <xf numFmtId="0" fontId="14" fillId="5" borderId="10" xfId="0" applyFont="1" applyFill="1" applyBorder="1" applyAlignment="1">
      <alignment horizontal="left"/>
    </xf>
    <xf numFmtId="0" fontId="13" fillId="5" borderId="0" xfId="0" applyFont="1" applyFill="1" applyBorder="1" applyAlignment="1">
      <alignment horizont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7" fillId="0" borderId="0" xfId="0" applyNumberFormat="1" applyFont="1" applyFill="1" applyBorder="1" applyAlignment="1">
      <alignment horizontal="right" vertical="center"/>
    </xf>
    <xf numFmtId="9" fontId="17" fillId="0" borderId="0" xfId="0" applyNumberFormat="1" applyFont="1" applyFill="1" applyBorder="1" applyAlignment="1">
      <alignment horizontal="right" vertical="center"/>
    </xf>
    <xf numFmtId="176" fontId="14" fillId="6" borderId="15" xfId="0" quotePrefix="1" applyNumberFormat="1" applyFont="1" applyFill="1" applyBorder="1" applyAlignment="1">
      <alignment horizontal="center" vertical="center"/>
    </xf>
    <xf numFmtId="176" fontId="14" fillId="6" borderId="16" xfId="0" applyNumberFormat="1" applyFont="1" applyFill="1" applyBorder="1" applyAlignment="1">
      <alignment horizontal="center" vertical="center"/>
    </xf>
    <xf numFmtId="176" fontId="14" fillId="6" borderId="1" xfId="0" applyNumberFormat="1" applyFont="1" applyFill="1" applyBorder="1" applyAlignment="1">
      <alignment horizontal="center" vertical="center"/>
    </xf>
    <xf numFmtId="9" fontId="14" fillId="6" borderId="5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80" fontId="14" fillId="6" borderId="7" xfId="0" applyNumberFormat="1" applyFont="1" applyFill="1" applyBorder="1" applyAlignment="1">
      <alignment horizontal="center" vertical="center"/>
    </xf>
    <xf numFmtId="182" fontId="14" fillId="4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center"/>
    </xf>
    <xf numFmtId="9" fontId="6" fillId="5" borderId="1" xfId="0" applyNumberFormat="1" applyFont="1" applyFill="1" applyBorder="1" applyAlignment="1">
      <alignment horizontal="right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176" fontId="13" fillId="0" borderId="4" xfId="0" applyNumberFormat="1" applyFont="1" applyFill="1" applyBorder="1" applyAlignment="1">
      <alignment horizontal="center" vertical="center"/>
    </xf>
    <xf numFmtId="176" fontId="13" fillId="0" borderId="1" xfId="0" applyNumberFormat="1" applyFont="1" applyFill="1" applyBorder="1" applyAlignment="1">
      <alignment horizontal="center" vertical="center"/>
    </xf>
    <xf numFmtId="41" fontId="13" fillId="0" borderId="1" xfId="0" applyNumberFormat="1" applyFont="1" applyFill="1" applyBorder="1" applyAlignment="1">
      <alignment horizontal="center" vertical="center"/>
    </xf>
    <xf numFmtId="0" fontId="21" fillId="0" borderId="0" xfId="0" applyFont="1"/>
    <xf numFmtId="0" fontId="5" fillId="0" borderId="0" xfId="16"/>
    <xf numFmtId="0" fontId="24" fillId="6" borderId="19" xfId="0" applyFont="1" applyFill="1" applyBorder="1" applyAlignment="1">
      <alignment horizontal="center" vertical="center"/>
    </xf>
    <xf numFmtId="180" fontId="24" fillId="6" borderId="20" xfId="0" quotePrefix="1" applyNumberFormat="1" applyFont="1" applyFill="1" applyBorder="1" applyAlignment="1">
      <alignment horizontal="center" vertical="center"/>
    </xf>
    <xf numFmtId="0" fontId="24" fillId="4" borderId="19" xfId="0" applyFont="1" applyFill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183" fontId="25" fillId="0" borderId="0" xfId="0" applyNumberFormat="1" applyFont="1" applyBorder="1" applyAlignment="1">
      <alignment vertical="center"/>
    </xf>
    <xf numFmtId="0" fontId="5" fillId="0" borderId="0" xfId="16" applyAlignment="1">
      <alignment horizontal="right"/>
    </xf>
    <xf numFmtId="180" fontId="5" fillId="0" borderId="0" xfId="16" applyNumberFormat="1" applyAlignment="1">
      <alignment horizontal="right"/>
    </xf>
    <xf numFmtId="0" fontId="6" fillId="0" borderId="0" xfId="16" applyFont="1" applyAlignment="1">
      <alignment horizontal="right" vertical="center"/>
    </xf>
    <xf numFmtId="180" fontId="6" fillId="0" borderId="0" xfId="16" applyNumberFormat="1" applyFont="1" applyAlignment="1">
      <alignment horizontal="right" vertical="center"/>
    </xf>
    <xf numFmtId="0" fontId="18" fillId="0" borderId="0" xfId="16" applyFont="1" applyAlignment="1">
      <alignment vertical="center"/>
    </xf>
    <xf numFmtId="0" fontId="16" fillId="0" borderId="0" xfId="16" applyFont="1" applyAlignment="1">
      <alignment vertical="center"/>
    </xf>
    <xf numFmtId="0" fontId="26" fillId="0" borderId="0" xfId="17">
      <alignment vertical="center"/>
    </xf>
    <xf numFmtId="0" fontId="26" fillId="0" borderId="0" xfId="17" applyAlignment="1">
      <alignment horizontal="right"/>
    </xf>
    <xf numFmtId="180" fontId="26" fillId="0" borderId="0" xfId="17" applyNumberFormat="1" applyAlignment="1">
      <alignment horizontal="right"/>
    </xf>
    <xf numFmtId="0" fontId="6" fillId="0" borderId="0" xfId="17" applyFont="1" applyAlignment="1">
      <alignment horizontal="right" vertical="center"/>
    </xf>
    <xf numFmtId="180" fontId="6" fillId="0" borderId="0" xfId="17" applyNumberFormat="1" applyFont="1" applyAlignment="1">
      <alignment horizontal="right" vertical="center"/>
    </xf>
    <xf numFmtId="176" fontId="14" fillId="6" borderId="20" xfId="17" quotePrefix="1" applyNumberFormat="1" applyFont="1" applyFill="1" applyBorder="1" applyAlignment="1">
      <alignment horizontal="center" vertical="center"/>
    </xf>
    <xf numFmtId="176" fontId="14" fillId="6" borderId="1" xfId="17" applyNumberFormat="1" applyFont="1" applyFill="1" applyBorder="1" applyAlignment="1">
      <alignment horizontal="center" vertical="center"/>
    </xf>
    <xf numFmtId="9" fontId="14" fillId="6" borderId="1" xfId="17" applyNumberFormat="1" applyFont="1" applyFill="1" applyBorder="1" applyAlignment="1">
      <alignment horizontal="center" vertical="center"/>
    </xf>
    <xf numFmtId="0" fontId="17" fillId="6" borderId="1" xfId="17" applyFont="1" applyFill="1" applyBorder="1" applyAlignment="1">
      <alignment horizontal="center" vertical="center"/>
    </xf>
    <xf numFmtId="0" fontId="24" fillId="5" borderId="1" xfId="17" applyFont="1" applyFill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9" fillId="0" borderId="0" xfId="17" applyFont="1">
      <alignment vertical="center"/>
    </xf>
    <xf numFmtId="182" fontId="30" fillId="0" borderId="4" xfId="0" applyNumberFormat="1" applyFont="1" applyFill="1" applyBorder="1" applyAlignment="1">
      <alignment horizontal="right" vertical="center"/>
    </xf>
    <xf numFmtId="9" fontId="30" fillId="0" borderId="5" xfId="0" quotePrefix="1" applyNumberFormat="1" applyFont="1" applyFill="1" applyBorder="1" applyAlignment="1">
      <alignment horizontal="right" vertical="center"/>
    </xf>
    <xf numFmtId="9" fontId="31" fillId="0" borderId="7" xfId="0" applyNumberFormat="1" applyFont="1" applyFill="1" applyBorder="1" applyAlignment="1">
      <alignment horizontal="right" vertical="center"/>
    </xf>
    <xf numFmtId="182" fontId="30" fillId="5" borderId="4" xfId="0" applyNumberFormat="1" applyFont="1" applyFill="1" applyBorder="1" applyAlignment="1">
      <alignment horizontal="right" vertical="center"/>
    </xf>
    <xf numFmtId="9" fontId="30" fillId="5" borderId="5" xfId="0" quotePrefix="1" applyNumberFormat="1" applyFont="1" applyFill="1" applyBorder="1" applyAlignment="1">
      <alignment horizontal="right" vertical="center"/>
    </xf>
    <xf numFmtId="9" fontId="31" fillId="5" borderId="7" xfId="0" applyNumberFormat="1" applyFont="1" applyFill="1" applyBorder="1" applyAlignment="1">
      <alignment horizontal="right" vertical="center"/>
    </xf>
    <xf numFmtId="176" fontId="32" fillId="0" borderId="4" xfId="0" applyNumberFormat="1" applyFont="1" applyFill="1" applyBorder="1" applyAlignment="1">
      <alignment horizontal="center" vertical="center"/>
    </xf>
    <xf numFmtId="176" fontId="32" fillId="5" borderId="4" xfId="0" applyNumberFormat="1" applyFont="1" applyFill="1" applyBorder="1" applyAlignment="1">
      <alignment horizontal="center" vertical="center"/>
    </xf>
    <xf numFmtId="176" fontId="32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right" vertical="center"/>
    </xf>
    <xf numFmtId="9" fontId="31" fillId="5" borderId="1" xfId="0" applyNumberFormat="1" applyFont="1" applyFill="1" applyBorder="1" applyAlignment="1">
      <alignment horizontal="right" vertical="center"/>
    </xf>
    <xf numFmtId="176" fontId="31" fillId="5" borderId="1" xfId="0" applyNumberFormat="1" applyFont="1" applyFill="1" applyBorder="1" applyAlignment="1">
      <alignment horizontal="right" vertical="center"/>
    </xf>
    <xf numFmtId="176" fontId="14" fillId="4" borderId="3" xfId="0" applyNumberFormat="1" applyFont="1" applyFill="1" applyBorder="1" applyAlignment="1">
      <alignment horizontal="center" vertical="center" shrinkToFit="1"/>
    </xf>
    <xf numFmtId="176" fontId="14" fillId="4" borderId="3" xfId="0" applyNumberFormat="1" applyFont="1" applyFill="1" applyBorder="1" applyAlignment="1">
      <alignment horizontal="right" vertical="center" shrinkToFit="1"/>
    </xf>
    <xf numFmtId="9" fontId="14" fillId="4" borderId="5" xfId="0" quotePrefix="1" applyNumberFormat="1" applyFont="1" applyFill="1" applyBorder="1" applyAlignment="1">
      <alignment horizontal="right" vertical="center" shrinkToFit="1"/>
    </xf>
    <xf numFmtId="176" fontId="17" fillId="4" borderId="1" xfId="0" applyNumberFormat="1" applyFont="1" applyFill="1" applyBorder="1" applyAlignment="1">
      <alignment horizontal="right" vertical="center" shrinkToFit="1"/>
    </xf>
    <xf numFmtId="185" fontId="14" fillId="4" borderId="1" xfId="17" applyNumberFormat="1" applyFont="1" applyFill="1" applyBorder="1" applyAlignment="1">
      <alignment horizontal="right" vertical="center" shrinkToFit="1"/>
    </xf>
    <xf numFmtId="184" fontId="14" fillId="4" borderId="1" xfId="17" quotePrefix="1" applyNumberFormat="1" applyFont="1" applyFill="1" applyBorder="1" applyAlignment="1">
      <alignment horizontal="right" vertical="center" shrinkToFit="1"/>
    </xf>
    <xf numFmtId="176" fontId="17" fillId="4" borderId="1" xfId="17" applyNumberFormat="1" applyFont="1" applyFill="1" applyBorder="1" applyAlignment="1">
      <alignment horizontal="right" vertical="center" shrinkToFit="1"/>
    </xf>
    <xf numFmtId="185" fontId="14" fillId="5" borderId="1" xfId="17" applyNumberFormat="1" applyFont="1" applyFill="1" applyBorder="1" applyAlignment="1">
      <alignment horizontal="right" vertical="center" shrinkToFit="1"/>
    </xf>
    <xf numFmtId="184" fontId="14" fillId="5" borderId="1" xfId="17" quotePrefix="1" applyNumberFormat="1" applyFont="1" applyFill="1" applyBorder="1" applyAlignment="1">
      <alignment horizontal="right" vertical="center" shrinkToFit="1"/>
    </xf>
    <xf numFmtId="176" fontId="17" fillId="5" borderId="1" xfId="17" applyNumberFormat="1" applyFont="1" applyFill="1" applyBorder="1" applyAlignment="1">
      <alignment horizontal="right" vertical="center" shrinkToFit="1"/>
    </xf>
    <xf numFmtId="183" fontId="24" fillId="4" borderId="1" xfId="17" applyNumberFormat="1" applyFont="1" applyFill="1" applyBorder="1" applyAlignment="1">
      <alignment vertical="center" shrinkToFit="1"/>
    </xf>
    <xf numFmtId="0" fontId="18" fillId="0" borderId="0" xfId="16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0" fillId="0" borderId="0" xfId="16" applyFont="1"/>
    <xf numFmtId="0" fontId="0" fillId="0" borderId="0" xfId="0" applyFont="1"/>
    <xf numFmtId="181" fontId="14" fillId="4" borderId="12" xfId="0" applyNumberFormat="1" applyFont="1" applyFill="1" applyBorder="1" applyAlignment="1">
      <alignment horizontal="right" vertical="center"/>
    </xf>
    <xf numFmtId="176" fontId="14" fillId="4" borderId="24" xfId="0" applyNumberFormat="1" applyFont="1" applyFill="1" applyBorder="1" applyAlignment="1">
      <alignment horizontal="right" vertical="center" shrinkToFit="1"/>
    </xf>
    <xf numFmtId="9" fontId="14" fillId="4" borderId="13" xfId="0" quotePrefix="1" applyNumberFormat="1" applyFont="1" applyFill="1" applyBorder="1" applyAlignment="1">
      <alignment horizontal="right" vertical="center"/>
    </xf>
    <xf numFmtId="176" fontId="17" fillId="4" borderId="12" xfId="0" applyNumberFormat="1" applyFont="1" applyFill="1" applyBorder="1" applyAlignment="1">
      <alignment horizontal="right" vertical="center"/>
    </xf>
    <xf numFmtId="9" fontId="17" fillId="4" borderId="14" xfId="0" applyNumberFormat="1" applyFont="1" applyFill="1" applyBorder="1" applyAlignment="1">
      <alignment horizontal="right" vertical="center"/>
    </xf>
    <xf numFmtId="0" fontId="24" fillId="0" borderId="1" xfId="17" applyFont="1" applyFill="1" applyBorder="1" applyAlignment="1">
      <alignment horizontal="center" vertical="center"/>
    </xf>
    <xf numFmtId="185" fontId="14" fillId="0" borderId="1" xfId="17" applyNumberFormat="1" applyFont="1" applyFill="1" applyBorder="1" applyAlignment="1">
      <alignment horizontal="right" vertical="center" shrinkToFit="1"/>
    </xf>
    <xf numFmtId="180" fontId="0" fillId="0" borderId="18" xfId="0" applyNumberFormat="1" applyBorder="1" applyAlignment="1">
      <alignment horizontal="center"/>
    </xf>
    <xf numFmtId="176" fontId="36" fillId="6" borderId="1" xfId="17" applyNumberFormat="1" applyFont="1" applyFill="1" applyBorder="1" applyAlignment="1">
      <alignment horizontal="center" vertical="center"/>
    </xf>
    <xf numFmtId="183" fontId="25" fillId="0" borderId="12" xfId="0" applyNumberFormat="1" applyFont="1" applyBorder="1" applyAlignment="1">
      <alignment horizontal="right" vertical="center"/>
    </xf>
    <xf numFmtId="183" fontId="33" fillId="0" borderId="23" xfId="0" applyNumberFormat="1" applyFont="1" applyBorder="1" applyAlignment="1">
      <alignment horizontal="right" vertical="center"/>
    </xf>
    <xf numFmtId="183" fontId="25" fillId="0" borderId="12" xfId="0" applyNumberFormat="1" applyFont="1" applyBorder="1" applyAlignment="1">
      <alignment horizontal="right" vertical="center" shrinkToFit="1"/>
    </xf>
    <xf numFmtId="183" fontId="33" fillId="0" borderId="23" xfId="0" applyNumberFormat="1" applyFont="1" applyBorder="1" applyAlignment="1">
      <alignment horizontal="right" vertical="center" shrinkToFit="1"/>
    </xf>
    <xf numFmtId="176" fontId="35" fillId="0" borderId="23" xfId="15" applyFont="1" applyBorder="1" applyAlignment="1">
      <alignment horizontal="right" vertical="center" shrinkToFit="1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5" xfId="0" applyNumberFormat="1" applyFont="1" applyFill="1" applyBorder="1" applyAlignment="1">
      <alignment horizontal="center" vertical="center"/>
    </xf>
    <xf numFmtId="0" fontId="26" fillId="0" borderId="0" xfId="17" applyFont="1">
      <alignment vertical="center"/>
    </xf>
    <xf numFmtId="186" fontId="24" fillId="6" borderId="21" xfId="0" applyNumberFormat="1" applyFont="1" applyFill="1" applyBorder="1" applyAlignment="1">
      <alignment horizontal="center" vertical="center"/>
    </xf>
    <xf numFmtId="187" fontId="24" fillId="6" borderId="21" xfId="0" quotePrefix="1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41" fontId="25" fillId="0" borderId="1" xfId="17" applyNumberFormat="1" applyFont="1" applyBorder="1" applyAlignment="1">
      <alignment vertical="center" shrinkToFit="1"/>
    </xf>
    <xf numFmtId="180" fontId="14" fillId="6" borderId="7" xfId="17" applyNumberFormat="1" applyFont="1" applyFill="1" applyBorder="1" applyAlignment="1">
      <alignment horizontal="center" vertical="center"/>
    </xf>
    <xf numFmtId="184" fontId="14" fillId="4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 shrinkToFit="1"/>
    </xf>
    <xf numFmtId="184" fontId="14" fillId="5" borderId="7" xfId="17" quotePrefix="1" applyNumberFormat="1" applyFont="1" applyFill="1" applyBorder="1" applyAlignment="1">
      <alignment horizontal="right" vertical="center"/>
    </xf>
    <xf numFmtId="0" fontId="24" fillId="5" borderId="12" xfId="17" applyFont="1" applyFill="1" applyBorder="1" applyAlignment="1">
      <alignment horizontal="center" vertical="center"/>
    </xf>
    <xf numFmtId="183" fontId="25" fillId="0" borderId="12" xfId="17" applyNumberFormat="1" applyFont="1" applyBorder="1" applyAlignment="1">
      <alignment vertical="center" shrinkToFit="1"/>
    </xf>
    <xf numFmtId="185" fontId="14" fillId="5" borderId="12" xfId="17" applyNumberFormat="1" applyFont="1" applyFill="1" applyBorder="1" applyAlignment="1">
      <alignment horizontal="right" vertical="center" shrinkToFit="1"/>
    </xf>
    <xf numFmtId="176" fontId="17" fillId="5" borderId="12" xfId="17" applyNumberFormat="1" applyFont="1" applyFill="1" applyBorder="1" applyAlignment="1">
      <alignment horizontal="right" vertical="center" shrinkToFit="1"/>
    </xf>
    <xf numFmtId="176" fontId="13" fillId="5" borderId="1" xfId="0" applyNumberFormat="1" applyFont="1" applyFill="1" applyBorder="1" applyAlignment="1">
      <alignment horizontal="right" vertical="center"/>
    </xf>
    <xf numFmtId="3" fontId="0" fillId="0" borderId="0" xfId="0" applyNumberFormat="1"/>
    <xf numFmtId="182" fontId="13" fillId="5" borderId="3" xfId="0" applyNumberFormat="1" applyFont="1" applyFill="1" applyBorder="1" applyAlignment="1">
      <alignment horizontal="right" vertical="center"/>
    </xf>
    <xf numFmtId="182" fontId="13" fillId="0" borderId="3" xfId="0" applyNumberFormat="1" applyFont="1" applyFill="1" applyBorder="1" applyAlignment="1">
      <alignment horizontal="right" vertical="center"/>
    </xf>
    <xf numFmtId="182" fontId="30" fillId="5" borderId="3" xfId="0" applyNumberFormat="1" applyFont="1" applyFill="1" applyBorder="1" applyAlignment="1">
      <alignment horizontal="right" vertical="center"/>
    </xf>
    <xf numFmtId="182" fontId="30" fillId="0" borderId="3" xfId="0" applyNumberFormat="1" applyFont="1" applyFill="1" applyBorder="1" applyAlignment="1">
      <alignment horizontal="right" vertical="center"/>
    </xf>
    <xf numFmtId="182" fontId="31" fillId="5" borderId="1" xfId="0" applyNumberFormat="1" applyFont="1" applyFill="1" applyBorder="1" applyAlignment="1">
      <alignment horizontal="right" vertical="center"/>
    </xf>
    <xf numFmtId="182" fontId="6" fillId="5" borderId="1" xfId="0" applyNumberFormat="1" applyFont="1" applyFill="1" applyBorder="1" applyAlignment="1">
      <alignment horizontal="right" vertical="center"/>
    </xf>
    <xf numFmtId="182" fontId="31" fillId="0" borderId="1" xfId="0" applyNumberFormat="1" applyFont="1" applyFill="1" applyBorder="1" applyAlignment="1">
      <alignment horizontal="right" vertical="center"/>
    </xf>
    <xf numFmtId="182" fontId="17" fillId="4" borderId="1" xfId="0" applyNumberFormat="1" applyFont="1" applyFill="1" applyBorder="1" applyAlignment="1">
      <alignment horizontal="right" vertical="center"/>
    </xf>
    <xf numFmtId="41" fontId="25" fillId="0" borderId="7" xfId="17" applyNumberFormat="1" applyFont="1" applyBorder="1" applyAlignment="1">
      <alignment vertical="center" shrinkToFit="1"/>
    </xf>
    <xf numFmtId="176" fontId="13" fillId="7" borderId="9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left" vertical="center"/>
    </xf>
    <xf numFmtId="176" fontId="13" fillId="7" borderId="8" xfId="0" applyNumberFormat="1" applyFont="1" applyFill="1" applyBorder="1" applyAlignment="1">
      <alignment horizontal="left" vertical="center"/>
    </xf>
    <xf numFmtId="176" fontId="13" fillId="7" borderId="11" xfId="0" applyNumberFormat="1" applyFont="1" applyFill="1" applyBorder="1" applyAlignment="1">
      <alignment vertical="center"/>
    </xf>
    <xf numFmtId="0" fontId="24" fillId="5" borderId="16" xfId="17" applyFont="1" applyFill="1" applyBorder="1" applyAlignment="1">
      <alignment horizontal="center" vertical="center"/>
    </xf>
    <xf numFmtId="183" fontId="25" fillId="0" borderId="16" xfId="17" applyNumberFormat="1" applyFont="1" applyBorder="1" applyAlignment="1">
      <alignment vertical="center" shrinkToFit="1"/>
    </xf>
    <xf numFmtId="185" fontId="14" fillId="5" borderId="16" xfId="17" applyNumberFormat="1" applyFont="1" applyFill="1" applyBorder="1" applyAlignment="1">
      <alignment horizontal="right" vertical="center" shrinkToFit="1"/>
    </xf>
    <xf numFmtId="176" fontId="17" fillId="5" borderId="16" xfId="17" applyNumberFormat="1" applyFont="1" applyFill="1" applyBorder="1" applyAlignment="1">
      <alignment horizontal="right" vertical="center" shrinkToFit="1"/>
    </xf>
    <xf numFmtId="41" fontId="25" fillId="0" borderId="12" xfId="17" applyNumberFormat="1" applyFont="1" applyBorder="1" applyAlignment="1">
      <alignment vertical="center" shrinkToFit="1"/>
    </xf>
    <xf numFmtId="182" fontId="35" fillId="0" borderId="12" xfId="0" applyNumberFormat="1" applyFont="1" applyBorder="1" applyAlignment="1">
      <alignment horizontal="right" vertical="center"/>
    </xf>
    <xf numFmtId="41" fontId="24" fillId="0" borderId="7" xfId="17" applyNumberFormat="1" applyFont="1" applyBorder="1" applyAlignment="1">
      <alignment horizontal="right" vertical="center" shrinkToFit="1"/>
    </xf>
    <xf numFmtId="41" fontId="24" fillId="0" borderId="14" xfId="17" applyNumberFormat="1" applyFont="1" applyBorder="1" applyAlignment="1">
      <alignment horizontal="right" vertical="center" shrinkToFit="1"/>
    </xf>
    <xf numFmtId="176" fontId="13" fillId="0" borderId="3" xfId="0" applyNumberFormat="1" applyFont="1" applyBorder="1" applyAlignment="1">
      <alignment horizontal="right" vertical="center"/>
    </xf>
    <xf numFmtId="176" fontId="13" fillId="0" borderId="3" xfId="0" applyNumberFormat="1" applyFont="1" applyFill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8" fontId="13" fillId="0" borderId="4" xfId="0" applyNumberFormat="1" applyFont="1" applyBorder="1" applyAlignment="1">
      <alignment horizontal="right" vertical="center"/>
    </xf>
    <xf numFmtId="182" fontId="13" fillId="0" borderId="4" xfId="0" applyNumberFormat="1" applyFont="1" applyBorder="1" applyAlignment="1">
      <alignment horizontal="right" vertical="center"/>
    </xf>
    <xf numFmtId="182" fontId="13" fillId="0" borderId="1" xfId="0" applyNumberFormat="1" applyFont="1" applyBorder="1" applyAlignment="1">
      <alignment horizontal="right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13" fillId="0" borderId="4" xfId="0" applyNumberFormat="1" applyFont="1" applyFill="1" applyBorder="1" applyAlignment="1">
      <alignment horizontal="center" vertical="center"/>
    </xf>
    <xf numFmtId="183" fontId="25" fillId="0" borderId="1" xfId="17" applyNumberFormat="1" applyFont="1" applyBorder="1" applyAlignment="1">
      <alignment vertical="center" shrinkToFit="1"/>
    </xf>
    <xf numFmtId="0" fontId="24" fillId="4" borderId="1" xfId="17" applyFont="1" applyFill="1" applyBorder="1" applyAlignment="1">
      <alignment horizontal="center" vertical="center"/>
    </xf>
    <xf numFmtId="183" fontId="25" fillId="0" borderId="39" xfId="17" applyNumberFormat="1" applyFont="1" applyBorder="1" applyAlignment="1">
      <alignment vertical="center" shrinkToFit="1"/>
    </xf>
    <xf numFmtId="0" fontId="19" fillId="0" borderId="0" xfId="0" applyFont="1" applyBorder="1" applyAlignment="1">
      <alignment horizontal="left" vertical="center" wrapText="1"/>
    </xf>
    <xf numFmtId="0" fontId="20" fillId="0" borderId="0" xfId="0" applyFont="1" applyBorder="1" applyAlignment="1">
      <alignment horizontal="left" vertical="center"/>
    </xf>
    <xf numFmtId="176" fontId="13" fillId="2" borderId="1" xfId="0" applyNumberFormat="1" applyFont="1" applyFill="1" applyBorder="1" applyAlignment="1">
      <alignment horizontal="center" vertical="center"/>
    </xf>
    <xf numFmtId="176" fontId="14" fillId="6" borderId="33" xfId="0" applyNumberFormat="1" applyFont="1" applyFill="1" applyBorder="1" applyAlignment="1">
      <alignment horizontal="center" vertical="center"/>
    </xf>
    <xf numFmtId="176" fontId="14" fillId="6" borderId="34" xfId="0" applyNumberFormat="1" applyFont="1" applyFill="1" applyBorder="1" applyAlignment="1">
      <alignment horizontal="center" vertical="center"/>
    </xf>
    <xf numFmtId="176" fontId="14" fillId="6" borderId="24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34" fillId="0" borderId="0" xfId="0" applyFont="1" applyAlignment="1">
      <alignment horizontal="center" vertical="center"/>
    </xf>
    <xf numFmtId="176" fontId="14" fillId="4" borderId="5" xfId="0" applyNumberFormat="1" applyFont="1" applyFill="1" applyBorder="1" applyAlignment="1">
      <alignment horizontal="center" vertical="center"/>
    </xf>
    <xf numFmtId="176" fontId="14" fillId="4" borderId="3" xfId="0" applyNumberFormat="1" applyFont="1" applyFill="1" applyBorder="1" applyAlignment="1">
      <alignment horizontal="center" vertical="center"/>
    </xf>
    <xf numFmtId="176" fontId="14" fillId="6" borderId="27" xfId="0" applyNumberFormat="1" applyFont="1" applyFill="1" applyBorder="1" applyAlignment="1">
      <alignment horizontal="center" vertical="center"/>
    </xf>
    <xf numFmtId="176" fontId="14" fillId="6" borderId="15" xfId="0" applyNumberFormat="1" applyFont="1" applyFill="1" applyBorder="1" applyAlignment="1">
      <alignment horizontal="center" vertical="center"/>
    </xf>
    <xf numFmtId="176" fontId="14" fillId="6" borderId="21" xfId="0" applyNumberFormat="1" applyFont="1" applyFill="1" applyBorder="1" applyAlignment="1">
      <alignment horizontal="center" vertical="center"/>
    </xf>
    <xf numFmtId="176" fontId="14" fillId="6" borderId="28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76" fontId="12" fillId="0" borderId="0" xfId="0" applyNumberFormat="1" applyFont="1" applyAlignment="1">
      <alignment horizontal="center" wrapText="1"/>
    </xf>
    <xf numFmtId="176" fontId="12" fillId="0" borderId="0" xfId="0" applyNumberFormat="1" applyFont="1" applyAlignment="1">
      <alignment horizontal="center"/>
    </xf>
    <xf numFmtId="176" fontId="12" fillId="0" borderId="0" xfId="0" applyNumberFormat="1" applyFont="1" applyAlignment="1">
      <alignment horizontal="center" vertical="top" wrapText="1"/>
    </xf>
    <xf numFmtId="176" fontId="14" fillId="6" borderId="37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5" xfId="0" applyNumberFormat="1" applyFont="1" applyFill="1" applyBorder="1" applyAlignment="1">
      <alignment horizontal="center" vertical="center"/>
    </xf>
    <xf numFmtId="176" fontId="13" fillId="5" borderId="3" xfId="0" applyNumberFormat="1" applyFont="1" applyFill="1" applyBorder="1" applyAlignment="1">
      <alignment horizontal="center" vertical="center"/>
    </xf>
    <xf numFmtId="176" fontId="13" fillId="0" borderId="5" xfId="0" applyNumberFormat="1" applyFont="1" applyFill="1" applyBorder="1" applyAlignment="1">
      <alignment horizontal="center" vertical="center"/>
    </xf>
    <xf numFmtId="176" fontId="13" fillId="0" borderId="3" xfId="0" applyNumberFormat="1" applyFont="1" applyFill="1" applyBorder="1" applyAlignment="1">
      <alignment horizontal="center" vertical="center"/>
    </xf>
    <xf numFmtId="176" fontId="1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176" fontId="13" fillId="5" borderId="16" xfId="0" applyNumberFormat="1" applyFont="1" applyFill="1" applyBorder="1" applyAlignment="1">
      <alignment horizontal="center" vertical="center"/>
    </xf>
    <xf numFmtId="176" fontId="14" fillId="7" borderId="9" xfId="0" applyNumberFormat="1" applyFont="1" applyFill="1" applyBorder="1" applyAlignment="1">
      <alignment horizontal="center" vertical="center"/>
    </xf>
    <xf numFmtId="176" fontId="14" fillId="7" borderId="8" xfId="0" applyNumberFormat="1" applyFont="1" applyFill="1" applyBorder="1" applyAlignment="1">
      <alignment horizontal="center" vertical="center"/>
    </xf>
    <xf numFmtId="176" fontId="14" fillId="7" borderId="11" xfId="0" applyNumberFormat="1" applyFont="1" applyFill="1" applyBorder="1" applyAlignment="1">
      <alignment horizontal="center" vertical="center"/>
    </xf>
    <xf numFmtId="9" fontId="14" fillId="5" borderId="6" xfId="0" applyNumberFormat="1" applyFont="1" applyFill="1" applyBorder="1" applyAlignment="1">
      <alignment horizontal="right"/>
    </xf>
    <xf numFmtId="9" fontId="14" fillId="5" borderId="6" xfId="0" quotePrefix="1" applyNumberFormat="1" applyFont="1" applyFill="1" applyBorder="1" applyAlignment="1">
      <alignment horizontal="right"/>
    </xf>
    <xf numFmtId="9" fontId="14" fillId="5" borderId="26" xfId="0" quotePrefix="1" applyNumberFormat="1" applyFont="1" applyFill="1" applyBorder="1" applyAlignment="1">
      <alignment horizontal="right"/>
    </xf>
    <xf numFmtId="176" fontId="14" fillId="6" borderId="20" xfId="0" applyNumberFormat="1" applyFont="1" applyFill="1" applyBorder="1" applyAlignment="1">
      <alignment horizontal="center" vertical="center"/>
    </xf>
    <xf numFmtId="176" fontId="13" fillId="2" borderId="4" xfId="0" applyNumberFormat="1" applyFont="1" applyFill="1" applyBorder="1" applyAlignment="1">
      <alignment horizontal="center" vertical="center"/>
    </xf>
    <xf numFmtId="176" fontId="13" fillId="2" borderId="25" xfId="0" applyNumberFormat="1" applyFont="1" applyFill="1" applyBorder="1" applyAlignment="1">
      <alignment horizontal="center" vertical="center"/>
    </xf>
    <xf numFmtId="176" fontId="13" fillId="2" borderId="16" xfId="0" applyNumberFormat="1" applyFont="1" applyFill="1" applyBorder="1" applyAlignment="1">
      <alignment horizontal="center" vertical="center"/>
    </xf>
    <xf numFmtId="180" fontId="0" fillId="0" borderId="18" xfId="0" applyNumberFormat="1" applyBorder="1" applyAlignment="1">
      <alignment horizontal="center"/>
    </xf>
    <xf numFmtId="180" fontId="0" fillId="0" borderId="35" xfId="0" applyNumberFormat="1" applyBorder="1" applyAlignment="1">
      <alignment horizontal="center"/>
    </xf>
    <xf numFmtId="0" fontId="25" fillId="0" borderId="36" xfId="17" applyFont="1" applyBorder="1" applyAlignment="1">
      <alignment horizontal="center" vertical="center"/>
    </xf>
    <xf numFmtId="0" fontId="25" fillId="0" borderId="1" xfId="17" applyFont="1" applyBorder="1" applyAlignment="1">
      <alignment horizontal="center" vertical="center"/>
    </xf>
    <xf numFmtId="0" fontId="25" fillId="0" borderId="11" xfId="17" applyFont="1" applyBorder="1" applyAlignment="1">
      <alignment horizontal="center" vertical="center"/>
    </xf>
    <xf numFmtId="0" fontId="25" fillId="0" borderId="16" xfId="17" applyFont="1" applyBorder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5" fillId="0" borderId="12" xfId="17" applyFont="1" applyBorder="1" applyAlignment="1">
      <alignment horizontal="center" vertical="center"/>
    </xf>
    <xf numFmtId="176" fontId="14" fillId="6" borderId="20" xfId="17" applyNumberFormat="1" applyFont="1" applyFill="1" applyBorder="1" applyAlignment="1">
      <alignment horizontal="center" vertical="center"/>
    </xf>
    <xf numFmtId="176" fontId="14" fillId="6" borderId="38" xfId="17" applyNumberFormat="1" applyFont="1" applyFill="1" applyBorder="1" applyAlignment="1">
      <alignment horizontal="center" vertical="center"/>
    </xf>
    <xf numFmtId="0" fontId="24" fillId="4" borderId="36" xfId="17" applyFont="1" applyFill="1" applyBorder="1" applyAlignment="1">
      <alignment horizontal="center" vertical="center"/>
    </xf>
    <xf numFmtId="0" fontId="24" fillId="4" borderId="1" xfId="17" applyFont="1" applyFill="1" applyBorder="1" applyAlignment="1">
      <alignment horizontal="center" vertical="center"/>
    </xf>
    <xf numFmtId="176" fontId="14" fillId="6" borderId="19" xfId="17" applyNumberFormat="1" applyFont="1" applyFill="1" applyBorder="1" applyAlignment="1">
      <alignment horizontal="center" vertical="center"/>
    </xf>
    <xf numFmtId="0" fontId="26" fillId="6" borderId="20" xfId="17" applyFill="1" applyBorder="1">
      <alignment vertical="center"/>
    </xf>
    <xf numFmtId="0" fontId="26" fillId="6" borderId="36" xfId="17" applyFill="1" applyBorder="1">
      <alignment vertical="center"/>
    </xf>
    <xf numFmtId="0" fontId="26" fillId="6" borderId="1" xfId="17" applyFill="1" applyBorder="1">
      <alignment vertical="center"/>
    </xf>
    <xf numFmtId="0" fontId="27" fillId="6" borderId="20" xfId="17" applyFont="1" applyFill="1" applyBorder="1" applyAlignment="1">
      <alignment horizontal="center" vertical="center"/>
    </xf>
    <xf numFmtId="0" fontId="27" fillId="6" borderId="1" xfId="17" applyFont="1" applyFill="1" applyBorder="1" applyAlignment="1">
      <alignment horizontal="center" vertical="center"/>
    </xf>
    <xf numFmtId="0" fontId="25" fillId="0" borderId="36" xfId="17" applyFont="1" applyFill="1" applyBorder="1" applyAlignment="1">
      <alignment horizontal="center" vertical="center"/>
    </xf>
    <xf numFmtId="0" fontId="25" fillId="0" borderId="1" xfId="17" applyFont="1" applyFill="1" applyBorder="1" applyAlignment="1">
      <alignment horizontal="center" vertical="center"/>
    </xf>
  </cellXfs>
  <cellStyles count="27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 3 2" xfId="21"/>
    <cellStyle name="표준 3 2 2" xfId="26"/>
    <cellStyle name="표준 3 2 3" xfId="24"/>
    <cellStyle name="표준 3 3" xfId="25"/>
    <cellStyle name="표준 3 4" xfId="23"/>
    <cellStyle name="표준 4" xfId="22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spPr>
            <a:ln>
              <a:solidFill>
                <a:schemeClr val="accent1"/>
              </a:solidFill>
            </a:ln>
          </c:spPr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통계요약!$G$10</c:f>
              <c:numCache>
                <c:formatCode>#,###,</c:formatCode>
                <c:ptCount val="1"/>
                <c:pt idx="0">
                  <c:v>57941717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8D2-45A6-A0AE-5F1AC82B9EEC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D2-45A6-A0AE-5F1AC82B9EEC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통계요약!$I$10</c:f>
              <c:numCache>
                <c:formatCode>#,###,</c:formatCode>
                <c:ptCount val="1"/>
                <c:pt idx="0">
                  <c:v>58182884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88D2-45A6-A0AE-5F1AC82B9E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7232512"/>
        <c:axId val="197234048"/>
        <c:axId val="0"/>
      </c:bar3DChart>
      <c:catAx>
        <c:axId val="197232512"/>
        <c:scaling>
          <c:orientation val="minMax"/>
        </c:scaling>
        <c:delete val="1"/>
        <c:axPos val="b"/>
        <c:majorTickMark val="out"/>
        <c:minorTickMark val="none"/>
        <c:tickLblPos val="none"/>
        <c:crossAx val="197234048"/>
        <c:crosses val="autoZero"/>
        <c:auto val="1"/>
        <c:lblAlgn val="ctr"/>
        <c:lblOffset val="100"/>
        <c:noMultiLvlLbl val="0"/>
      </c:catAx>
      <c:valAx>
        <c:axId val="197234048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32512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9378589904927654"/>
          <c:y val="0.1659145773549434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'20년 10월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454690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47B-4543-B457-CE7D00D42157}"/>
            </c:ext>
          </c:extLst>
        </c:ser>
        <c:ser>
          <c:idx val="1"/>
          <c:order val="1"/>
          <c:tx>
            <c:v>'21년 10월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47B-4543-B457-CE7D00D42157}"/>
                </c:ext>
              </c:extLst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436387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47B-4543-B457-CE7D00D421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7296128"/>
        <c:axId val="197297664"/>
        <c:axId val="0"/>
      </c:bar3DChart>
      <c:catAx>
        <c:axId val="197296128"/>
        <c:scaling>
          <c:orientation val="minMax"/>
        </c:scaling>
        <c:delete val="1"/>
        <c:axPos val="b"/>
        <c:majorTickMark val="out"/>
        <c:minorTickMark val="none"/>
        <c:tickLblPos val="none"/>
        <c:crossAx val="197297664"/>
        <c:crosses val="autoZero"/>
        <c:auto val="1"/>
        <c:lblAlgn val="ctr"/>
        <c:lblOffset val="100"/>
        <c:noMultiLvlLbl val="0"/>
      </c:catAx>
      <c:valAx>
        <c:axId val="197297664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296128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22.06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112491</c:v>
                </c:pt>
                <c:pt idx="1">
                  <c:v>115147</c:v>
                </c:pt>
                <c:pt idx="2">
                  <c:v>113201</c:v>
                </c:pt>
                <c:pt idx="3">
                  <c:v>106845</c:v>
                </c:pt>
                <c:pt idx="4">
                  <c:v>116876</c:v>
                </c:pt>
                <c:pt idx="5" formatCode="#,###,">
                  <c:v>58182884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54784"/>
        <c:axId val="205197696"/>
      </c:lineChart>
      <c:catAx>
        <c:axId val="197654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19769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19769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76547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22.06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643233</c:v>
                </c:pt>
                <c:pt idx="1">
                  <c:v>689852</c:v>
                </c:pt>
                <c:pt idx="2">
                  <c:v>725047</c:v>
                </c:pt>
                <c:pt idx="3">
                  <c:v>792643</c:v>
                </c:pt>
                <c:pt idx="4">
                  <c:v>936246</c:v>
                </c:pt>
                <c:pt idx="5">
                  <c:v>436387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22272"/>
        <c:axId val="205224192"/>
      </c:lineChart>
      <c:catAx>
        <c:axId val="205222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2419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22419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2227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[Red]\(0.00\)">
                  <c:v>22.06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482428</c:v>
                </c:pt>
                <c:pt idx="1">
                  <c:v>452480</c:v>
                </c:pt>
                <c:pt idx="2">
                  <c:v>623733</c:v>
                </c:pt>
                <c:pt idx="3">
                  <c:v>40267</c:v>
                </c:pt>
                <c:pt idx="4">
                  <c:v>0</c:v>
                </c:pt>
                <c:pt idx="5" formatCode="_ * #,##0_ ;_ * \-#,##0_ ;_ * &quot;-&quot;_ ;_ @_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61056"/>
        <c:axId val="205267328"/>
      </c:lineChart>
      <c:catAx>
        <c:axId val="205261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673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26732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61056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8508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96000"/>
        <c:axId val="205297920"/>
      </c:lineChart>
      <c:catAx>
        <c:axId val="205296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979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29792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2960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 formatCode="0.00_);\(0.00\)">
                  <c:v>22.06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19440</c:v>
                </c:pt>
                <c:pt idx="1">
                  <c:v>18829</c:v>
                </c:pt>
                <c:pt idx="2">
                  <c:v>18416</c:v>
                </c:pt>
                <c:pt idx="3">
                  <c:v>17326</c:v>
                </c:pt>
                <c:pt idx="4">
                  <c:v>16412</c:v>
                </c:pt>
                <c:pt idx="5">
                  <c:v>8508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D6B-4831-9BCB-D47645B56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18400"/>
        <c:axId val="205324672"/>
      </c:lineChart>
      <c:catAx>
        <c:axId val="20531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3246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53246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531840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>
          <a:extLst>
            <a:ext uri="{FF2B5EF4-FFF2-40B4-BE49-F238E27FC236}">
              <a16:creationId xmlns:a16="http://schemas.microsoft.com/office/drawing/2014/main" xmlns="" id="{00000000-0008-0000-0100-000057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>
          <a:extLst>
            <a:ext uri="{FF2B5EF4-FFF2-40B4-BE49-F238E27FC236}">
              <a16:creationId xmlns:a16="http://schemas.microsoft.com/office/drawing/2014/main" xmlns="" id="{00000000-0008-0000-0100-0000584A6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7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A3" zoomScaleNormal="100" zoomScaleSheetLayoutView="110" workbookViewId="0">
      <pane xSplit="4" ySplit="5" topLeftCell="E8" activePane="bottomRight" state="frozen"/>
      <selection activeCell="A3" sqref="A3"/>
      <selection pane="topRight" activeCell="E3" sqref="E3"/>
      <selection pane="bottomLeft" activeCell="A8" sqref="A8"/>
      <selection pane="bottomRight" activeCell="B3" sqref="B3:M3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5" ht="36" customHeight="1">
      <c r="B1" s="8" t="s">
        <v>26</v>
      </c>
      <c r="L1" s="177"/>
      <c r="M1" s="177"/>
    </row>
    <row r="2" spans="2:15" ht="33" customHeight="1">
      <c r="B2" s="189" t="s">
        <v>49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</row>
    <row r="3" spans="2:15" ht="27.75" customHeight="1">
      <c r="B3" s="191" t="s">
        <v>102</v>
      </c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</row>
    <row r="4" spans="2:15" ht="21.2" customHeight="1" thickBot="1">
      <c r="B4" s="198" t="s">
        <v>71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spans="2:15" ht="21.2" customHeight="1">
      <c r="B5" s="183" t="s">
        <v>7</v>
      </c>
      <c r="C5" s="184"/>
      <c r="D5" s="185"/>
      <c r="E5" s="35"/>
      <c r="F5" s="181" t="s">
        <v>72</v>
      </c>
      <c r="G5" s="192"/>
      <c r="H5" s="209" t="s">
        <v>97</v>
      </c>
      <c r="I5" s="209"/>
      <c r="J5" s="180" t="s">
        <v>15</v>
      </c>
      <c r="K5" s="181"/>
      <c r="L5" s="181"/>
      <c r="M5" s="182"/>
    </row>
    <row r="6" spans="2:15" ht="20.25" customHeight="1">
      <c r="B6" s="186"/>
      <c r="C6" s="187"/>
      <c r="D6" s="188"/>
      <c r="E6" s="36" t="s">
        <v>11</v>
      </c>
      <c r="F6" s="118" t="s">
        <v>103</v>
      </c>
      <c r="G6" s="37" t="s">
        <v>104</v>
      </c>
      <c r="H6" s="118" t="s">
        <v>105</v>
      </c>
      <c r="I6" s="119" t="s">
        <v>106</v>
      </c>
      <c r="J6" s="37" t="s">
        <v>57</v>
      </c>
      <c r="K6" s="38" t="s">
        <v>16</v>
      </c>
      <c r="L6" s="39" t="s">
        <v>18</v>
      </c>
      <c r="M6" s="40" t="s">
        <v>16</v>
      </c>
    </row>
    <row r="7" spans="2:15" ht="21.2" customHeight="1">
      <c r="B7" s="203" t="s">
        <v>21</v>
      </c>
      <c r="C7" s="178" t="s">
        <v>12</v>
      </c>
      <c r="D7" s="179"/>
      <c r="E7" s="13">
        <f>SUM(E8:E9)</f>
        <v>16470</v>
      </c>
      <c r="F7" s="13">
        <f>SUM(F8:F9)</f>
        <v>1383</v>
      </c>
      <c r="G7" s="13">
        <f>SUM(G8:G9)</f>
        <v>8350</v>
      </c>
      <c r="H7" s="13">
        <f>SUM(H8:H9)</f>
        <v>1333</v>
      </c>
      <c r="I7" s="13">
        <f>SUM(I8:I9)</f>
        <v>8508</v>
      </c>
      <c r="J7" s="13">
        <f>H7-F7</f>
        <v>-50</v>
      </c>
      <c r="K7" s="16">
        <f>H7/F7</f>
        <v>0.96384671005061462</v>
      </c>
      <c r="L7" s="14">
        <f>I7-G7</f>
        <v>158</v>
      </c>
      <c r="M7" s="24">
        <f>I7/G7</f>
        <v>1.0189221556886228</v>
      </c>
    </row>
    <row r="8" spans="2:15" ht="19.5" customHeight="1">
      <c r="B8" s="204"/>
      <c r="C8" s="194" t="s">
        <v>9</v>
      </c>
      <c r="D8" s="195"/>
      <c r="E8" s="20">
        <v>10091</v>
      </c>
      <c r="F8" s="157">
        <v>867</v>
      </c>
      <c r="G8" s="158">
        <v>5072</v>
      </c>
      <c r="H8" s="157">
        <v>820</v>
      </c>
      <c r="I8" s="157">
        <v>5079</v>
      </c>
      <c r="J8" s="4">
        <f t="shared" ref="J8:J28" si="0">H8-F8</f>
        <v>-47</v>
      </c>
      <c r="K8" s="18">
        <f t="shared" ref="K8:K28" si="1">H8/F8</f>
        <v>0.94579008073817761</v>
      </c>
      <c r="L8" s="19">
        <f t="shared" ref="L8:L28" si="2">I8-G8</f>
        <v>7</v>
      </c>
      <c r="M8" s="25">
        <f t="shared" ref="M8:M28" si="3">I8/G8</f>
        <v>1.0013801261829653</v>
      </c>
    </row>
    <row r="9" spans="2:15" ht="19.5" customHeight="1">
      <c r="B9" s="205"/>
      <c r="C9" s="196" t="s">
        <v>10</v>
      </c>
      <c r="D9" s="197"/>
      <c r="E9" s="21">
        <v>6379</v>
      </c>
      <c r="F9" s="158">
        <v>516</v>
      </c>
      <c r="G9" s="158">
        <v>3278</v>
      </c>
      <c r="H9" s="158">
        <v>513</v>
      </c>
      <c r="I9" s="158">
        <v>3429</v>
      </c>
      <c r="J9" s="21">
        <f t="shared" si="0"/>
        <v>-3</v>
      </c>
      <c r="K9" s="22">
        <f t="shared" si="1"/>
        <v>0.9941860465116279</v>
      </c>
      <c r="L9" s="23">
        <f t="shared" si="2"/>
        <v>151</v>
      </c>
      <c r="M9" s="26">
        <f t="shared" si="3"/>
        <v>1.0460646735814521</v>
      </c>
    </row>
    <row r="10" spans="2:15" ht="21.2" customHeight="1">
      <c r="B10" s="203" t="s">
        <v>22</v>
      </c>
      <c r="C10" s="178" t="s">
        <v>8</v>
      </c>
      <c r="D10" s="179"/>
      <c r="E10" s="41">
        <f>E11+E15</f>
        <v>116876152</v>
      </c>
      <c r="F10" s="41">
        <f>F11+F15</f>
        <v>9250444</v>
      </c>
      <c r="G10" s="41">
        <f>G11+G15</f>
        <v>57941717</v>
      </c>
      <c r="H10" s="41">
        <f>H11+H15</f>
        <v>8993524</v>
      </c>
      <c r="I10" s="41">
        <f>I11+I15</f>
        <v>58182884</v>
      </c>
      <c r="J10" s="41">
        <f t="shared" si="0"/>
        <v>-256920</v>
      </c>
      <c r="K10" s="16">
        <f t="shared" si="1"/>
        <v>0.97222619800736054</v>
      </c>
      <c r="L10" s="142">
        <f>I10-G10</f>
        <v>241167</v>
      </c>
      <c r="M10" s="24">
        <f t="shared" si="3"/>
        <v>1.0041622342672378</v>
      </c>
    </row>
    <row r="11" spans="2:15" ht="19.5" customHeight="1">
      <c r="B11" s="204"/>
      <c r="C11" s="200" t="s">
        <v>1</v>
      </c>
      <c r="D11" s="83" t="s">
        <v>0</v>
      </c>
      <c r="E11" s="79">
        <f>SUM(E12:E14)</f>
        <v>104967519</v>
      </c>
      <c r="F11" s="79">
        <f>SUM(F12:F14)</f>
        <v>8259395</v>
      </c>
      <c r="G11" s="79">
        <f>SUM(G12:G14)</f>
        <v>52044812</v>
      </c>
      <c r="H11" s="79">
        <f>SUM(H12:H14)</f>
        <v>7996612</v>
      </c>
      <c r="I11" s="79">
        <f>SUM(I12:I14)</f>
        <v>51947252</v>
      </c>
      <c r="J11" s="137">
        <f>H11-F11</f>
        <v>-262783</v>
      </c>
      <c r="K11" s="80">
        <f t="shared" si="1"/>
        <v>0.96818374711464938</v>
      </c>
      <c r="L11" s="139">
        <f>I11-G11</f>
        <v>-97560</v>
      </c>
      <c r="M11" s="81">
        <f t="shared" si="3"/>
        <v>0.99812546157338411</v>
      </c>
    </row>
    <row r="12" spans="2:15" ht="19.5" customHeight="1">
      <c r="B12" s="204"/>
      <c r="C12" s="201"/>
      <c r="D12" s="5" t="s">
        <v>5</v>
      </c>
      <c r="E12" s="42">
        <v>84583157</v>
      </c>
      <c r="F12" s="159">
        <v>6577417</v>
      </c>
      <c r="G12" s="159">
        <v>41448908</v>
      </c>
      <c r="H12" s="159">
        <v>6580069</v>
      </c>
      <c r="I12" s="159">
        <v>42100308</v>
      </c>
      <c r="J12" s="135">
        <f t="shared" si="0"/>
        <v>2652</v>
      </c>
      <c r="K12" s="18">
        <f t="shared" si="1"/>
        <v>1.0004031977902572</v>
      </c>
      <c r="L12" s="140">
        <f t="shared" si="2"/>
        <v>651400</v>
      </c>
      <c r="M12" s="25">
        <f t="shared" si="3"/>
        <v>1.015715733693153</v>
      </c>
      <c r="O12" s="134"/>
    </row>
    <row r="13" spans="2:15" ht="19.5" customHeight="1">
      <c r="B13" s="204"/>
      <c r="C13" s="201"/>
      <c r="D13" s="5" t="s">
        <v>6</v>
      </c>
      <c r="E13" s="42">
        <v>15412892</v>
      </c>
      <c r="F13" s="159">
        <v>1262686</v>
      </c>
      <c r="G13" s="159">
        <v>7973200</v>
      </c>
      <c r="H13" s="159">
        <v>1088882</v>
      </c>
      <c r="I13" s="159">
        <v>7816066</v>
      </c>
      <c r="J13" s="135">
        <f t="shared" si="0"/>
        <v>-173804</v>
      </c>
      <c r="K13" s="18">
        <f t="shared" si="1"/>
        <v>0.86235374431964873</v>
      </c>
      <c r="L13" s="140">
        <f t="shared" si="2"/>
        <v>-157134</v>
      </c>
      <c r="M13" s="25">
        <f t="shared" si="3"/>
        <v>0.9802922289670396</v>
      </c>
    </row>
    <row r="14" spans="2:15" ht="19.5" customHeight="1">
      <c r="B14" s="204"/>
      <c r="C14" s="202"/>
      <c r="D14" s="5" t="s">
        <v>13</v>
      </c>
      <c r="E14" s="42">
        <v>4971470</v>
      </c>
      <c r="F14" s="159">
        <v>419292</v>
      </c>
      <c r="G14" s="159">
        <v>2622704</v>
      </c>
      <c r="H14" s="160">
        <v>327661</v>
      </c>
      <c r="I14" s="159">
        <v>2030878</v>
      </c>
      <c r="J14" s="135">
        <f t="shared" si="0"/>
        <v>-91631</v>
      </c>
      <c r="K14" s="18">
        <f>H14/F14</f>
        <v>0.78146256069755682</v>
      </c>
      <c r="L14" s="140">
        <f t="shared" si="2"/>
        <v>-591826</v>
      </c>
      <c r="M14" s="25">
        <f t="shared" si="3"/>
        <v>0.77434510337422746</v>
      </c>
    </row>
    <row r="15" spans="2:15" ht="19.5" customHeight="1">
      <c r="B15" s="204"/>
      <c r="C15" s="210" t="s">
        <v>2</v>
      </c>
      <c r="D15" s="82" t="s">
        <v>0</v>
      </c>
      <c r="E15" s="76">
        <f>SUM(E16:E18)</f>
        <v>11908633</v>
      </c>
      <c r="F15" s="76">
        <f>SUM(F16:F18)</f>
        <v>991049</v>
      </c>
      <c r="G15" s="76">
        <f>SUM(G16:G18)</f>
        <v>5896905</v>
      </c>
      <c r="H15" s="76">
        <f>SUM(H16:H18)</f>
        <v>996912</v>
      </c>
      <c r="I15" s="76">
        <f>SUM(I16:I18)</f>
        <v>6235632</v>
      </c>
      <c r="J15" s="138">
        <f t="shared" si="0"/>
        <v>5863</v>
      </c>
      <c r="K15" s="77">
        <f t="shared" si="1"/>
        <v>1.0059159537015829</v>
      </c>
      <c r="L15" s="141">
        <f t="shared" si="2"/>
        <v>338727</v>
      </c>
      <c r="M15" s="78">
        <f t="shared" si="3"/>
        <v>1.057441488373986</v>
      </c>
    </row>
    <row r="16" spans="2:15" ht="19.5" customHeight="1">
      <c r="B16" s="204"/>
      <c r="C16" s="211"/>
      <c r="D16" s="5" t="s">
        <v>3</v>
      </c>
      <c r="E16" s="42">
        <v>8645260</v>
      </c>
      <c r="F16" s="161">
        <v>719886</v>
      </c>
      <c r="G16" s="161">
        <v>4250097</v>
      </c>
      <c r="H16" s="161">
        <v>732197</v>
      </c>
      <c r="I16" s="161">
        <v>4168532</v>
      </c>
      <c r="J16" s="136">
        <f t="shared" si="0"/>
        <v>12311</v>
      </c>
      <c r="K16" s="18">
        <f t="shared" si="1"/>
        <v>1.0171013188199243</v>
      </c>
      <c r="L16" s="140">
        <f t="shared" si="2"/>
        <v>-81565</v>
      </c>
      <c r="M16" s="25">
        <f t="shared" si="3"/>
        <v>0.98080867330792687</v>
      </c>
    </row>
    <row r="17" spans="1:13" ht="19.5" customHeight="1">
      <c r="B17" s="204"/>
      <c r="C17" s="211"/>
      <c r="D17" s="6" t="s">
        <v>4</v>
      </c>
      <c r="E17" s="43">
        <v>3263373</v>
      </c>
      <c r="F17" s="162">
        <v>271163</v>
      </c>
      <c r="G17" s="162">
        <v>1646808</v>
      </c>
      <c r="H17" s="162">
        <v>264715</v>
      </c>
      <c r="I17" s="162">
        <v>2007103</v>
      </c>
      <c r="J17" s="136">
        <f t="shared" si="0"/>
        <v>-6448</v>
      </c>
      <c r="K17" s="18">
        <f t="shared" si="1"/>
        <v>0.97622094459789865</v>
      </c>
      <c r="L17" s="140">
        <f t="shared" si="2"/>
        <v>360295</v>
      </c>
      <c r="M17" s="25">
        <f t="shared" si="3"/>
        <v>1.2187838533696702</v>
      </c>
    </row>
    <row r="18" spans="1:13" ht="19.5" customHeight="1">
      <c r="B18" s="205"/>
      <c r="C18" s="212"/>
      <c r="D18" s="6" t="s">
        <v>17</v>
      </c>
      <c r="E18" s="85">
        <v>0</v>
      </c>
      <c r="F18" s="163">
        <v>0</v>
      </c>
      <c r="G18" s="163">
        <v>0</v>
      </c>
      <c r="H18" s="163">
        <v>0</v>
      </c>
      <c r="I18" s="162">
        <v>59997</v>
      </c>
      <c r="J18" s="85">
        <v>0</v>
      </c>
      <c r="K18" s="85">
        <v>0</v>
      </c>
      <c r="L18" s="140">
        <f t="shared" si="2"/>
        <v>59997</v>
      </c>
      <c r="M18" s="25" t="s">
        <v>98</v>
      </c>
    </row>
    <row r="19" spans="1:13" ht="20.100000000000001" customHeight="1">
      <c r="B19" s="27"/>
      <c r="C19" s="28"/>
      <c r="D19" s="7"/>
      <c r="E19" s="15"/>
      <c r="F19" s="1"/>
      <c r="G19" s="1"/>
      <c r="H19" s="1"/>
      <c r="I19" s="15"/>
      <c r="J19" s="17"/>
      <c r="K19" s="206" t="s">
        <v>23</v>
      </c>
      <c r="L19" s="207"/>
      <c r="M19" s="208"/>
    </row>
    <row r="20" spans="1:13" ht="21.2" customHeight="1">
      <c r="B20" s="144"/>
      <c r="C20" s="178" t="s">
        <v>8</v>
      </c>
      <c r="D20" s="179"/>
      <c r="E20" s="89">
        <f>SUM(E21,E25)</f>
        <v>936246</v>
      </c>
      <c r="F20" s="3">
        <f>SUM(F21,F25)</f>
        <v>85223</v>
      </c>
      <c r="G20" s="3">
        <f>SUM(G21,G25)</f>
        <v>454690</v>
      </c>
      <c r="H20" s="89">
        <f>SUM(H21,H25)</f>
        <v>68489</v>
      </c>
      <c r="I20" s="89">
        <f>SUM(I21,I25)</f>
        <v>436387</v>
      </c>
      <c r="J20" s="90">
        <f t="shared" si="0"/>
        <v>-16734</v>
      </c>
      <c r="K20" s="91">
        <f t="shared" si="1"/>
        <v>0.80364455604707652</v>
      </c>
      <c r="L20" s="92">
        <f t="shared" si="2"/>
        <v>-18303</v>
      </c>
      <c r="M20" s="24">
        <f>I20/G20</f>
        <v>0.95974620070817485</v>
      </c>
    </row>
    <row r="21" spans="1:13" ht="19.5" customHeight="1">
      <c r="B21" s="145"/>
      <c r="C21" s="193" t="s">
        <v>1</v>
      </c>
      <c r="D21" s="84" t="s">
        <v>0</v>
      </c>
      <c r="E21" s="85">
        <f>SUM(E22:E24)</f>
        <v>936246</v>
      </c>
      <c r="F21" s="85">
        <f>SUM(F22:F24)</f>
        <v>85223</v>
      </c>
      <c r="G21" s="85">
        <f>SUM(G22:G24)</f>
        <v>454690</v>
      </c>
      <c r="H21" s="85">
        <f>SUM(H22:H24)</f>
        <v>68489</v>
      </c>
      <c r="I21" s="85">
        <f>SUM(I22:I24)</f>
        <v>436387</v>
      </c>
      <c r="J21" s="86">
        <f t="shared" si="0"/>
        <v>-16734</v>
      </c>
      <c r="K21" s="87">
        <f t="shared" si="1"/>
        <v>0.80364455604707652</v>
      </c>
      <c r="L21" s="88">
        <f t="shared" si="2"/>
        <v>-18303</v>
      </c>
      <c r="M21" s="81">
        <f t="shared" si="3"/>
        <v>0.95974620070817485</v>
      </c>
    </row>
    <row r="22" spans="1:13" ht="19.5" customHeight="1">
      <c r="B22" s="146" t="s">
        <v>19</v>
      </c>
      <c r="C22" s="193"/>
      <c r="D22" s="46" t="s">
        <v>5</v>
      </c>
      <c r="E22" s="123">
        <v>467367</v>
      </c>
      <c r="F22" s="164">
        <v>43441</v>
      </c>
      <c r="G22" s="48">
        <v>227664</v>
      </c>
      <c r="H22" s="48">
        <v>36293</v>
      </c>
      <c r="I22" s="48">
        <v>216197</v>
      </c>
      <c r="J22" s="133">
        <f t="shared" si="0"/>
        <v>-7148</v>
      </c>
      <c r="K22" s="45">
        <f t="shared" si="1"/>
        <v>0.83545498492207826</v>
      </c>
      <c r="L22" s="23">
        <f t="shared" si="2"/>
        <v>-11467</v>
      </c>
      <c r="M22" s="25">
        <f t="shared" si="3"/>
        <v>0.94963191369737854</v>
      </c>
    </row>
    <row r="23" spans="1:13" ht="19.5" customHeight="1">
      <c r="B23" s="146" t="s">
        <v>20</v>
      </c>
      <c r="C23" s="193"/>
      <c r="D23" s="2" t="s">
        <v>14</v>
      </c>
      <c r="E23" s="123">
        <v>457531</v>
      </c>
      <c r="F23" s="164">
        <v>40689</v>
      </c>
      <c r="G23" s="48">
        <v>220479</v>
      </c>
      <c r="H23" s="48">
        <v>30688</v>
      </c>
      <c r="I23" s="48">
        <v>209264</v>
      </c>
      <c r="J23" s="133">
        <f t="shared" si="0"/>
        <v>-10001</v>
      </c>
      <c r="K23" s="45">
        <f t="shared" si="1"/>
        <v>0.75420875420875422</v>
      </c>
      <c r="L23" s="19">
        <f t="shared" si="2"/>
        <v>-11215</v>
      </c>
      <c r="M23" s="25">
        <f t="shared" si="3"/>
        <v>0.94913347756475674</v>
      </c>
    </row>
    <row r="24" spans="1:13" ht="19.5" customHeight="1">
      <c r="B24" s="147"/>
      <c r="C24" s="193"/>
      <c r="D24" s="2" t="s">
        <v>13</v>
      </c>
      <c r="E24" s="123">
        <v>11348</v>
      </c>
      <c r="F24" s="164">
        <v>1093</v>
      </c>
      <c r="G24" s="48">
        <v>6547</v>
      </c>
      <c r="H24" s="48">
        <v>1508</v>
      </c>
      <c r="I24" s="48">
        <v>10926</v>
      </c>
      <c r="J24" s="133">
        <f t="shared" si="0"/>
        <v>415</v>
      </c>
      <c r="K24" s="45">
        <f t="shared" si="1"/>
        <v>1.3796889295516925</v>
      </c>
      <c r="L24" s="19">
        <f t="shared" si="2"/>
        <v>4379</v>
      </c>
      <c r="M24" s="25">
        <f t="shared" si="3"/>
        <v>1.6688559645639225</v>
      </c>
    </row>
    <row r="25" spans="1:13" ht="19.5" customHeight="1">
      <c r="B25" s="145"/>
      <c r="C25" s="170" t="s">
        <v>2</v>
      </c>
      <c r="D25" s="84" t="s">
        <v>69</v>
      </c>
      <c r="E25" s="85">
        <f>SUM(E26:E27)</f>
        <v>0</v>
      </c>
      <c r="F25" s="85">
        <f>SUM(F26:F27)</f>
        <v>0</v>
      </c>
      <c r="G25" s="85">
        <f>SUM(G26:G27)</f>
        <v>0</v>
      </c>
      <c r="H25" s="85">
        <v>0</v>
      </c>
      <c r="I25" s="85">
        <f>SUM(I26:I27)</f>
        <v>0</v>
      </c>
      <c r="J25" s="86">
        <f t="shared" si="0"/>
        <v>0</v>
      </c>
      <c r="K25" s="85">
        <v>0</v>
      </c>
      <c r="L25" s="19">
        <f t="shared" si="2"/>
        <v>0</v>
      </c>
      <c r="M25" s="85">
        <v>0</v>
      </c>
    </row>
    <row r="26" spans="1:13" ht="19.5" customHeight="1">
      <c r="B26" s="145"/>
      <c r="C26" s="170"/>
      <c r="D26" s="84" t="s">
        <v>69</v>
      </c>
      <c r="E26" s="49">
        <v>0</v>
      </c>
      <c r="F26" s="49">
        <v>0</v>
      </c>
      <c r="G26" s="49">
        <v>0</v>
      </c>
      <c r="H26" s="49">
        <v>0</v>
      </c>
      <c r="I26" s="49">
        <v>0</v>
      </c>
      <c r="J26" s="86">
        <f t="shared" si="0"/>
        <v>0</v>
      </c>
      <c r="K26" s="85">
        <v>0</v>
      </c>
      <c r="L26" s="19">
        <f t="shared" si="2"/>
        <v>0</v>
      </c>
      <c r="M26" s="85">
        <v>0</v>
      </c>
    </row>
    <row r="27" spans="1:13" ht="19.5" customHeight="1">
      <c r="B27" s="148"/>
      <c r="C27" s="170"/>
      <c r="D27" s="84" t="s">
        <v>69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86">
        <f t="shared" si="0"/>
        <v>0</v>
      </c>
      <c r="K27" s="85">
        <v>0</v>
      </c>
      <c r="L27" s="19">
        <f t="shared" si="2"/>
        <v>0</v>
      </c>
      <c r="M27" s="85">
        <v>0</v>
      </c>
    </row>
    <row r="28" spans="1:13" s="103" customFormat="1" ht="21.2" customHeight="1" thickBot="1">
      <c r="B28" s="171" t="s">
        <v>67</v>
      </c>
      <c r="C28" s="172"/>
      <c r="D28" s="173"/>
      <c r="E28" s="104">
        <v>1429401</v>
      </c>
      <c r="F28" s="104">
        <v>119180</v>
      </c>
      <c r="G28" s="104">
        <v>736457</v>
      </c>
      <c r="H28" s="104">
        <v>112428</v>
      </c>
      <c r="I28" s="104">
        <v>775416</v>
      </c>
      <c r="J28" s="105">
        <f t="shared" si="0"/>
        <v>-6752</v>
      </c>
      <c r="K28" s="106">
        <f t="shared" si="1"/>
        <v>0.94334619902668237</v>
      </c>
      <c r="L28" s="107">
        <f t="shared" si="2"/>
        <v>38959</v>
      </c>
      <c r="M28" s="108">
        <f t="shared" si="3"/>
        <v>1.0529005766799691</v>
      </c>
    </row>
    <row r="29" spans="1:13" ht="12.75" customHeight="1">
      <c r="B29" s="29"/>
      <c r="C29" s="29"/>
      <c r="D29" s="29"/>
      <c r="E29" s="30"/>
      <c r="F29" s="31"/>
      <c r="G29" s="31"/>
      <c r="H29" s="31"/>
      <c r="I29" s="31"/>
      <c r="J29" s="30"/>
      <c r="K29" s="32"/>
      <c r="L29" s="33"/>
      <c r="M29" s="34"/>
    </row>
    <row r="30" spans="1:13" s="176" customFormat="1" ht="18.75" customHeight="1">
      <c r="A30" s="176" t="s">
        <v>27</v>
      </c>
    </row>
    <row r="31" spans="1:13" s="47" customFormat="1" ht="21.2" customHeight="1">
      <c r="B31" s="175" t="s">
        <v>24</v>
      </c>
      <c r="C31" s="175"/>
      <c r="D31" s="101"/>
      <c r="E31" s="101"/>
      <c r="F31" s="101"/>
      <c r="G31" s="101"/>
      <c r="H31" s="175" t="s">
        <v>25</v>
      </c>
      <c r="I31" s="175"/>
    </row>
    <row r="32" spans="1:13" s="44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44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44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44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174" customFormat="1" ht="24" customHeight="1"/>
    <row r="41" spans="2:13" ht="19.5" customHeight="1">
      <c r="B41" s="168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</row>
    <row r="42" spans="2:13" ht="19.5" customHeight="1">
      <c r="B42" s="168"/>
      <c r="C42" s="169"/>
      <c r="D42" s="169"/>
      <c r="E42" s="169"/>
      <c r="F42" s="169"/>
      <c r="G42" s="169"/>
      <c r="H42" s="169"/>
      <c r="I42" s="169"/>
      <c r="J42" s="169"/>
      <c r="K42" s="169"/>
      <c r="L42" s="169"/>
      <c r="M42" s="169"/>
    </row>
  </sheetData>
  <mergeCells count="27"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  <mergeCell ref="L1:M1"/>
    <mergeCell ref="C10:D10"/>
    <mergeCell ref="C7:D7"/>
    <mergeCell ref="J5:M5"/>
    <mergeCell ref="B5:D6"/>
    <mergeCell ref="B2:M2"/>
    <mergeCell ref="B3:M3"/>
    <mergeCell ref="F5:G5"/>
    <mergeCell ref="B41:M41"/>
    <mergeCell ref="B42:M42"/>
    <mergeCell ref="C25:C27"/>
    <mergeCell ref="B28:D28"/>
    <mergeCell ref="A40:XFD40"/>
    <mergeCell ref="B31:C31"/>
    <mergeCell ref="H31:I31"/>
    <mergeCell ref="A30:XFD30"/>
  </mergeCells>
  <phoneticPr fontId="7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landscape" verticalDpi="597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G4" sqref="G4"/>
    </sheetView>
  </sheetViews>
  <sheetFormatPr defaultRowHeight="14.25"/>
  <cols>
    <col min="1" max="1" width="11.25" customWidth="1"/>
    <col min="2" max="6" width="8.75" customWidth="1"/>
    <col min="7" max="7" width="9.5" customWidth="1"/>
    <col min="8" max="8" width="12.125" customWidth="1"/>
    <col min="9" max="13" width="8.875" customWidth="1"/>
    <col min="14" max="14" width="12.25" customWidth="1"/>
    <col min="17" max="17" width="10.75" bestFit="1" customWidth="1"/>
  </cols>
  <sheetData>
    <row r="1" spans="1:27" s="52" customFormat="1" ht="18.75">
      <c r="A1" s="51" t="s">
        <v>28</v>
      </c>
    </row>
    <row r="2" spans="1:27" s="52" customFormat="1" ht="15" thickBot="1">
      <c r="A2"/>
      <c r="B2"/>
      <c r="C2"/>
      <c r="D2" s="111"/>
      <c r="E2" s="111"/>
      <c r="F2" s="213" t="s">
        <v>70</v>
      </c>
      <c r="G2" s="213"/>
      <c r="H2"/>
      <c r="I2"/>
      <c r="J2"/>
      <c r="K2" s="111"/>
      <c r="L2" s="111"/>
      <c r="M2" s="213" t="s">
        <v>29</v>
      </c>
      <c r="N2" s="213"/>
    </row>
    <row r="3" spans="1:27" s="52" customFormat="1" ht="32.25" customHeight="1">
      <c r="A3" s="53" t="s">
        <v>30</v>
      </c>
      <c r="B3" s="54">
        <v>17</v>
      </c>
      <c r="C3" s="54">
        <v>18</v>
      </c>
      <c r="D3" s="54">
        <v>19</v>
      </c>
      <c r="E3" s="54">
        <v>20</v>
      </c>
      <c r="F3" s="54">
        <v>21</v>
      </c>
      <c r="G3" s="121">
        <v>22.06</v>
      </c>
      <c r="H3" s="55" t="s">
        <v>30</v>
      </c>
      <c r="I3" s="54">
        <v>17</v>
      </c>
      <c r="J3" s="54">
        <v>18</v>
      </c>
      <c r="K3" s="54">
        <v>19</v>
      </c>
      <c r="L3" s="54">
        <v>20</v>
      </c>
      <c r="M3" s="54">
        <v>21</v>
      </c>
      <c r="N3" s="122">
        <f>$G$3</f>
        <v>22.06</v>
      </c>
    </row>
    <row r="4" spans="1:27" s="52" customFormat="1" ht="39.200000000000003" customHeight="1" thickBot="1">
      <c r="A4" s="74" t="s">
        <v>31</v>
      </c>
      <c r="B4" s="113">
        <v>19440</v>
      </c>
      <c r="C4" s="113">
        <v>18829</v>
      </c>
      <c r="D4" s="113">
        <v>18416</v>
      </c>
      <c r="E4" s="113">
        <v>17326</v>
      </c>
      <c r="F4" s="113">
        <v>16412</v>
      </c>
      <c r="G4" s="114">
        <f>통계요약!I7</f>
        <v>8508</v>
      </c>
      <c r="H4" s="74" t="s">
        <v>32</v>
      </c>
      <c r="I4" s="113">
        <v>112491</v>
      </c>
      <c r="J4" s="113">
        <v>115147</v>
      </c>
      <c r="K4" s="113">
        <v>113201</v>
      </c>
      <c r="L4" s="113">
        <v>106845</v>
      </c>
      <c r="M4" s="113">
        <v>116876</v>
      </c>
      <c r="N4" s="154">
        <f>통계요약!I10</f>
        <v>58182884</v>
      </c>
    </row>
    <row r="5" spans="1:27" s="52" customFormat="1" ht="30.2" customHeight="1" thickBot="1">
      <c r="A5"/>
      <c r="B5"/>
      <c r="C5"/>
      <c r="D5" s="111"/>
      <c r="E5" s="111"/>
      <c r="F5" s="214" t="s">
        <v>33</v>
      </c>
      <c r="G5" s="214"/>
      <c r="H5" s="56"/>
      <c r="I5" s="57"/>
      <c r="J5" s="57"/>
      <c r="K5" s="111"/>
      <c r="L5" s="111"/>
      <c r="M5" s="214" t="s">
        <v>34</v>
      </c>
      <c r="N5" s="214"/>
    </row>
    <row r="6" spans="1:27" s="52" customFormat="1" ht="32.25" customHeight="1">
      <c r="A6" s="53" t="s">
        <v>30</v>
      </c>
      <c r="B6" s="54">
        <v>17</v>
      </c>
      <c r="C6" s="54">
        <v>18</v>
      </c>
      <c r="D6" s="54">
        <v>19</v>
      </c>
      <c r="E6" s="54">
        <v>20</v>
      </c>
      <c r="F6" s="54">
        <v>21</v>
      </c>
      <c r="G6" s="122">
        <f>$G$3</f>
        <v>22.06</v>
      </c>
      <c r="H6" s="55" t="s">
        <v>30</v>
      </c>
      <c r="I6" s="54">
        <v>17</v>
      </c>
      <c r="J6" s="54">
        <v>18</v>
      </c>
      <c r="K6" s="54">
        <v>19</v>
      </c>
      <c r="L6" s="54">
        <v>20</v>
      </c>
      <c r="M6" s="54">
        <v>21</v>
      </c>
      <c r="N6" s="122">
        <f>$G$3</f>
        <v>22.06</v>
      </c>
    </row>
    <row r="7" spans="1:27" s="52" customFormat="1" ht="37.5" customHeight="1" thickBot="1">
      <c r="A7" s="74" t="s">
        <v>35</v>
      </c>
      <c r="B7" s="115">
        <v>643233</v>
      </c>
      <c r="C7" s="115">
        <v>689852</v>
      </c>
      <c r="D7" s="115">
        <v>725047</v>
      </c>
      <c r="E7" s="115">
        <v>792643</v>
      </c>
      <c r="F7" s="115">
        <v>936246</v>
      </c>
      <c r="G7" s="116">
        <f>통계요약!I20</f>
        <v>436387</v>
      </c>
      <c r="H7" s="74" t="s">
        <v>36</v>
      </c>
      <c r="I7" s="113">
        <v>482428</v>
      </c>
      <c r="J7" s="113">
        <v>452480</v>
      </c>
      <c r="K7" s="113">
        <v>623733</v>
      </c>
      <c r="L7" s="113">
        <v>40267</v>
      </c>
      <c r="M7" s="113">
        <v>0</v>
      </c>
      <c r="N7" s="117">
        <v>0</v>
      </c>
      <c r="AA7" s="102">
        <f>(19166/188141)^(1/4)-1</f>
        <v>-0.43504740355323723</v>
      </c>
    </row>
    <row r="12" spans="1:27" s="63" customFormat="1" ht="25.5" customHeight="1">
      <c r="A12" s="63" t="s">
        <v>37</v>
      </c>
    </row>
    <row r="13" spans="1:27" s="52" customFormat="1" ht="21.2" customHeight="1">
      <c r="A13" s="100" t="s">
        <v>52</v>
      </c>
      <c r="H13" s="100" t="s">
        <v>51</v>
      </c>
      <c r="I13" s="58"/>
      <c r="J13" s="59"/>
      <c r="K13" s="60"/>
      <c r="L13" s="61"/>
      <c r="M13" s="61"/>
      <c r="N13" s="61"/>
    </row>
    <row r="14" spans="1:27" s="52" customFormat="1" ht="24" customHeight="1">
      <c r="I14" s="58"/>
      <c r="J14" s="59"/>
      <c r="K14" s="60"/>
      <c r="L14" s="61"/>
      <c r="M14" s="61"/>
      <c r="N14" s="61"/>
    </row>
    <row r="15" spans="1:27" s="52" customFormat="1" ht="24" customHeight="1">
      <c r="I15" s="58"/>
      <c r="J15" s="59"/>
      <c r="K15" s="60"/>
      <c r="L15" s="61"/>
      <c r="M15" s="61"/>
      <c r="N15" s="61"/>
    </row>
    <row r="16" spans="1:27" s="52" customFormat="1" ht="24" customHeight="1">
      <c r="I16" s="58"/>
      <c r="J16" s="59"/>
      <c r="K16" s="60"/>
      <c r="L16" s="61"/>
      <c r="M16" s="61"/>
      <c r="N16" s="61"/>
    </row>
    <row r="17" spans="1:14" s="52" customFormat="1" ht="24" customHeight="1">
      <c r="I17" s="58"/>
      <c r="J17" s="59"/>
      <c r="K17" s="60"/>
      <c r="L17" s="61"/>
      <c r="M17" s="61"/>
      <c r="N17" s="61"/>
    </row>
    <row r="18" spans="1:14" s="52" customFormat="1" ht="24" customHeight="1">
      <c r="I18" s="58"/>
      <c r="J18" s="59"/>
      <c r="K18" s="60"/>
      <c r="L18" s="61"/>
      <c r="M18" s="61"/>
      <c r="N18" s="61"/>
    </row>
    <row r="19" spans="1:14" s="52" customFormat="1" ht="24" customHeight="1">
      <c r="I19" s="58"/>
      <c r="J19" s="59"/>
      <c r="K19" s="60"/>
      <c r="L19" s="61"/>
      <c r="M19" s="61"/>
      <c r="N19" s="61"/>
    </row>
    <row r="20" spans="1:14" s="52" customFormat="1" ht="24" customHeight="1">
      <c r="I20" s="58"/>
      <c r="J20" s="59"/>
      <c r="K20" s="60"/>
      <c r="L20" s="61"/>
      <c r="M20" s="61"/>
      <c r="N20" s="61"/>
    </row>
    <row r="21" spans="1:14" s="52" customFormat="1" ht="24" customHeight="1">
      <c r="I21" s="58"/>
      <c r="J21" s="59"/>
      <c r="K21" s="60"/>
      <c r="L21" s="61"/>
      <c r="M21" s="61"/>
      <c r="N21" s="61"/>
    </row>
    <row r="22" spans="1:14" s="52" customFormat="1" ht="36" customHeight="1">
      <c r="I22" s="58"/>
      <c r="J22" s="59"/>
      <c r="K22" s="60"/>
      <c r="L22" s="61"/>
      <c r="M22" s="61"/>
      <c r="N22" s="61"/>
    </row>
    <row r="23" spans="1:14" s="52" customFormat="1" ht="27.75" customHeight="1">
      <c r="A23" s="62" t="s">
        <v>25</v>
      </c>
      <c r="H23" s="100" t="s">
        <v>50</v>
      </c>
      <c r="I23" s="58"/>
      <c r="J23" s="59"/>
      <c r="K23" s="60"/>
      <c r="L23" s="61"/>
      <c r="M23" s="61"/>
      <c r="N23" s="61"/>
    </row>
    <row r="24" spans="1:14" s="52" customFormat="1" ht="24" customHeight="1">
      <c r="I24" s="58"/>
      <c r="J24" s="59"/>
      <c r="K24" s="60"/>
      <c r="L24" s="61"/>
      <c r="M24" s="61"/>
      <c r="N24" s="61"/>
    </row>
    <row r="25" spans="1:14" s="52" customFormat="1" ht="24" customHeight="1">
      <c r="I25" s="58"/>
      <c r="J25" s="59"/>
      <c r="K25" s="60"/>
      <c r="L25" s="61"/>
      <c r="M25" s="61"/>
      <c r="N25" s="61"/>
    </row>
    <row r="26" spans="1:14" s="52" customFormat="1" ht="24" customHeight="1">
      <c r="I26" s="58"/>
      <c r="J26" s="59"/>
      <c r="K26" s="60"/>
      <c r="L26" s="61"/>
      <c r="M26" s="61"/>
      <c r="N26" s="61"/>
    </row>
    <row r="27" spans="1:14" s="52" customFormat="1" ht="24" customHeight="1">
      <c r="I27" s="58"/>
      <c r="J27" s="59"/>
      <c r="K27" s="60"/>
      <c r="L27" s="61"/>
      <c r="M27" s="61"/>
      <c r="N27" s="61"/>
    </row>
    <row r="28" spans="1:14" s="52" customFormat="1" ht="24" customHeight="1">
      <c r="I28" s="58"/>
      <c r="J28" s="59"/>
      <c r="K28" s="60"/>
      <c r="L28" s="61"/>
      <c r="M28" s="61"/>
      <c r="N28" s="61"/>
    </row>
    <row r="29" spans="1:14" s="52" customFormat="1" ht="24" customHeight="1">
      <c r="I29" s="58"/>
      <c r="J29" s="59"/>
      <c r="K29" s="60"/>
      <c r="L29" s="61"/>
      <c r="M29" s="61"/>
      <c r="N29" s="61"/>
    </row>
    <row r="30" spans="1:14" s="52" customFormat="1" ht="24" customHeight="1">
      <c r="I30" s="58"/>
      <c r="J30" s="59"/>
      <c r="K30" s="60"/>
      <c r="L30" s="61"/>
      <c r="M30" s="61"/>
      <c r="N30" s="61"/>
    </row>
    <row r="31" spans="1:14" s="52" customFormat="1" ht="24" customHeight="1">
      <c r="I31" s="58"/>
      <c r="J31" s="59"/>
      <c r="K31" s="60"/>
      <c r="L31" s="61"/>
      <c r="M31" s="61"/>
      <c r="N31" s="61"/>
    </row>
  </sheetData>
  <mergeCells count="4">
    <mergeCell ref="F2:G2"/>
    <mergeCell ref="M2:N2"/>
    <mergeCell ref="F5:G5"/>
    <mergeCell ref="M5:N5"/>
  </mergeCells>
  <phoneticPr fontId="22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25" t="s">
        <v>39</v>
      </c>
      <c r="B2" s="226"/>
      <c r="C2" s="226"/>
      <c r="D2" s="229" t="s">
        <v>40</v>
      </c>
      <c r="E2" s="69"/>
      <c r="F2" s="221" t="s">
        <v>72</v>
      </c>
      <c r="G2" s="221"/>
      <c r="H2" s="221" t="s">
        <v>97</v>
      </c>
      <c r="I2" s="221"/>
      <c r="J2" s="221" t="s">
        <v>41</v>
      </c>
      <c r="K2" s="221"/>
      <c r="L2" s="221"/>
      <c r="M2" s="222"/>
    </row>
    <row r="3" spans="1:16" ht="21.95" customHeight="1">
      <c r="A3" s="227"/>
      <c r="B3" s="228"/>
      <c r="C3" s="228"/>
      <c r="D3" s="230"/>
      <c r="E3" s="70" t="s">
        <v>42</v>
      </c>
      <c r="F3" s="70" t="str">
        <f>통계요약!F6</f>
        <v>6월(A)</v>
      </c>
      <c r="G3" s="70" t="str">
        <f>통계요약!G6</f>
        <v>6월누계(B)</v>
      </c>
      <c r="H3" s="112" t="str">
        <f>통계요약!H6</f>
        <v>6월(C)</v>
      </c>
      <c r="I3" s="70" t="str">
        <f>통계요약!I6</f>
        <v>6월누계(D)</v>
      </c>
      <c r="J3" s="70" t="s">
        <v>43</v>
      </c>
      <c r="K3" s="71" t="s">
        <v>44</v>
      </c>
      <c r="L3" s="72" t="s">
        <v>45</v>
      </c>
      <c r="M3" s="125" t="s">
        <v>44</v>
      </c>
    </row>
    <row r="4" spans="1:16" ht="21.95" customHeight="1">
      <c r="A4" s="223" t="s">
        <v>46</v>
      </c>
      <c r="B4" s="224"/>
      <c r="C4" s="224"/>
      <c r="D4" s="16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85223</v>
      </c>
      <c r="G4" s="99">
        <f>SUM(G6,G8,G10,G12,G14,G16,G18,G22,G20,G26,G28,G30,G32,G24,G34)</f>
        <v>454690</v>
      </c>
      <c r="H4" s="99">
        <f>SUM(H6,H8,H10,H12,H14,H16,H18,H22,H20,H26,H28,H30,H32,H24,H34)</f>
        <v>68489</v>
      </c>
      <c r="I4" s="99">
        <f>SUM(I6,I8,I10,I12,I14,I16,I18,I22,I20,I26,I28,I30,I32,I24,I34)</f>
        <v>436387</v>
      </c>
      <c r="J4" s="93">
        <f t="shared" ref="J4:J31" si="0">H4-F4</f>
        <v>-16734</v>
      </c>
      <c r="K4" s="94">
        <f t="shared" ref="K4:K33" si="1">(H4/F4*100)-100</f>
        <v>-19.635544395292342</v>
      </c>
      <c r="L4" s="95">
        <f t="shared" ref="L4:L31" si="2">I4-G4</f>
        <v>-18303</v>
      </c>
      <c r="M4" s="126">
        <f t="shared" ref="M4:M33" si="3">(I4/G4*100)-100</f>
        <v>-4.0253799291825203</v>
      </c>
    </row>
    <row r="5" spans="1:16" ht="21.95" customHeight="1">
      <c r="A5" s="223"/>
      <c r="B5" s="224"/>
      <c r="C5" s="224"/>
      <c r="D5" s="16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1265764</v>
      </c>
      <c r="G5" s="99">
        <f>SUM(G7,G9,G11,G13,G15,G17,G19,G21,G23,G27,G29,G31,G33,G25,G35)</f>
        <v>6922742</v>
      </c>
      <c r="H5" s="99">
        <f>SUM(H7,H9,H11,H13,H15,H17,H19,H21,H23,H27,H29,H31,H33,H25,H35)</f>
        <v>1106261</v>
      </c>
      <c r="I5" s="99">
        <f>SUM(I7,I9,I11,I13,I15,I17,I19,I21,I23,I27,I29,I31,I33,I25,I35)</f>
        <v>6834299</v>
      </c>
      <c r="J5" s="93">
        <f t="shared" si="0"/>
        <v>-159503</v>
      </c>
      <c r="K5" s="94">
        <f t="shared" si="1"/>
        <v>-12.601322205403221</v>
      </c>
      <c r="L5" s="95">
        <f t="shared" si="2"/>
        <v>-88443</v>
      </c>
      <c r="M5" s="126">
        <f t="shared" si="3"/>
        <v>-1.2775718060849357</v>
      </c>
    </row>
    <row r="6" spans="1:16" ht="21.2" customHeight="1">
      <c r="A6" s="215" t="s">
        <v>53</v>
      </c>
      <c r="B6" s="216"/>
      <c r="C6" s="216"/>
      <c r="D6" s="73" t="s">
        <v>47</v>
      </c>
      <c r="E6" s="165">
        <v>54806</v>
      </c>
      <c r="F6" s="165">
        <v>4764</v>
      </c>
      <c r="G6" s="165">
        <v>26289</v>
      </c>
      <c r="H6" s="165">
        <v>4141</v>
      </c>
      <c r="I6" s="165">
        <v>28049</v>
      </c>
      <c r="J6" s="96">
        <f t="shared" ref="J6:J20" si="4">H6-F6</f>
        <v>-623</v>
      </c>
      <c r="K6" s="97">
        <f t="shared" ref="K6:K19" si="5">(H6/F6*100)-100</f>
        <v>-13.077246011754823</v>
      </c>
      <c r="L6" s="98">
        <f>I6-G6</f>
        <v>1760</v>
      </c>
      <c r="M6" s="127">
        <f>(I6/G6*100)-100</f>
        <v>6.6948153219978082</v>
      </c>
      <c r="P6" s="64" t="s">
        <v>73</v>
      </c>
    </row>
    <row r="7" spans="1:16" ht="21.2" customHeight="1">
      <c r="A7" s="215"/>
      <c r="B7" s="216"/>
      <c r="C7" s="216"/>
      <c r="D7" s="73" t="s">
        <v>48</v>
      </c>
      <c r="E7" s="165">
        <v>1010788</v>
      </c>
      <c r="F7" s="165">
        <v>83324</v>
      </c>
      <c r="G7" s="165">
        <v>478387</v>
      </c>
      <c r="H7" s="165">
        <v>76942</v>
      </c>
      <c r="I7" s="165">
        <v>528971</v>
      </c>
      <c r="J7" s="96">
        <f t="shared" si="4"/>
        <v>-6382</v>
      </c>
      <c r="K7" s="97">
        <f t="shared" si="5"/>
        <v>-7.6592578368777282</v>
      </c>
      <c r="L7" s="98">
        <f t="shared" si="2"/>
        <v>50584</v>
      </c>
      <c r="M7" s="127">
        <f t="shared" si="3"/>
        <v>10.573865928631008</v>
      </c>
      <c r="P7" s="64" t="s">
        <v>73</v>
      </c>
    </row>
    <row r="8" spans="1:16" ht="21.2" customHeight="1">
      <c r="A8" s="215" t="s">
        <v>54</v>
      </c>
      <c r="B8" s="216"/>
      <c r="C8" s="216"/>
      <c r="D8" s="73" t="s">
        <v>47</v>
      </c>
      <c r="E8" s="165">
        <v>73319</v>
      </c>
      <c r="F8" s="165">
        <v>5955</v>
      </c>
      <c r="G8" s="165">
        <v>33921</v>
      </c>
      <c r="H8" s="165">
        <v>4788</v>
      </c>
      <c r="I8" s="165">
        <v>34832</v>
      </c>
      <c r="J8" s="96">
        <f t="shared" si="4"/>
        <v>-1167</v>
      </c>
      <c r="K8" s="97">
        <f t="shared" si="5"/>
        <v>-19.596977329974806</v>
      </c>
      <c r="L8" s="98">
        <f>I8-G8</f>
        <v>911</v>
      </c>
      <c r="M8" s="127">
        <f>(I8/G8*100)-100</f>
        <v>2.6856519560154481</v>
      </c>
      <c r="P8" s="64" t="s">
        <v>74</v>
      </c>
    </row>
    <row r="9" spans="1:16" ht="21.2" customHeight="1">
      <c r="A9" s="215"/>
      <c r="B9" s="216"/>
      <c r="C9" s="216"/>
      <c r="D9" s="73" t="s">
        <v>48</v>
      </c>
      <c r="E9" s="165">
        <v>1108270</v>
      </c>
      <c r="F9" s="165">
        <v>92985</v>
      </c>
      <c r="G9" s="165">
        <v>531424</v>
      </c>
      <c r="H9" s="165">
        <v>71122</v>
      </c>
      <c r="I9" s="165">
        <v>525803</v>
      </c>
      <c r="J9" s="96">
        <f t="shared" si="4"/>
        <v>-21863</v>
      </c>
      <c r="K9" s="97">
        <f t="shared" si="5"/>
        <v>-23.512394472226703</v>
      </c>
      <c r="L9" s="98">
        <f t="shared" si="2"/>
        <v>-5621</v>
      </c>
      <c r="M9" s="127">
        <f t="shared" si="3"/>
        <v>-1.0577241524658376</v>
      </c>
      <c r="P9" s="64" t="s">
        <v>74</v>
      </c>
    </row>
    <row r="10" spans="1:16" ht="21.2" customHeight="1">
      <c r="A10" s="215" t="s">
        <v>94</v>
      </c>
      <c r="B10" s="216"/>
      <c r="C10" s="216"/>
      <c r="D10" s="73" t="s">
        <v>47</v>
      </c>
      <c r="E10" s="165">
        <v>32</v>
      </c>
      <c r="F10" s="124">
        <v>0</v>
      </c>
      <c r="G10" s="124">
        <v>12</v>
      </c>
      <c r="H10" s="124">
        <v>0</v>
      </c>
      <c r="I10" s="124">
        <v>11</v>
      </c>
      <c r="J10" s="96">
        <f t="shared" si="4"/>
        <v>0</v>
      </c>
      <c r="K10" s="124">
        <v>0</v>
      </c>
      <c r="L10" s="98">
        <f t="shared" si="2"/>
        <v>-1</v>
      </c>
      <c r="M10" s="143">
        <v>0</v>
      </c>
      <c r="P10" s="64" t="s">
        <v>95</v>
      </c>
    </row>
    <row r="11" spans="1:16" ht="21.2" customHeight="1">
      <c r="A11" s="215"/>
      <c r="B11" s="216"/>
      <c r="C11" s="216"/>
      <c r="D11" s="73" t="s">
        <v>48</v>
      </c>
      <c r="E11" s="165">
        <v>760</v>
      </c>
      <c r="F11" s="124">
        <v>0</v>
      </c>
      <c r="G11" s="124">
        <v>310</v>
      </c>
      <c r="H11" s="124">
        <v>0</v>
      </c>
      <c r="I11" s="124">
        <v>39</v>
      </c>
      <c r="J11" s="96">
        <f t="shared" si="4"/>
        <v>0</v>
      </c>
      <c r="K11" s="124">
        <v>0</v>
      </c>
      <c r="L11" s="98">
        <f t="shared" si="2"/>
        <v>-271</v>
      </c>
      <c r="M11" s="143">
        <v>0</v>
      </c>
      <c r="P11" s="64" t="s">
        <v>95</v>
      </c>
    </row>
    <row r="12" spans="1:16" ht="21.2" customHeight="1">
      <c r="A12" s="215" t="s">
        <v>66</v>
      </c>
      <c r="B12" s="216"/>
      <c r="C12" s="216"/>
      <c r="D12" s="73" t="s">
        <v>47</v>
      </c>
      <c r="E12" s="124">
        <v>0</v>
      </c>
      <c r="F12" s="124">
        <v>0</v>
      </c>
      <c r="G12" s="124">
        <v>0</v>
      </c>
      <c r="H12" s="124">
        <v>0</v>
      </c>
      <c r="I12" s="124">
        <v>0</v>
      </c>
      <c r="J12" s="96">
        <f t="shared" si="4"/>
        <v>0</v>
      </c>
      <c r="K12" s="124">
        <v>0</v>
      </c>
      <c r="L12" s="98">
        <f t="shared" si="2"/>
        <v>0</v>
      </c>
      <c r="M12" s="143">
        <v>0</v>
      </c>
      <c r="P12" s="64" t="s">
        <v>75</v>
      </c>
    </row>
    <row r="13" spans="1:16" ht="21.2" customHeight="1">
      <c r="A13" s="215"/>
      <c r="B13" s="216"/>
      <c r="C13" s="216"/>
      <c r="D13" s="73" t="s">
        <v>65</v>
      </c>
      <c r="E13" s="124">
        <v>0</v>
      </c>
      <c r="F13" s="124">
        <v>0</v>
      </c>
      <c r="G13" s="124">
        <v>0</v>
      </c>
      <c r="H13" s="124">
        <v>0</v>
      </c>
      <c r="I13" s="124">
        <v>0</v>
      </c>
      <c r="J13" s="96">
        <f t="shared" si="4"/>
        <v>0</v>
      </c>
      <c r="K13" s="124">
        <v>0</v>
      </c>
      <c r="L13" s="98">
        <f t="shared" si="2"/>
        <v>0</v>
      </c>
      <c r="M13" s="143">
        <v>0</v>
      </c>
      <c r="P13" s="64" t="s">
        <v>75</v>
      </c>
    </row>
    <row r="14" spans="1:16" ht="21.2" customHeight="1">
      <c r="A14" s="215" t="s">
        <v>55</v>
      </c>
      <c r="B14" s="216"/>
      <c r="C14" s="216"/>
      <c r="D14" s="73" t="s">
        <v>47</v>
      </c>
      <c r="E14" s="165">
        <v>113070</v>
      </c>
      <c r="F14" s="165">
        <v>12026</v>
      </c>
      <c r="G14" s="165">
        <v>56858</v>
      </c>
      <c r="H14" s="165">
        <v>11002</v>
      </c>
      <c r="I14" s="165">
        <v>63424</v>
      </c>
      <c r="J14" s="96">
        <f t="shared" si="4"/>
        <v>-1024</v>
      </c>
      <c r="K14" s="97">
        <f t="shared" si="5"/>
        <v>-8.5148844170962974</v>
      </c>
      <c r="L14" s="98">
        <f t="shared" si="2"/>
        <v>6566</v>
      </c>
      <c r="M14" s="127">
        <f>(I14/G14*100)-100</f>
        <v>11.548067114566109</v>
      </c>
      <c r="P14" s="64" t="s">
        <v>76</v>
      </c>
    </row>
    <row r="15" spans="1:16" ht="21.2" customHeight="1">
      <c r="A15" s="215"/>
      <c r="B15" s="216"/>
      <c r="C15" s="216"/>
      <c r="D15" s="73" t="s">
        <v>48</v>
      </c>
      <c r="E15" s="165">
        <v>1740430</v>
      </c>
      <c r="F15" s="165">
        <v>185871</v>
      </c>
      <c r="G15" s="165">
        <v>846166</v>
      </c>
      <c r="H15" s="165">
        <v>203336</v>
      </c>
      <c r="I15" s="165">
        <v>1011200</v>
      </c>
      <c r="J15" s="96">
        <f t="shared" si="4"/>
        <v>17465</v>
      </c>
      <c r="K15" s="97">
        <f t="shared" si="5"/>
        <v>9.3963017361503347</v>
      </c>
      <c r="L15" s="98">
        <f t="shared" si="2"/>
        <v>165034</v>
      </c>
      <c r="M15" s="127">
        <f t="shared" si="3"/>
        <v>19.503738037217275</v>
      </c>
      <c r="P15" s="64" t="s">
        <v>77</v>
      </c>
    </row>
    <row r="16" spans="1:16" ht="21.2" customHeight="1">
      <c r="A16" s="215" t="s">
        <v>62</v>
      </c>
      <c r="B16" s="216"/>
      <c r="C16" s="216"/>
      <c r="D16" s="73" t="s">
        <v>47</v>
      </c>
      <c r="E16" s="165">
        <v>257133</v>
      </c>
      <c r="F16" s="165">
        <v>23643</v>
      </c>
      <c r="G16" s="165">
        <v>132645</v>
      </c>
      <c r="H16" s="165">
        <v>17645</v>
      </c>
      <c r="I16" s="165">
        <v>111648</v>
      </c>
      <c r="J16" s="96">
        <f t="shared" si="4"/>
        <v>-5998</v>
      </c>
      <c r="K16" s="97">
        <f t="shared" si="5"/>
        <v>-25.369031002833822</v>
      </c>
      <c r="L16" s="98">
        <f t="shared" si="2"/>
        <v>-20997</v>
      </c>
      <c r="M16" s="127">
        <f t="shared" si="3"/>
        <v>-15.829469637001012</v>
      </c>
      <c r="P16" s="64" t="s">
        <v>78</v>
      </c>
    </row>
    <row r="17" spans="1:16" ht="21.2" customHeight="1">
      <c r="A17" s="215"/>
      <c r="B17" s="216"/>
      <c r="C17" s="216"/>
      <c r="D17" s="73" t="s">
        <v>48</v>
      </c>
      <c r="E17" s="165">
        <v>3567347</v>
      </c>
      <c r="F17" s="165">
        <v>326098</v>
      </c>
      <c r="G17" s="165">
        <v>1850053</v>
      </c>
      <c r="H17" s="165">
        <v>270408</v>
      </c>
      <c r="I17" s="165">
        <v>1584849</v>
      </c>
      <c r="J17" s="96">
        <f t="shared" si="4"/>
        <v>-55690</v>
      </c>
      <c r="K17" s="97">
        <f t="shared" si="5"/>
        <v>-17.077688302289502</v>
      </c>
      <c r="L17" s="98">
        <f t="shared" si="2"/>
        <v>-265204</v>
      </c>
      <c r="M17" s="127">
        <f t="shared" si="3"/>
        <v>-14.334940674672552</v>
      </c>
      <c r="P17" s="64" t="s">
        <v>79</v>
      </c>
    </row>
    <row r="18" spans="1:16" ht="21.2" customHeight="1">
      <c r="A18" s="215" t="s">
        <v>56</v>
      </c>
      <c r="B18" s="216"/>
      <c r="C18" s="216"/>
      <c r="D18" s="73" t="s">
        <v>47</v>
      </c>
      <c r="E18" s="165">
        <v>148930</v>
      </c>
      <c r="F18" s="165">
        <v>15438</v>
      </c>
      <c r="G18" s="165">
        <v>75879</v>
      </c>
      <c r="H18" s="165">
        <v>8763</v>
      </c>
      <c r="I18" s="165">
        <v>61459</v>
      </c>
      <c r="J18" s="96">
        <f t="shared" si="4"/>
        <v>-6675</v>
      </c>
      <c r="K18" s="97">
        <f t="shared" si="5"/>
        <v>-43.237465993004278</v>
      </c>
      <c r="L18" s="98">
        <f t="shared" si="2"/>
        <v>-14420</v>
      </c>
      <c r="M18" s="128">
        <f t="shared" si="3"/>
        <v>-19.003940484191943</v>
      </c>
      <c r="P18" s="64" t="s">
        <v>80</v>
      </c>
    </row>
    <row r="19" spans="1:16" ht="21.2" customHeight="1">
      <c r="A19" s="215"/>
      <c r="B19" s="216"/>
      <c r="C19" s="216"/>
      <c r="D19" s="73" t="s">
        <v>48</v>
      </c>
      <c r="E19" s="165">
        <v>2355281</v>
      </c>
      <c r="F19" s="165">
        <v>217940</v>
      </c>
      <c r="G19" s="165">
        <v>1189402</v>
      </c>
      <c r="H19" s="165">
        <v>146942</v>
      </c>
      <c r="I19" s="165">
        <v>1004744</v>
      </c>
      <c r="J19" s="96">
        <f t="shared" si="4"/>
        <v>-70998</v>
      </c>
      <c r="K19" s="97">
        <f t="shared" si="5"/>
        <v>-32.576856015417093</v>
      </c>
      <c r="L19" s="98">
        <f t="shared" si="2"/>
        <v>-184658</v>
      </c>
      <c r="M19" s="128">
        <f t="shared" si="3"/>
        <v>-15.525280771345592</v>
      </c>
      <c r="P19" s="64" t="s">
        <v>81</v>
      </c>
    </row>
    <row r="20" spans="1:16" ht="21.2" customHeight="1">
      <c r="A20" s="231" t="s">
        <v>68</v>
      </c>
      <c r="B20" s="232"/>
      <c r="C20" s="232"/>
      <c r="D20" s="109" t="s">
        <v>47</v>
      </c>
      <c r="E20" s="124">
        <v>0</v>
      </c>
      <c r="F20" s="124">
        <v>0</v>
      </c>
      <c r="G20" s="124">
        <v>0</v>
      </c>
      <c r="H20" s="124">
        <v>0</v>
      </c>
      <c r="I20" s="124">
        <v>0</v>
      </c>
      <c r="J20" s="110">
        <f t="shared" si="4"/>
        <v>0</v>
      </c>
      <c r="K20" s="124">
        <v>0</v>
      </c>
      <c r="L20" s="98">
        <f t="shared" si="2"/>
        <v>0</v>
      </c>
      <c r="M20" s="143">
        <v>0</v>
      </c>
      <c r="P20" s="64" t="s">
        <v>82</v>
      </c>
    </row>
    <row r="21" spans="1:16" ht="21.2" customHeight="1">
      <c r="A21" s="231"/>
      <c r="B21" s="232"/>
      <c r="C21" s="232"/>
      <c r="D21" s="109" t="s">
        <v>48</v>
      </c>
      <c r="E21" s="124">
        <v>0</v>
      </c>
      <c r="F21" s="124">
        <v>0</v>
      </c>
      <c r="G21" s="124">
        <v>0</v>
      </c>
      <c r="H21" s="124">
        <v>0</v>
      </c>
      <c r="I21" s="124">
        <v>0</v>
      </c>
      <c r="J21" s="110">
        <f t="shared" si="0"/>
        <v>0</v>
      </c>
      <c r="K21" s="124">
        <v>0</v>
      </c>
      <c r="L21" s="98">
        <f t="shared" si="2"/>
        <v>0</v>
      </c>
      <c r="M21" s="143">
        <v>0</v>
      </c>
      <c r="P21" s="64" t="s">
        <v>83</v>
      </c>
    </row>
    <row r="22" spans="1:16" ht="21.2" customHeight="1">
      <c r="A22" s="215" t="s">
        <v>93</v>
      </c>
      <c r="B22" s="216"/>
      <c r="C22" s="216"/>
      <c r="D22" s="73" t="s">
        <v>47</v>
      </c>
      <c r="E22" s="165">
        <v>8</v>
      </c>
      <c r="F22" s="124">
        <v>0</v>
      </c>
      <c r="G22" s="124">
        <v>0</v>
      </c>
      <c r="H22" s="124">
        <v>0</v>
      </c>
      <c r="I22" s="124">
        <v>0</v>
      </c>
      <c r="J22" s="110">
        <f t="shared" si="0"/>
        <v>0</v>
      </c>
      <c r="K22" s="124">
        <v>0</v>
      </c>
      <c r="L22" s="98">
        <f t="shared" si="2"/>
        <v>0</v>
      </c>
      <c r="M22" s="143">
        <v>0</v>
      </c>
      <c r="P22" s="64" t="s">
        <v>96</v>
      </c>
    </row>
    <row r="23" spans="1:16" ht="21.2" customHeight="1">
      <c r="A23" s="215"/>
      <c r="B23" s="216"/>
      <c r="C23" s="216"/>
      <c r="D23" s="73" t="s">
        <v>48</v>
      </c>
      <c r="E23" s="165">
        <v>43</v>
      </c>
      <c r="F23" s="124">
        <v>0</v>
      </c>
      <c r="G23" s="124">
        <v>0</v>
      </c>
      <c r="H23" s="124">
        <v>0</v>
      </c>
      <c r="I23" s="124">
        <v>0</v>
      </c>
      <c r="J23" s="110">
        <f t="shared" si="0"/>
        <v>0</v>
      </c>
      <c r="K23" s="124">
        <v>0</v>
      </c>
      <c r="L23" s="98">
        <f t="shared" si="2"/>
        <v>0</v>
      </c>
      <c r="M23" s="143">
        <v>0</v>
      </c>
      <c r="P23" s="64" t="s">
        <v>96</v>
      </c>
    </row>
    <row r="24" spans="1:16" ht="21.2" customHeight="1">
      <c r="A24" s="215" t="s">
        <v>63</v>
      </c>
      <c r="B24" s="216"/>
      <c r="C24" s="216"/>
      <c r="D24" s="73" t="s">
        <v>64</v>
      </c>
      <c r="E24" s="165">
        <v>43</v>
      </c>
      <c r="F24" s="124">
        <v>0</v>
      </c>
      <c r="G24" s="124">
        <v>16</v>
      </c>
      <c r="H24" s="124">
        <v>0</v>
      </c>
      <c r="I24" s="124">
        <v>34</v>
      </c>
      <c r="J24" s="110">
        <f t="shared" si="0"/>
        <v>0</v>
      </c>
      <c r="K24" s="124">
        <v>0</v>
      </c>
      <c r="L24" s="98">
        <f t="shared" si="2"/>
        <v>18</v>
      </c>
      <c r="M24" s="143">
        <v>0</v>
      </c>
      <c r="P24" s="64" t="s">
        <v>84</v>
      </c>
    </row>
    <row r="25" spans="1:16" ht="21.2" customHeight="1">
      <c r="A25" s="215"/>
      <c r="B25" s="216"/>
      <c r="C25" s="216"/>
      <c r="D25" s="73" t="s">
        <v>65</v>
      </c>
      <c r="E25" s="165">
        <v>492</v>
      </c>
      <c r="F25" s="124">
        <v>0</v>
      </c>
      <c r="G25" s="124">
        <v>129</v>
      </c>
      <c r="H25" s="124">
        <v>0</v>
      </c>
      <c r="I25" s="124">
        <v>244</v>
      </c>
      <c r="J25" s="110">
        <f t="shared" si="0"/>
        <v>0</v>
      </c>
      <c r="K25" s="124">
        <v>0</v>
      </c>
      <c r="L25" s="98">
        <f t="shared" si="2"/>
        <v>115</v>
      </c>
      <c r="M25" s="143">
        <v>0</v>
      </c>
      <c r="P25" s="64" t="s">
        <v>84</v>
      </c>
    </row>
    <row r="26" spans="1:16" ht="21.2" customHeight="1">
      <c r="A26" s="215" t="s">
        <v>58</v>
      </c>
      <c r="B26" s="216"/>
      <c r="C26" s="216"/>
      <c r="D26" s="73" t="s">
        <v>47</v>
      </c>
      <c r="E26" s="165">
        <v>478</v>
      </c>
      <c r="F26" s="124">
        <v>68</v>
      </c>
      <c r="G26" s="124">
        <v>176</v>
      </c>
      <c r="H26" s="124">
        <v>0</v>
      </c>
      <c r="I26" s="165">
        <v>212</v>
      </c>
      <c r="J26" s="110">
        <f t="shared" si="0"/>
        <v>-68</v>
      </c>
      <c r="K26" s="97">
        <f t="shared" si="1"/>
        <v>-100</v>
      </c>
      <c r="L26" s="98">
        <f t="shared" si="2"/>
        <v>36</v>
      </c>
      <c r="M26" s="127">
        <f t="shared" si="3"/>
        <v>20.454545454545453</v>
      </c>
      <c r="P26" s="64" t="s">
        <v>85</v>
      </c>
    </row>
    <row r="27" spans="1:16" ht="21.2" customHeight="1">
      <c r="A27" s="215"/>
      <c r="B27" s="216"/>
      <c r="C27" s="216"/>
      <c r="D27" s="73" t="s">
        <v>48</v>
      </c>
      <c r="E27" s="165">
        <v>2537</v>
      </c>
      <c r="F27" s="124">
        <v>602</v>
      </c>
      <c r="G27" s="124">
        <v>1567</v>
      </c>
      <c r="H27" s="124">
        <v>0</v>
      </c>
      <c r="I27" s="165">
        <v>1888</v>
      </c>
      <c r="J27" s="110">
        <f t="shared" si="0"/>
        <v>-602</v>
      </c>
      <c r="K27" s="97">
        <f t="shared" si="1"/>
        <v>-100</v>
      </c>
      <c r="L27" s="98">
        <f t="shared" si="2"/>
        <v>321</v>
      </c>
      <c r="M27" s="127">
        <f t="shared" si="3"/>
        <v>20.48500319081046</v>
      </c>
      <c r="P27" s="64" t="s">
        <v>86</v>
      </c>
    </row>
    <row r="28" spans="1:16" ht="21.2" customHeight="1">
      <c r="A28" s="215" t="s">
        <v>59</v>
      </c>
      <c r="B28" s="216"/>
      <c r="C28" s="216"/>
      <c r="D28" s="73" t="s">
        <v>47</v>
      </c>
      <c r="E28" s="165">
        <v>95587</v>
      </c>
      <c r="F28" s="165">
        <v>8111</v>
      </c>
      <c r="G28" s="165">
        <v>42883</v>
      </c>
      <c r="H28" s="165">
        <v>7688</v>
      </c>
      <c r="I28" s="165">
        <v>46411</v>
      </c>
      <c r="J28" s="110">
        <f t="shared" si="0"/>
        <v>-423</v>
      </c>
      <c r="K28" s="97">
        <f t="shared" si="1"/>
        <v>-5.2151399334237425</v>
      </c>
      <c r="L28" s="98">
        <f t="shared" si="2"/>
        <v>3528</v>
      </c>
      <c r="M28" s="127">
        <f t="shared" si="3"/>
        <v>8.2270363547326468</v>
      </c>
      <c r="P28" s="64" t="s">
        <v>87</v>
      </c>
    </row>
    <row r="29" spans="1:16" ht="21.2" customHeight="1">
      <c r="A29" s="215"/>
      <c r="B29" s="216"/>
      <c r="C29" s="216"/>
      <c r="D29" s="73" t="s">
        <v>48</v>
      </c>
      <c r="E29" s="165">
        <v>1614394</v>
      </c>
      <c r="F29" s="165">
        <v>136902</v>
      </c>
      <c r="G29" s="165">
        <v>699276</v>
      </c>
      <c r="H29" s="165">
        <v>128895</v>
      </c>
      <c r="I29" s="165">
        <v>811997</v>
      </c>
      <c r="J29" s="110">
        <f t="shared" si="0"/>
        <v>-8007</v>
      </c>
      <c r="K29" s="97">
        <f t="shared" si="1"/>
        <v>-5.8487092957005729</v>
      </c>
      <c r="L29" s="98">
        <f t="shared" si="2"/>
        <v>112721</v>
      </c>
      <c r="M29" s="127">
        <f t="shared" si="3"/>
        <v>16.119672346827301</v>
      </c>
      <c r="P29" s="64" t="s">
        <v>88</v>
      </c>
    </row>
    <row r="30" spans="1:16" ht="21.2" customHeight="1">
      <c r="A30" s="215" t="s">
        <v>60</v>
      </c>
      <c r="B30" s="216"/>
      <c r="C30" s="216"/>
      <c r="D30" s="73" t="s">
        <v>47</v>
      </c>
      <c r="E30" s="165">
        <v>139949</v>
      </c>
      <c r="F30" s="165">
        <v>10231</v>
      </c>
      <c r="G30" s="165">
        <v>58852</v>
      </c>
      <c r="H30" s="165">
        <v>11057</v>
      </c>
      <c r="I30" s="165">
        <v>66870</v>
      </c>
      <c r="J30" s="96">
        <f t="shared" si="0"/>
        <v>826</v>
      </c>
      <c r="K30" s="97">
        <f t="shared" si="1"/>
        <v>8.0735021014563699</v>
      </c>
      <c r="L30" s="98">
        <f t="shared" si="2"/>
        <v>8018</v>
      </c>
      <c r="M30" s="127">
        <f t="shared" si="3"/>
        <v>13.624005981105142</v>
      </c>
      <c r="P30" s="64" t="s">
        <v>89</v>
      </c>
    </row>
    <row r="31" spans="1:16" ht="21.2" customHeight="1">
      <c r="A31" s="215"/>
      <c r="B31" s="216"/>
      <c r="C31" s="216"/>
      <c r="D31" s="73" t="s">
        <v>48</v>
      </c>
      <c r="E31" s="165">
        <v>2096293</v>
      </c>
      <c r="F31" s="165">
        <v>147737</v>
      </c>
      <c r="G31" s="165">
        <v>895092</v>
      </c>
      <c r="H31" s="165">
        <v>154620</v>
      </c>
      <c r="I31" s="165">
        <v>974810</v>
      </c>
      <c r="J31" s="96">
        <f t="shared" si="0"/>
        <v>6883</v>
      </c>
      <c r="K31" s="97">
        <f t="shared" si="1"/>
        <v>4.6589547642093692</v>
      </c>
      <c r="L31" s="98">
        <f t="shared" si="2"/>
        <v>79718</v>
      </c>
      <c r="M31" s="127">
        <f t="shared" si="3"/>
        <v>8.9061236163433506</v>
      </c>
      <c r="P31" s="64" t="s">
        <v>90</v>
      </c>
    </row>
    <row r="32" spans="1:16" ht="21.2" customHeight="1">
      <c r="A32" s="215" t="s">
        <v>61</v>
      </c>
      <c r="B32" s="216"/>
      <c r="C32" s="216"/>
      <c r="D32" s="73" t="s">
        <v>47</v>
      </c>
      <c r="E32" s="165">
        <v>52891</v>
      </c>
      <c r="F32" s="165">
        <v>4987</v>
      </c>
      <c r="G32" s="165">
        <v>27159</v>
      </c>
      <c r="H32" s="165">
        <v>3405</v>
      </c>
      <c r="I32" s="165">
        <v>23357</v>
      </c>
      <c r="J32" s="96">
        <f>H32-F32</f>
        <v>-1582</v>
      </c>
      <c r="K32" s="97">
        <f t="shared" si="1"/>
        <v>-31.722478443954287</v>
      </c>
      <c r="L32" s="98">
        <f>I32-G32</f>
        <v>-3802</v>
      </c>
      <c r="M32" s="127">
        <f t="shared" si="3"/>
        <v>-13.99904267461983</v>
      </c>
      <c r="P32" s="64" t="s">
        <v>91</v>
      </c>
    </row>
    <row r="33" spans="1:16" ht="21.2" customHeight="1">
      <c r="A33" s="215"/>
      <c r="B33" s="216"/>
      <c r="C33" s="216"/>
      <c r="D33" s="73" t="s">
        <v>48</v>
      </c>
      <c r="E33" s="165">
        <v>864813</v>
      </c>
      <c r="F33" s="165">
        <v>74305</v>
      </c>
      <c r="G33" s="165">
        <v>430936</v>
      </c>
      <c r="H33" s="165">
        <v>53996</v>
      </c>
      <c r="I33" s="165">
        <v>388370</v>
      </c>
      <c r="J33" s="96">
        <f>H33-F33</f>
        <v>-20309</v>
      </c>
      <c r="K33" s="97">
        <f t="shared" si="1"/>
        <v>-27.331942668730235</v>
      </c>
      <c r="L33" s="98">
        <f>I33-G33</f>
        <v>-42566</v>
      </c>
      <c r="M33" s="127">
        <f t="shared" si="3"/>
        <v>-9.8775688269255824</v>
      </c>
      <c r="P33" s="64" t="s">
        <v>92</v>
      </c>
    </row>
    <row r="34" spans="1:16" ht="21.2" customHeight="1">
      <c r="A34" s="217" t="s">
        <v>100</v>
      </c>
      <c r="B34" s="218"/>
      <c r="C34" s="218"/>
      <c r="D34" s="149" t="s">
        <v>47</v>
      </c>
      <c r="E34" s="124">
        <v>0</v>
      </c>
      <c r="F34" s="124">
        <v>0</v>
      </c>
      <c r="G34" s="124">
        <v>0</v>
      </c>
      <c r="H34" s="124">
        <v>0</v>
      </c>
      <c r="I34" s="150">
        <v>80</v>
      </c>
      <c r="J34" s="151">
        <f>H34-F34</f>
        <v>0</v>
      </c>
      <c r="K34" s="124">
        <v>0</v>
      </c>
      <c r="L34" s="152">
        <f>I34-G34</f>
        <v>80</v>
      </c>
      <c r="M34" s="155" t="s">
        <v>99</v>
      </c>
      <c r="P34" s="64" t="s">
        <v>101</v>
      </c>
    </row>
    <row r="35" spans="1:16" ht="21.2" customHeight="1" thickBot="1">
      <c r="A35" s="219"/>
      <c r="B35" s="220"/>
      <c r="C35" s="220"/>
      <c r="D35" s="129" t="s">
        <v>48</v>
      </c>
      <c r="E35" s="153">
        <v>0</v>
      </c>
      <c r="F35" s="153">
        <v>0</v>
      </c>
      <c r="G35" s="153">
        <v>0</v>
      </c>
      <c r="H35" s="153">
        <v>0</v>
      </c>
      <c r="I35" s="130">
        <v>1384</v>
      </c>
      <c r="J35" s="131">
        <f>H35-F35</f>
        <v>0</v>
      </c>
      <c r="K35" s="153">
        <v>0</v>
      </c>
      <c r="L35" s="132">
        <f>I35-G35</f>
        <v>1384</v>
      </c>
      <c r="M35" s="156" t="s">
        <v>99</v>
      </c>
      <c r="P35" s="64" t="s">
        <v>101</v>
      </c>
    </row>
  </sheetData>
  <mergeCells count="21">
    <mergeCell ref="A34:C35"/>
    <mergeCell ref="J2:M2"/>
    <mergeCell ref="A4:C5"/>
    <mergeCell ref="A6:C7"/>
    <mergeCell ref="A8:C9"/>
    <mergeCell ref="A2:C3"/>
    <mergeCell ref="D2:D3"/>
    <mergeCell ref="F2:G2"/>
    <mergeCell ref="H2:I2"/>
    <mergeCell ref="A10:C11"/>
    <mergeCell ref="A12:C13"/>
    <mergeCell ref="A32:C33"/>
    <mergeCell ref="A28:C29"/>
    <mergeCell ref="A30:C31"/>
    <mergeCell ref="A20:C21"/>
    <mergeCell ref="A14:C15"/>
    <mergeCell ref="A16:C17"/>
    <mergeCell ref="A18:C19"/>
    <mergeCell ref="A26:C27"/>
    <mergeCell ref="A24:C25"/>
    <mergeCell ref="A22:C23"/>
  </mergeCells>
  <phoneticPr fontId="23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D1" sqref="D1"/>
    </sheetView>
  </sheetViews>
  <sheetFormatPr defaultColWidth="10" defaultRowHeight="13.5"/>
  <cols>
    <col min="1" max="1" width="10" style="64" customWidth="1"/>
    <col min="2" max="2" width="5.75" style="64" customWidth="1"/>
    <col min="3" max="3" width="1" style="64" customWidth="1"/>
    <col min="4" max="4" width="8" style="64" customWidth="1"/>
    <col min="5" max="5" width="14.875" style="64" bestFit="1" customWidth="1"/>
    <col min="6" max="6" width="11" style="64" customWidth="1"/>
    <col min="7" max="7" width="13.25" style="64" customWidth="1"/>
    <col min="8" max="8" width="11" style="64" customWidth="1"/>
    <col min="9" max="9" width="13.25" style="64" customWidth="1"/>
    <col min="10" max="10" width="12.25" style="64" customWidth="1"/>
    <col min="11" max="11" width="11" style="64" customWidth="1"/>
    <col min="12" max="12" width="12.75" style="64" customWidth="1"/>
    <col min="13" max="13" width="11" style="64" customWidth="1"/>
    <col min="14" max="16384" width="10" style="64"/>
  </cols>
  <sheetData>
    <row r="1" spans="1:16" ht="50.25" customHeight="1" thickBot="1">
      <c r="A1" s="75" t="s">
        <v>38</v>
      </c>
      <c r="F1" s="120"/>
      <c r="G1" s="120"/>
      <c r="H1" s="120"/>
      <c r="I1" s="120"/>
      <c r="J1" s="65"/>
      <c r="K1" s="66"/>
      <c r="L1" s="67"/>
      <c r="M1" s="68"/>
    </row>
    <row r="2" spans="1:16" ht="21.95" customHeight="1">
      <c r="A2" s="225" t="s">
        <v>7</v>
      </c>
      <c r="B2" s="226"/>
      <c r="C2" s="226"/>
      <c r="D2" s="229" t="s">
        <v>40</v>
      </c>
      <c r="E2" s="69"/>
      <c r="F2" s="221" t="s">
        <v>72</v>
      </c>
      <c r="G2" s="221"/>
      <c r="H2" s="221" t="s">
        <v>97</v>
      </c>
      <c r="I2" s="221"/>
      <c r="J2" s="221" t="s">
        <v>15</v>
      </c>
      <c r="K2" s="221"/>
      <c r="L2" s="221"/>
      <c r="M2" s="222"/>
    </row>
    <row r="3" spans="1:16" ht="21.95" customHeight="1">
      <c r="A3" s="227"/>
      <c r="B3" s="228"/>
      <c r="C3" s="228"/>
      <c r="D3" s="230"/>
      <c r="E3" s="70" t="s">
        <v>11</v>
      </c>
      <c r="F3" s="70" t="s">
        <v>107</v>
      </c>
      <c r="G3" s="70" t="s">
        <v>108</v>
      </c>
      <c r="H3" s="112" t="s">
        <v>109</v>
      </c>
      <c r="I3" s="70" t="s">
        <v>110</v>
      </c>
      <c r="J3" s="70" t="s">
        <v>43</v>
      </c>
      <c r="K3" s="71" t="s">
        <v>16</v>
      </c>
      <c r="L3" s="72" t="s">
        <v>18</v>
      </c>
      <c r="M3" s="125" t="s">
        <v>16</v>
      </c>
    </row>
    <row r="4" spans="1:16" ht="21.95" customHeight="1">
      <c r="A4" s="223" t="s">
        <v>46</v>
      </c>
      <c r="B4" s="224"/>
      <c r="C4" s="224"/>
      <c r="D4" s="166" t="s">
        <v>47</v>
      </c>
      <c r="E4" s="99">
        <f>SUM(E6,E8,E10,E12,E14,E16,E18,E22,E20,E26,E28,E30,E32,E24,E34)</f>
        <v>936246</v>
      </c>
      <c r="F4" s="99">
        <f>SUM(F6,F8,F10,F12,F14,F16,F18,F22,F20,F26,F28,F30,F32,F24,F34)</f>
        <v>80508</v>
      </c>
      <c r="G4" s="99">
        <f>SUM(G6,G8,G10,G12,G14,G16,G18,G22,G20,G26,G28,G30,G32,G24,G34)</f>
        <v>369467</v>
      </c>
      <c r="H4" s="99">
        <f>SUM(H6,H8,H10,H12,H14,H16,H18,H22,H20,H26,H28,H30,H32,H24,H34)</f>
        <v>88782</v>
      </c>
      <c r="I4" s="99">
        <f>SUM(I6,I8,I10,I12,I14,I16,I18,I22,I20,I26,I28,I30,I32,I24,I34)</f>
        <v>367898</v>
      </c>
      <c r="J4" s="93">
        <f t="shared" ref="J4:J31" si="0">H4-F4</f>
        <v>8274</v>
      </c>
      <c r="K4" s="94">
        <f t="shared" ref="K4:K33" si="1">(H4/F4*100)-100</f>
        <v>10.277239528990918</v>
      </c>
      <c r="L4" s="95">
        <f t="shared" ref="L4:L31" si="2">I4-G4</f>
        <v>-1569</v>
      </c>
      <c r="M4" s="126">
        <f t="shared" ref="M4:M33" si="3">(I4/G4*100)-100</f>
        <v>-0.42466580235853257</v>
      </c>
    </row>
    <row r="5" spans="1:16" ht="21.95" customHeight="1">
      <c r="A5" s="223"/>
      <c r="B5" s="224"/>
      <c r="C5" s="224"/>
      <c r="D5" s="166" t="s">
        <v>48</v>
      </c>
      <c r="E5" s="99">
        <f>SUM(E7,E9,E11,E13,E15,E17,E19,E21,E23,E27,E29,E31,E33,E25)</f>
        <v>14361448</v>
      </c>
      <c r="F5" s="99">
        <f>SUM(F7,F9,F11,F13,F15,F17,F19,F21,F23,F27,F29,F31,F33,F25,F35)</f>
        <v>1210801</v>
      </c>
      <c r="G5" s="99">
        <f>SUM(G7,G9,G11,G13,G15,G17,G19,G21,G23,G27,G29,G31,G33,G25,G35)</f>
        <v>5656978</v>
      </c>
      <c r="H5" s="99">
        <f>SUM(H7,H9,H11,H13,H15,H17,H19,H21,H23,H27,H29,H31,H33,H25,H35)</f>
        <v>1355145</v>
      </c>
      <c r="I5" s="99">
        <f>SUM(I7,I9,I11,I13,I15,I17,I19,I21,I23,I27,I29,I31,I33,I25,I35)</f>
        <v>5728038</v>
      </c>
      <c r="J5" s="93">
        <f t="shared" si="0"/>
        <v>144344</v>
      </c>
      <c r="K5" s="94">
        <f t="shared" si="1"/>
        <v>11.92136445212715</v>
      </c>
      <c r="L5" s="95">
        <f t="shared" si="2"/>
        <v>71060</v>
      </c>
      <c r="M5" s="126">
        <f t="shared" si="3"/>
        <v>1.2561477170319506</v>
      </c>
    </row>
    <row r="6" spans="1:16" ht="21.2" customHeight="1">
      <c r="A6" s="215" t="s">
        <v>53</v>
      </c>
      <c r="B6" s="216"/>
      <c r="C6" s="216"/>
      <c r="D6" s="73" t="s">
        <v>47</v>
      </c>
      <c r="E6" s="165">
        <v>54806</v>
      </c>
      <c r="F6" s="165">
        <v>4928</v>
      </c>
      <c r="G6" s="165">
        <v>21525</v>
      </c>
      <c r="H6" s="165">
        <v>5223</v>
      </c>
      <c r="I6" s="165">
        <v>23908</v>
      </c>
      <c r="J6" s="96">
        <f t="shared" si="0"/>
        <v>295</v>
      </c>
      <c r="K6" s="97">
        <f t="shared" si="1"/>
        <v>5.9862012987012889</v>
      </c>
      <c r="L6" s="98">
        <f>I6-G6</f>
        <v>2383</v>
      </c>
      <c r="M6" s="127">
        <f>(I6/G6*100)-100</f>
        <v>11.070847851335657</v>
      </c>
      <c r="P6" s="64" t="s">
        <v>73</v>
      </c>
    </row>
    <row r="7" spans="1:16" ht="21.2" customHeight="1">
      <c r="A7" s="215"/>
      <c r="B7" s="216"/>
      <c r="C7" s="216"/>
      <c r="D7" s="73" t="s">
        <v>48</v>
      </c>
      <c r="E7" s="165">
        <v>1010788</v>
      </c>
      <c r="F7" s="165">
        <v>92297</v>
      </c>
      <c r="G7" s="165">
        <v>395063</v>
      </c>
      <c r="H7" s="165">
        <v>99271</v>
      </c>
      <c r="I7" s="165">
        <v>452029</v>
      </c>
      <c r="J7" s="96">
        <f t="shared" si="0"/>
        <v>6974</v>
      </c>
      <c r="K7" s="97">
        <f t="shared" si="1"/>
        <v>7.5560419081877086</v>
      </c>
      <c r="L7" s="98">
        <f t="shared" si="2"/>
        <v>56966</v>
      </c>
      <c r="M7" s="127">
        <f t="shared" si="3"/>
        <v>14.419472337323413</v>
      </c>
      <c r="P7" s="64" t="s">
        <v>73</v>
      </c>
    </row>
    <row r="8" spans="1:16" ht="21.2" customHeight="1">
      <c r="A8" s="215" t="s">
        <v>54</v>
      </c>
      <c r="B8" s="216"/>
      <c r="C8" s="216"/>
      <c r="D8" s="73" t="s">
        <v>47</v>
      </c>
      <c r="E8" s="165">
        <v>73319</v>
      </c>
      <c r="F8" s="165">
        <v>4279</v>
      </c>
      <c r="G8" s="165">
        <v>27966</v>
      </c>
      <c r="H8" s="165">
        <v>7203</v>
      </c>
      <c r="I8" s="165">
        <v>30044</v>
      </c>
      <c r="J8" s="96">
        <f t="shared" si="0"/>
        <v>2924</v>
      </c>
      <c r="K8" s="97">
        <f t="shared" si="1"/>
        <v>68.333722832437473</v>
      </c>
      <c r="L8" s="98">
        <f>I8-G8</f>
        <v>2078</v>
      </c>
      <c r="M8" s="127">
        <f>(I8/G8*100)-100</f>
        <v>7.4304512622470185</v>
      </c>
      <c r="P8" s="64" t="s">
        <v>74</v>
      </c>
    </row>
    <row r="9" spans="1:16" ht="21.2" customHeight="1">
      <c r="A9" s="215"/>
      <c r="B9" s="216"/>
      <c r="C9" s="216"/>
      <c r="D9" s="73" t="s">
        <v>48</v>
      </c>
      <c r="E9" s="165">
        <v>1108270</v>
      </c>
      <c r="F9" s="165">
        <v>65462</v>
      </c>
      <c r="G9" s="165">
        <v>438439</v>
      </c>
      <c r="H9" s="165">
        <v>102975</v>
      </c>
      <c r="I9" s="165">
        <v>454681</v>
      </c>
      <c r="J9" s="96">
        <f t="shared" si="0"/>
        <v>37513</v>
      </c>
      <c r="K9" s="97">
        <f t="shared" si="1"/>
        <v>57.305001374843414</v>
      </c>
      <c r="L9" s="98">
        <f t="shared" si="2"/>
        <v>16242</v>
      </c>
      <c r="M9" s="127">
        <f t="shared" si="3"/>
        <v>3.7045062140913529</v>
      </c>
      <c r="P9" s="64" t="s">
        <v>74</v>
      </c>
    </row>
    <row r="10" spans="1:16" ht="21.2" customHeight="1">
      <c r="A10" s="215" t="s">
        <v>94</v>
      </c>
      <c r="B10" s="216"/>
      <c r="C10" s="216"/>
      <c r="D10" s="73" t="s">
        <v>47</v>
      </c>
      <c r="E10" s="165">
        <v>32</v>
      </c>
      <c r="F10" s="124"/>
      <c r="G10" s="124">
        <v>12</v>
      </c>
      <c r="H10" s="124"/>
      <c r="I10" s="124">
        <v>11</v>
      </c>
      <c r="J10" s="96">
        <f t="shared" si="0"/>
        <v>0</v>
      </c>
      <c r="K10" s="124">
        <v>0</v>
      </c>
      <c r="L10" s="98">
        <f t="shared" si="2"/>
        <v>-1</v>
      </c>
      <c r="M10" s="143">
        <v>0</v>
      </c>
      <c r="P10" s="64" t="s">
        <v>95</v>
      </c>
    </row>
    <row r="11" spans="1:16" ht="21.2" customHeight="1">
      <c r="A11" s="215"/>
      <c r="B11" s="216"/>
      <c r="C11" s="216"/>
      <c r="D11" s="73" t="s">
        <v>48</v>
      </c>
      <c r="E11" s="165">
        <v>760</v>
      </c>
      <c r="F11" s="124"/>
      <c r="G11" s="124">
        <v>310</v>
      </c>
      <c r="H11" s="124"/>
      <c r="I11" s="124">
        <v>39</v>
      </c>
      <c r="J11" s="96">
        <f t="shared" si="0"/>
        <v>0</v>
      </c>
      <c r="K11" s="124">
        <v>0</v>
      </c>
      <c r="L11" s="98">
        <f t="shared" si="2"/>
        <v>-271</v>
      </c>
      <c r="M11" s="143">
        <v>0</v>
      </c>
      <c r="P11" s="64" t="s">
        <v>95</v>
      </c>
    </row>
    <row r="12" spans="1:16" ht="21.2" customHeight="1">
      <c r="A12" s="215" t="s">
        <v>66</v>
      </c>
      <c r="B12" s="216"/>
      <c r="C12" s="216"/>
      <c r="D12" s="73" t="s">
        <v>47</v>
      </c>
      <c r="E12" s="124">
        <v>0</v>
      </c>
      <c r="F12" s="124"/>
      <c r="G12" s="124"/>
      <c r="H12" s="124"/>
      <c r="I12" s="124"/>
      <c r="J12" s="96">
        <f t="shared" si="0"/>
        <v>0</v>
      </c>
      <c r="K12" s="124">
        <v>0</v>
      </c>
      <c r="L12" s="98">
        <f t="shared" si="2"/>
        <v>0</v>
      </c>
      <c r="M12" s="143">
        <v>0</v>
      </c>
      <c r="P12" s="64" t="s">
        <v>75</v>
      </c>
    </row>
    <row r="13" spans="1:16" ht="21.2" customHeight="1">
      <c r="A13" s="215"/>
      <c r="B13" s="216"/>
      <c r="C13" s="216"/>
      <c r="D13" s="73" t="s">
        <v>48</v>
      </c>
      <c r="E13" s="124">
        <v>0</v>
      </c>
      <c r="F13" s="124"/>
      <c r="G13" s="124"/>
      <c r="H13" s="124"/>
      <c r="I13" s="124"/>
      <c r="J13" s="96">
        <f t="shared" si="0"/>
        <v>0</v>
      </c>
      <c r="K13" s="124">
        <v>0</v>
      </c>
      <c r="L13" s="98">
        <f t="shared" si="2"/>
        <v>0</v>
      </c>
      <c r="M13" s="143">
        <v>0</v>
      </c>
      <c r="P13" s="64" t="s">
        <v>75</v>
      </c>
    </row>
    <row r="14" spans="1:16" ht="21.2" customHeight="1">
      <c r="A14" s="215" t="s">
        <v>55</v>
      </c>
      <c r="B14" s="216"/>
      <c r="C14" s="216"/>
      <c r="D14" s="73" t="s">
        <v>47</v>
      </c>
      <c r="E14" s="165">
        <v>113070</v>
      </c>
      <c r="F14" s="165">
        <v>12333</v>
      </c>
      <c r="G14" s="165">
        <v>44832</v>
      </c>
      <c r="H14" s="165">
        <v>11276</v>
      </c>
      <c r="I14" s="124">
        <v>52422</v>
      </c>
      <c r="J14" s="96">
        <f t="shared" si="0"/>
        <v>-1057</v>
      </c>
      <c r="K14" s="97">
        <f t="shared" si="1"/>
        <v>-8.5705019054569078</v>
      </c>
      <c r="L14" s="98">
        <f t="shared" si="2"/>
        <v>7590</v>
      </c>
      <c r="M14" s="127">
        <f>(I14/G14*100)-100</f>
        <v>16.929871520342616</v>
      </c>
      <c r="P14" s="64" t="s">
        <v>76</v>
      </c>
    </row>
    <row r="15" spans="1:16" ht="21.2" customHeight="1">
      <c r="A15" s="215"/>
      <c r="B15" s="216"/>
      <c r="C15" s="216"/>
      <c r="D15" s="73" t="s">
        <v>48</v>
      </c>
      <c r="E15" s="165">
        <v>1740430</v>
      </c>
      <c r="F15" s="165">
        <v>177871</v>
      </c>
      <c r="G15" s="165">
        <v>660295</v>
      </c>
      <c r="H15" s="165">
        <v>175390</v>
      </c>
      <c r="I15" s="124">
        <v>807864</v>
      </c>
      <c r="J15" s="96">
        <f t="shared" si="0"/>
        <v>-2481</v>
      </c>
      <c r="K15" s="97">
        <f t="shared" si="1"/>
        <v>-1.3948310854495674</v>
      </c>
      <c r="L15" s="98">
        <f t="shared" si="2"/>
        <v>147569</v>
      </c>
      <c r="M15" s="127">
        <f t="shared" si="3"/>
        <v>22.348950090489851</v>
      </c>
      <c r="P15" s="64" t="s">
        <v>76</v>
      </c>
    </row>
    <row r="16" spans="1:16" ht="21.2" customHeight="1">
      <c r="A16" s="215" t="s">
        <v>62</v>
      </c>
      <c r="B16" s="216"/>
      <c r="C16" s="216"/>
      <c r="D16" s="73" t="s">
        <v>47</v>
      </c>
      <c r="E16" s="165">
        <v>257133</v>
      </c>
      <c r="F16" s="165">
        <v>20485</v>
      </c>
      <c r="G16" s="165">
        <v>109002</v>
      </c>
      <c r="H16" s="165">
        <v>26794</v>
      </c>
      <c r="I16" s="165">
        <v>94003</v>
      </c>
      <c r="J16" s="96">
        <f t="shared" si="0"/>
        <v>6309</v>
      </c>
      <c r="K16" s="97">
        <f t="shared" si="1"/>
        <v>30.798144984134723</v>
      </c>
      <c r="L16" s="98">
        <f t="shared" si="2"/>
        <v>-14999</v>
      </c>
      <c r="M16" s="127">
        <f t="shared" si="3"/>
        <v>-13.760297976183921</v>
      </c>
      <c r="P16" s="64" t="s">
        <v>78</v>
      </c>
    </row>
    <row r="17" spans="1:16" ht="21.2" customHeight="1">
      <c r="A17" s="215"/>
      <c r="B17" s="216"/>
      <c r="C17" s="216"/>
      <c r="D17" s="73" t="s">
        <v>48</v>
      </c>
      <c r="E17" s="165">
        <v>3567347</v>
      </c>
      <c r="F17" s="165">
        <v>281796</v>
      </c>
      <c r="G17" s="165">
        <v>1523955</v>
      </c>
      <c r="H17" s="165">
        <v>369029</v>
      </c>
      <c r="I17" s="165">
        <v>1314441</v>
      </c>
      <c r="J17" s="96">
        <f t="shared" si="0"/>
        <v>87233</v>
      </c>
      <c r="K17" s="97">
        <f t="shared" si="1"/>
        <v>30.956081704495432</v>
      </c>
      <c r="L17" s="98">
        <f t="shared" si="2"/>
        <v>-209514</v>
      </c>
      <c r="M17" s="127">
        <f t="shared" si="3"/>
        <v>-13.748043741449052</v>
      </c>
      <c r="P17" s="64" t="s">
        <v>78</v>
      </c>
    </row>
    <row r="18" spans="1:16" ht="21.2" customHeight="1">
      <c r="A18" s="215" t="s">
        <v>56</v>
      </c>
      <c r="B18" s="216"/>
      <c r="C18" s="216"/>
      <c r="D18" s="73" t="s">
        <v>47</v>
      </c>
      <c r="E18" s="165">
        <v>148930</v>
      </c>
      <c r="F18" s="165">
        <v>14229</v>
      </c>
      <c r="G18" s="165">
        <v>60441</v>
      </c>
      <c r="H18" s="165">
        <v>12116</v>
      </c>
      <c r="I18" s="165">
        <v>52696</v>
      </c>
      <c r="J18" s="96">
        <f t="shared" si="0"/>
        <v>-2113</v>
      </c>
      <c r="K18" s="97">
        <f t="shared" si="1"/>
        <v>-14.849954318645018</v>
      </c>
      <c r="L18" s="98">
        <f t="shared" si="2"/>
        <v>-7745</v>
      </c>
      <c r="M18" s="128">
        <f t="shared" si="3"/>
        <v>-12.814149335715825</v>
      </c>
      <c r="P18" s="64" t="s">
        <v>80</v>
      </c>
    </row>
    <row r="19" spans="1:16" ht="21.2" customHeight="1">
      <c r="A19" s="215"/>
      <c r="B19" s="216"/>
      <c r="C19" s="216"/>
      <c r="D19" s="73" t="s">
        <v>48</v>
      </c>
      <c r="E19" s="165">
        <v>2355281</v>
      </c>
      <c r="F19" s="165">
        <v>211996</v>
      </c>
      <c r="G19" s="165">
        <v>971462</v>
      </c>
      <c r="H19" s="165">
        <v>200837</v>
      </c>
      <c r="I19" s="165">
        <v>857802</v>
      </c>
      <c r="J19" s="96">
        <f t="shared" si="0"/>
        <v>-11159</v>
      </c>
      <c r="K19" s="97">
        <f t="shared" si="1"/>
        <v>-5.2637785618596524</v>
      </c>
      <c r="L19" s="98">
        <f t="shared" si="2"/>
        <v>-113660</v>
      </c>
      <c r="M19" s="128">
        <f t="shared" si="3"/>
        <v>-11.699891503733554</v>
      </c>
      <c r="P19" s="64" t="s">
        <v>80</v>
      </c>
    </row>
    <row r="20" spans="1:16" ht="21.2" customHeight="1">
      <c r="A20" s="231" t="s">
        <v>68</v>
      </c>
      <c r="B20" s="232"/>
      <c r="C20" s="232"/>
      <c r="D20" s="109" t="s">
        <v>47</v>
      </c>
      <c r="E20" s="124">
        <v>0</v>
      </c>
      <c r="F20" s="124"/>
      <c r="G20" s="124"/>
      <c r="H20" s="124"/>
      <c r="I20" s="124"/>
      <c r="J20" s="110">
        <f t="shared" si="0"/>
        <v>0</v>
      </c>
      <c r="K20" s="124">
        <v>0</v>
      </c>
      <c r="L20" s="98">
        <f t="shared" si="2"/>
        <v>0</v>
      </c>
      <c r="M20" s="143">
        <v>0</v>
      </c>
      <c r="P20" s="64" t="s">
        <v>82</v>
      </c>
    </row>
    <row r="21" spans="1:16" ht="21.2" customHeight="1">
      <c r="A21" s="231"/>
      <c r="B21" s="232"/>
      <c r="C21" s="232"/>
      <c r="D21" s="109" t="s">
        <v>48</v>
      </c>
      <c r="E21" s="124">
        <v>0</v>
      </c>
      <c r="F21" s="124"/>
      <c r="G21" s="124"/>
      <c r="H21" s="124"/>
      <c r="I21" s="124"/>
      <c r="J21" s="110">
        <f t="shared" si="0"/>
        <v>0</v>
      </c>
      <c r="K21" s="124">
        <v>0</v>
      </c>
      <c r="L21" s="98">
        <f t="shared" si="2"/>
        <v>0</v>
      </c>
      <c r="M21" s="143">
        <v>0</v>
      </c>
      <c r="P21" s="64" t="s">
        <v>82</v>
      </c>
    </row>
    <row r="22" spans="1:16" ht="21.2" customHeight="1">
      <c r="A22" s="215" t="s">
        <v>93</v>
      </c>
      <c r="B22" s="216"/>
      <c r="C22" s="216"/>
      <c r="D22" s="73" t="s">
        <v>47</v>
      </c>
      <c r="E22" s="165">
        <v>8</v>
      </c>
      <c r="F22" s="124"/>
      <c r="G22" s="124"/>
      <c r="H22" s="124"/>
      <c r="I22" s="124"/>
      <c r="J22" s="110">
        <f t="shared" si="0"/>
        <v>0</v>
      </c>
      <c r="K22" s="124">
        <v>0</v>
      </c>
      <c r="L22" s="98">
        <f t="shared" si="2"/>
        <v>0</v>
      </c>
      <c r="M22" s="143">
        <v>0</v>
      </c>
      <c r="P22" s="64" t="s">
        <v>96</v>
      </c>
    </row>
    <row r="23" spans="1:16" ht="21.2" customHeight="1">
      <c r="A23" s="215"/>
      <c r="B23" s="216"/>
      <c r="C23" s="216"/>
      <c r="D23" s="73" t="s">
        <v>48</v>
      </c>
      <c r="E23" s="165">
        <v>43</v>
      </c>
      <c r="F23" s="124"/>
      <c r="G23" s="124"/>
      <c r="H23" s="124"/>
      <c r="I23" s="124"/>
      <c r="J23" s="110">
        <f t="shared" si="0"/>
        <v>0</v>
      </c>
      <c r="K23" s="124">
        <v>0</v>
      </c>
      <c r="L23" s="98">
        <f t="shared" si="2"/>
        <v>0</v>
      </c>
      <c r="M23" s="143">
        <v>0</v>
      </c>
      <c r="P23" s="64" t="s">
        <v>96</v>
      </c>
    </row>
    <row r="24" spans="1:16" ht="21.2" customHeight="1">
      <c r="A24" s="215" t="s">
        <v>63</v>
      </c>
      <c r="B24" s="216"/>
      <c r="C24" s="216"/>
      <c r="D24" s="73" t="s">
        <v>47</v>
      </c>
      <c r="E24" s="165">
        <v>43</v>
      </c>
      <c r="F24" s="124"/>
      <c r="G24" s="124">
        <v>16</v>
      </c>
      <c r="H24" s="124"/>
      <c r="I24" s="124">
        <v>34</v>
      </c>
      <c r="J24" s="110">
        <f t="shared" si="0"/>
        <v>0</v>
      </c>
      <c r="K24" s="124">
        <v>0</v>
      </c>
      <c r="L24" s="98">
        <f t="shared" si="2"/>
        <v>18</v>
      </c>
      <c r="M24" s="143">
        <v>0</v>
      </c>
      <c r="P24" s="64" t="s">
        <v>84</v>
      </c>
    </row>
    <row r="25" spans="1:16" ht="21.2" customHeight="1">
      <c r="A25" s="215"/>
      <c r="B25" s="216"/>
      <c r="C25" s="216"/>
      <c r="D25" s="73" t="s">
        <v>48</v>
      </c>
      <c r="E25" s="165">
        <v>492</v>
      </c>
      <c r="F25" s="124"/>
      <c r="G25" s="124">
        <v>129</v>
      </c>
      <c r="H25" s="124"/>
      <c r="I25" s="124">
        <v>244</v>
      </c>
      <c r="J25" s="110">
        <f t="shared" si="0"/>
        <v>0</v>
      </c>
      <c r="K25" s="124">
        <v>0</v>
      </c>
      <c r="L25" s="98">
        <f t="shared" si="2"/>
        <v>115</v>
      </c>
      <c r="M25" s="143">
        <v>0</v>
      </c>
      <c r="P25" s="64" t="s">
        <v>84</v>
      </c>
    </row>
    <row r="26" spans="1:16" ht="21.2" customHeight="1">
      <c r="A26" s="215" t="s">
        <v>58</v>
      </c>
      <c r="B26" s="216"/>
      <c r="C26" s="216"/>
      <c r="D26" s="73" t="s">
        <v>47</v>
      </c>
      <c r="E26" s="165">
        <v>478</v>
      </c>
      <c r="F26" s="124">
        <v>10</v>
      </c>
      <c r="G26" s="124">
        <v>108</v>
      </c>
      <c r="H26" s="165"/>
      <c r="I26" s="165">
        <v>212</v>
      </c>
      <c r="J26" s="110">
        <f t="shared" si="0"/>
        <v>-10</v>
      </c>
      <c r="K26" s="97">
        <f t="shared" si="1"/>
        <v>-100</v>
      </c>
      <c r="L26" s="98">
        <f t="shared" si="2"/>
        <v>104</v>
      </c>
      <c r="M26" s="127">
        <f t="shared" si="3"/>
        <v>96.296296296296305</v>
      </c>
      <c r="P26" s="64" t="s">
        <v>85</v>
      </c>
    </row>
    <row r="27" spans="1:16" ht="21.2" customHeight="1">
      <c r="A27" s="215"/>
      <c r="B27" s="216"/>
      <c r="C27" s="216"/>
      <c r="D27" s="73" t="s">
        <v>48</v>
      </c>
      <c r="E27" s="165">
        <v>2537</v>
      </c>
      <c r="F27" s="124"/>
      <c r="G27" s="124">
        <v>965</v>
      </c>
      <c r="H27" s="165"/>
      <c r="I27" s="165">
        <v>1888</v>
      </c>
      <c r="J27" s="110">
        <f t="shared" si="0"/>
        <v>0</v>
      </c>
      <c r="K27" s="97" t="e">
        <f t="shared" si="1"/>
        <v>#DIV/0!</v>
      </c>
      <c r="L27" s="98">
        <f t="shared" si="2"/>
        <v>923</v>
      </c>
      <c r="M27" s="127">
        <f t="shared" si="3"/>
        <v>95.647668393782368</v>
      </c>
      <c r="P27" s="64" t="s">
        <v>85</v>
      </c>
    </row>
    <row r="28" spans="1:16" ht="21.2" customHeight="1">
      <c r="A28" s="215" t="s">
        <v>59</v>
      </c>
      <c r="B28" s="216"/>
      <c r="C28" s="216"/>
      <c r="D28" s="73" t="s">
        <v>47</v>
      </c>
      <c r="E28" s="165">
        <v>95587</v>
      </c>
      <c r="F28" s="165">
        <v>7970</v>
      </c>
      <c r="G28" s="165">
        <v>34772</v>
      </c>
      <c r="H28" s="165">
        <v>9237</v>
      </c>
      <c r="I28" s="165">
        <v>38723</v>
      </c>
      <c r="J28" s="110">
        <f t="shared" si="0"/>
        <v>1267</v>
      </c>
      <c r="K28" s="97">
        <f t="shared" si="1"/>
        <v>15.897114178168124</v>
      </c>
      <c r="L28" s="98">
        <f t="shared" si="2"/>
        <v>3951</v>
      </c>
      <c r="M28" s="127">
        <f t="shared" si="3"/>
        <v>11.362590590129983</v>
      </c>
      <c r="P28" s="64" t="s">
        <v>87</v>
      </c>
    </row>
    <row r="29" spans="1:16" ht="21.2" customHeight="1">
      <c r="A29" s="215"/>
      <c r="B29" s="216"/>
      <c r="C29" s="216"/>
      <c r="D29" s="73" t="s">
        <v>48</v>
      </c>
      <c r="E29" s="165">
        <v>1614394</v>
      </c>
      <c r="F29" s="165">
        <v>126713</v>
      </c>
      <c r="G29" s="165">
        <v>562374</v>
      </c>
      <c r="H29" s="165">
        <v>154475</v>
      </c>
      <c r="I29" s="165">
        <v>683102</v>
      </c>
      <c r="J29" s="110">
        <f t="shared" si="0"/>
        <v>27762</v>
      </c>
      <c r="K29" s="97">
        <f t="shared" si="1"/>
        <v>21.909354209907434</v>
      </c>
      <c r="L29" s="98">
        <f t="shared" si="2"/>
        <v>120728</v>
      </c>
      <c r="M29" s="127">
        <f t="shared" si="3"/>
        <v>21.467564289956513</v>
      </c>
      <c r="P29" s="64" t="s">
        <v>87</v>
      </c>
    </row>
    <row r="30" spans="1:16" ht="21.2" customHeight="1">
      <c r="A30" s="215" t="s">
        <v>60</v>
      </c>
      <c r="B30" s="216"/>
      <c r="C30" s="216"/>
      <c r="D30" s="73" t="s">
        <v>47</v>
      </c>
      <c r="E30" s="165">
        <v>139949</v>
      </c>
      <c r="F30" s="165">
        <v>12292</v>
      </c>
      <c r="G30" s="165">
        <v>48621</v>
      </c>
      <c r="H30" s="165">
        <v>12663</v>
      </c>
      <c r="I30" s="165">
        <v>55813</v>
      </c>
      <c r="J30" s="96">
        <f t="shared" si="0"/>
        <v>371</v>
      </c>
      <c r="K30" s="97">
        <f t="shared" si="1"/>
        <v>3.0182232346241449</v>
      </c>
      <c r="L30" s="98">
        <f t="shared" si="2"/>
        <v>7192</v>
      </c>
      <c r="M30" s="127">
        <f t="shared" si="3"/>
        <v>14.791962320807883</v>
      </c>
      <c r="P30" s="64" t="s">
        <v>89</v>
      </c>
    </row>
    <row r="31" spans="1:16" ht="21.2" customHeight="1">
      <c r="A31" s="215"/>
      <c r="B31" s="216"/>
      <c r="C31" s="216"/>
      <c r="D31" s="73" t="s">
        <v>48</v>
      </c>
      <c r="E31" s="165">
        <v>2096293</v>
      </c>
      <c r="F31" s="165">
        <v>187695</v>
      </c>
      <c r="G31" s="165">
        <v>747355</v>
      </c>
      <c r="H31" s="165">
        <v>183552</v>
      </c>
      <c r="I31" s="165">
        <v>820190</v>
      </c>
      <c r="J31" s="96">
        <f t="shared" si="0"/>
        <v>-4143</v>
      </c>
      <c r="K31" s="97">
        <f t="shared" si="1"/>
        <v>-2.2073044034204372</v>
      </c>
      <c r="L31" s="98">
        <f t="shared" si="2"/>
        <v>72835</v>
      </c>
      <c r="M31" s="127">
        <f t="shared" si="3"/>
        <v>9.7457031798810334</v>
      </c>
      <c r="P31" s="64" t="s">
        <v>89</v>
      </c>
    </row>
    <row r="32" spans="1:16" ht="21.2" customHeight="1">
      <c r="A32" s="215" t="s">
        <v>61</v>
      </c>
      <c r="B32" s="216"/>
      <c r="C32" s="216"/>
      <c r="D32" s="73" t="s">
        <v>47</v>
      </c>
      <c r="E32" s="165">
        <v>52891</v>
      </c>
      <c r="F32" s="165">
        <v>3982</v>
      </c>
      <c r="G32" s="165">
        <v>22172</v>
      </c>
      <c r="H32" s="165">
        <v>4270</v>
      </c>
      <c r="I32" s="165">
        <v>19952</v>
      </c>
      <c r="J32" s="96">
        <f>H32-F32</f>
        <v>288</v>
      </c>
      <c r="K32" s="97">
        <f t="shared" si="1"/>
        <v>7.2325464590657873</v>
      </c>
      <c r="L32" s="98">
        <f>I32-G32</f>
        <v>-2220</v>
      </c>
      <c r="M32" s="127">
        <f t="shared" si="3"/>
        <v>-10.012628540501538</v>
      </c>
      <c r="P32" s="64" t="s">
        <v>91</v>
      </c>
    </row>
    <row r="33" spans="1:16" ht="21.2" customHeight="1">
      <c r="A33" s="215"/>
      <c r="B33" s="216"/>
      <c r="C33" s="216"/>
      <c r="D33" s="73" t="s">
        <v>48</v>
      </c>
      <c r="E33" s="165">
        <v>864813</v>
      </c>
      <c r="F33" s="165">
        <v>66971</v>
      </c>
      <c r="G33" s="165">
        <v>356631</v>
      </c>
      <c r="H33" s="165">
        <v>69616</v>
      </c>
      <c r="I33" s="165">
        <v>334374</v>
      </c>
      <c r="J33" s="96">
        <f>H33-F33</f>
        <v>2645</v>
      </c>
      <c r="K33" s="97">
        <f t="shared" si="1"/>
        <v>3.9494706664078478</v>
      </c>
      <c r="L33" s="98">
        <f>I33-G33</f>
        <v>-22257</v>
      </c>
      <c r="M33" s="127">
        <f t="shared" si="3"/>
        <v>-6.2409044642782021</v>
      </c>
      <c r="P33" s="64" t="s">
        <v>91</v>
      </c>
    </row>
    <row r="34" spans="1:16" ht="21.2" customHeight="1">
      <c r="A34" s="217" t="s">
        <v>100</v>
      </c>
      <c r="B34" s="218"/>
      <c r="C34" s="218"/>
      <c r="D34" s="149" t="s">
        <v>47</v>
      </c>
      <c r="E34" s="124">
        <v>0</v>
      </c>
      <c r="F34" s="124"/>
      <c r="G34" s="124"/>
      <c r="H34" s="124"/>
      <c r="I34" s="150">
        <v>80</v>
      </c>
      <c r="J34" s="151">
        <f>H34-F34</f>
        <v>0</v>
      </c>
      <c r="K34" s="124">
        <v>0</v>
      </c>
      <c r="L34" s="152">
        <f>I34-G34</f>
        <v>80</v>
      </c>
      <c r="M34" s="155" t="s">
        <v>99</v>
      </c>
      <c r="P34" s="64" t="s">
        <v>101</v>
      </c>
    </row>
    <row r="35" spans="1:16" ht="21.2" customHeight="1" thickBot="1">
      <c r="A35" s="219"/>
      <c r="B35" s="220"/>
      <c r="C35" s="220"/>
      <c r="D35" s="129" t="s">
        <v>48</v>
      </c>
      <c r="E35" s="153">
        <v>0</v>
      </c>
      <c r="F35" s="153"/>
      <c r="G35" s="153"/>
      <c r="H35" s="153"/>
      <c r="I35" s="167">
        <v>1384</v>
      </c>
      <c r="J35" s="131">
        <f>H35-F35</f>
        <v>0</v>
      </c>
      <c r="K35" s="153">
        <v>0</v>
      </c>
      <c r="L35" s="132">
        <f>I35-G35</f>
        <v>1384</v>
      </c>
      <c r="M35" s="156" t="s">
        <v>99</v>
      </c>
      <c r="P35" s="64" t="s">
        <v>101</v>
      </c>
    </row>
  </sheetData>
  <mergeCells count="21">
    <mergeCell ref="A30:C31"/>
    <mergeCell ref="A32:C33"/>
    <mergeCell ref="A34:C35"/>
    <mergeCell ref="A18:C19"/>
    <mergeCell ref="A20:C21"/>
    <mergeCell ref="A22:C23"/>
    <mergeCell ref="A24:C25"/>
    <mergeCell ref="A26:C27"/>
    <mergeCell ref="A28:C29"/>
    <mergeCell ref="J2:M2"/>
    <mergeCell ref="A4:C5"/>
    <mergeCell ref="A16:C17"/>
    <mergeCell ref="A2:C3"/>
    <mergeCell ref="D2:D3"/>
    <mergeCell ref="F2:G2"/>
    <mergeCell ref="H2:I2"/>
    <mergeCell ref="A6:C7"/>
    <mergeCell ref="A8:C9"/>
    <mergeCell ref="A10:C11"/>
    <mergeCell ref="A12:C13"/>
    <mergeCell ref="A14:C15"/>
  </mergeCells>
  <phoneticPr fontId="22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통계요약</vt:lpstr>
      <vt:lpstr>연도별 수송실적</vt:lpstr>
      <vt:lpstr>컨테이너 재게(6월)</vt:lpstr>
      <vt:lpstr>컨테이너 재게(5월)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2021-12-23T07:17:43Z</cp:lastPrinted>
  <dcterms:created xsi:type="dcterms:W3CDTF">1998-03-31T03:01:22Z</dcterms:created>
  <dcterms:modified xsi:type="dcterms:W3CDTF">2022-07-25T02:48:58Z</dcterms:modified>
</cp:coreProperties>
</file>