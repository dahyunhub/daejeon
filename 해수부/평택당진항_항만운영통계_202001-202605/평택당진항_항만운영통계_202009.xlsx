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<sst xmlns="http://schemas.openxmlformats.org/spreadsheetml/2006/main" count="126" uniqueCount="82">
  <si>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</si>
  <si>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</si>
  <si>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</si>
  <si>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</si>
  <si>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</si>
  <si>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</si>
  <si>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</si>
  <si>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</si>
  <si>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</si>
  <si>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</si>
  <si>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</si>
  <si>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</si>
  <si>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</si>
  <si>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</si>
  <si>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</si>
  <si>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</si>
  <si>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</si>
  <si>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</si>
  <si>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</si>
  <si>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</si>
  <si>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</si>
  <si>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</si>
  <si>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</si>
  <si>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</si>
  <si>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</si>
  <si>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</si>
  <si>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</si>
  <si>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</si>
  <si>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</si>
  <si>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</si>
  <si>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</si>
  <si>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</si>
  <si>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</si>
  <si>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</si>
  <si>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</si>
  <si>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</si>
  <si>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</si>
  <si>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</si>
  <si>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</si>
  <si>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</si>
  <si>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</si>
  <si>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</si>
  <si>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</si>
  <si>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</si>
  <si>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</si>
  <si>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</si>
  <si>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</si>
  <si>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</si>
  <si>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</si>
  <si>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</si>
  <si>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</si>
  <si>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</si>
  <si>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</si>
  <si>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</si>
  <si>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</si>
  <si>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</si>
  <si>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</si>
  <si>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</si>
  <si>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</si>
  <si>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</si>
  <si>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</si>
  <si>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</si>
  <si>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</si>
  <si>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</si>
  <si>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</si>
  <si>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</si>
  <si>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</si>
  <si>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</si>
  <si>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</si>
  <si>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</si>
  <si>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</si>
  <si>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</si>
  <si>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</si>
  <si>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</si>
  <si>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</si>
  <si>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2020년도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</si>
  <si>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</si>
  <si>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9월(A)</t>
    <phoneticPr fontId="5" type="noConversion"/>
  </si>
  <si>
    <t>9월누계(B)</t>
    <phoneticPr fontId="5" type="noConversion"/>
  </si>
  <si>
    <t>9월(C)</t>
    <phoneticPr fontId="5" type="noConversion"/>
  </si>
  <si>
    <t>9월누계(D)</t>
    <phoneticPr fontId="5" type="noConversion"/>
  </si>
  <si>
    <t>(2020. 9월분)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</si>
</sst>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34" fillId="6" borderId="1" xfId="17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43" xfId="0" applyNumberFormat="1" applyFont="1" applyFill="1" applyBorder="1" applyAlignment="1">
      <alignment horizontal="center" vertical="center"/>
    </xf>
    <xf numFmtId="176" fontId="12" fillId="6" borderId="20" xfId="0" applyNumberFormat="1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9월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83753034</c:v>
                </c:pt>
              </c:numCache>
            </c:numRef>
          </c:val>
        </c:ser>
        <c:ser>
          <c:idx val="1"/>
          <c:order val="1"/>
          <c:tx>
            <c:v>'20년 9월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77862759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923456"/>
        <c:axId val="203924992"/>
        <c:axId val="0"/>
      </c:bar3DChart>
      <c:catAx>
        <c:axId val="203923456"/>
        <c:scaling>
          <c:orientation val="minMax"/>
        </c:scaling>
        <c:delete val="1"/>
        <c:axPos val="b"/>
        <c:majorTickMark val="out"/>
        <c:minorTickMark val="none"/>
        <c:tickLblPos val="none"/>
        <c:crossAx val="203924992"/>
        <c:crosses val="autoZero"/>
        <c:auto val="1"/>
        <c:lblAlgn val="ctr"/>
        <c:lblOffset val="100"/>
        <c:noMultiLvlLbl val="0"/>
      </c:catAx>
      <c:valAx>
        <c:axId val="20392499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2345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9월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528246</c:v>
                </c:pt>
              </c:numCache>
            </c:numRef>
          </c:val>
        </c:ser>
        <c:ser>
          <c:idx val="1"/>
          <c:order val="1"/>
          <c:tx>
            <c:v>'20년 9월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573183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760000"/>
        <c:axId val="203761536"/>
        <c:axId val="0"/>
      </c:bar3DChart>
      <c:catAx>
        <c:axId val="203760000"/>
        <c:scaling>
          <c:orientation val="minMax"/>
        </c:scaling>
        <c:delete val="1"/>
        <c:axPos val="b"/>
        <c:majorTickMark val="out"/>
        <c:minorTickMark val="none"/>
        <c:tickLblPos val="none"/>
        <c:crossAx val="203761536"/>
        <c:crosses val="autoZero"/>
        <c:auto val="1"/>
        <c:lblAlgn val="ctr"/>
        <c:lblOffset val="100"/>
        <c:noMultiLvlLbl val="0"/>
      </c:catAx>
      <c:valAx>
        <c:axId val="20376153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76000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20.9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77862.759000000005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31552"/>
        <c:axId val="203862400"/>
      </c:lineChart>
      <c:catAx>
        <c:axId val="20383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862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624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8315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20.9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573183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73920"/>
        <c:axId val="213075840"/>
      </c:lineChart>
      <c:catAx>
        <c:axId val="21307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075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0758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0739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20.9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01568"/>
        <c:axId val="213103744"/>
      </c:lineChart>
      <c:catAx>
        <c:axId val="21310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103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31037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31015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20.9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12635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96544"/>
        <c:axId val="212798464"/>
      </c:lineChart>
      <c:catAx>
        <c:axId val="21279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798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798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7965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20.9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12635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39040"/>
        <c:axId val="212841216"/>
      </c:lineChart>
      <c:catAx>
        <c:axId val="21283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841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8412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8390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81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3" t="s">
        <v>76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2:13" ht="21.2" customHeight="1">
      <c r="B5" s="189" t="s">
        <v>7</v>
      </c>
      <c r="C5" s="190"/>
      <c r="D5" s="191"/>
      <c r="E5" s="39"/>
      <c r="F5" s="187" t="s">
        <v>72</v>
      </c>
      <c r="G5" s="245"/>
      <c r="H5" s="246" t="s">
        <v>75</v>
      </c>
      <c r="I5" s="246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2" t="s">
        <v>77</v>
      </c>
      <c r="G6" s="41" t="s">
        <v>78</v>
      </c>
      <c r="H6" s="172" t="s">
        <v>79</v>
      </c>
      <c r="I6" s="170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8" t="s">
        <v>21</v>
      </c>
      <c r="C7" s="184" t="s">
        <v>12</v>
      </c>
      <c r="D7" s="185"/>
      <c r="E7" s="13">
        <f>SUM(E8:E9)</f>
        <v>18416</v>
      </c>
      <c r="F7" s="13">
        <f>SUM(F8:F9)</f>
        <v>1372</v>
      </c>
      <c r="G7" s="13">
        <f>SUM(G8:G9)</f>
        <v>13640</v>
      </c>
      <c r="H7" s="13">
        <f>SUM(H8:H9)</f>
        <v>1469</v>
      </c>
      <c r="I7" s="13">
        <f>SUM(I8:I9)</f>
        <v>12635</v>
      </c>
      <c r="J7" s="13">
        <f>H7-F7</f>
        <v>97</v>
      </c>
      <c r="K7" s="16">
        <f>H7/F7</f>
        <v>1.0706997084548104</v>
      </c>
      <c r="L7" s="14">
        <f>I7-G7</f>
        <v>-1005</v>
      </c>
      <c r="M7" s="24">
        <f>I7/G7</f>
        <v>0.9263196480938416</v>
      </c>
    </row>
    <row r="8" spans="2:13" ht="19.5" customHeight="1">
      <c r="B8" s="209"/>
      <c r="C8" s="199" t="s">
        <v>9</v>
      </c>
      <c r="D8" s="200"/>
      <c r="E8" s="20">
        <v>11525</v>
      </c>
      <c r="F8" s="20">
        <v>898</v>
      </c>
      <c r="G8" s="21">
        <v>8604</v>
      </c>
      <c r="H8" s="20">
        <v>847</v>
      </c>
      <c r="I8" s="20">
        <v>7640</v>
      </c>
      <c r="J8" s="4">
        <f t="shared" ref="J8:J28" si="0">H8-F8</f>
        <v>-51</v>
      </c>
      <c r="K8" s="18">
        <f t="shared" ref="K8:K28" si="1">H8/F8</f>
        <v>0.94320712694877507</v>
      </c>
      <c r="L8" s="19">
        <f t="shared" ref="L8:L28" si="2">I8-G8</f>
        <v>-964</v>
      </c>
      <c r="M8" s="26">
        <f t="shared" ref="M8:M28" si="3">I8/G8</f>
        <v>0.8879590887959089</v>
      </c>
    </row>
    <row r="9" spans="2:13" ht="19.5" customHeight="1">
      <c r="B9" s="210"/>
      <c r="C9" s="201" t="s">
        <v>10</v>
      </c>
      <c r="D9" s="202"/>
      <c r="E9" s="21">
        <v>6891</v>
      </c>
      <c r="F9" s="21">
        <v>474</v>
      </c>
      <c r="G9" s="21">
        <v>5036</v>
      </c>
      <c r="H9" s="21">
        <v>622</v>
      </c>
      <c r="I9" s="21">
        <v>4995</v>
      </c>
      <c r="J9" s="21">
        <f t="shared" si="0"/>
        <v>148</v>
      </c>
      <c r="K9" s="22">
        <f t="shared" si="1"/>
        <v>1.3122362869198312</v>
      </c>
      <c r="L9" s="23">
        <f t="shared" si="2"/>
        <v>-41</v>
      </c>
      <c r="M9" s="27">
        <f t="shared" si="3"/>
        <v>0.99185861795075458</v>
      </c>
    </row>
    <row r="10" spans="2:13" ht="21.2" customHeight="1">
      <c r="B10" s="208" t="s">
        <v>22</v>
      </c>
      <c r="C10" s="184" t="s">
        <v>8</v>
      </c>
      <c r="D10" s="185"/>
      <c r="E10" s="45">
        <f>E11+E15</f>
        <v>113201331</v>
      </c>
      <c r="F10" s="45">
        <f>F11+F15</f>
        <v>8647976</v>
      </c>
      <c r="G10" s="45">
        <f>G11+G15</f>
        <v>83753034</v>
      </c>
      <c r="H10" s="45">
        <f>H11+H15</f>
        <v>8892234</v>
      </c>
      <c r="I10" s="45">
        <f>I11+I15</f>
        <v>77862759</v>
      </c>
      <c r="J10" s="45">
        <f t="shared" si="0"/>
        <v>244258</v>
      </c>
      <c r="K10" s="16">
        <f t="shared" si="1"/>
        <v>1.0282445279681627</v>
      </c>
      <c r="L10" s="49">
        <f>I10-G10</f>
        <v>-5890275</v>
      </c>
      <c r="M10" s="24">
        <f t="shared" si="3"/>
        <v>0.92967090601159597</v>
      </c>
    </row>
    <row r="11" spans="2:13" ht="19.5" customHeight="1">
      <c r="B11" s="209"/>
      <c r="C11" s="205" t="s">
        <v>1</v>
      </c>
      <c r="D11" s="99" t="s">
        <v>0</v>
      </c>
      <c r="E11" s="93">
        <f>SUM(E12:E14)</f>
        <v>102609234</v>
      </c>
      <c r="F11" s="93">
        <f>SUM(F12:F14)</f>
        <v>7896131</v>
      </c>
      <c r="G11" s="93">
        <f>SUM(G12:G14)</f>
        <v>75890281</v>
      </c>
      <c r="H11" s="93">
        <f>SUM(H12:H14)</f>
        <v>7976123</v>
      </c>
      <c r="I11" s="93">
        <f>SUM(I12:I14)</f>
        <v>69631598</v>
      </c>
      <c r="J11" s="94">
        <f t="shared" si="0"/>
        <v>79992</v>
      </c>
      <c r="K11" s="95">
        <f t="shared" si="1"/>
        <v>1.0101305310157596</v>
      </c>
      <c r="L11" s="96">
        <f t="shared" si="2"/>
        <v>-6258683</v>
      </c>
      <c r="M11" s="97">
        <f t="shared" si="3"/>
        <v>0.91752984812376703</v>
      </c>
    </row>
    <row r="12" spans="2:13" ht="19.5" customHeight="1">
      <c r="B12" s="209"/>
      <c r="C12" s="206"/>
      <c r="D12" s="5" t="s">
        <v>5</v>
      </c>
      <c r="E12" s="46">
        <v>80537389</v>
      </c>
      <c r="F12" s="46">
        <v>6215611</v>
      </c>
      <c r="G12" s="46">
        <v>59187959</v>
      </c>
      <c r="H12" s="46">
        <v>6186099</v>
      </c>
      <c r="I12" s="46">
        <v>55663356</v>
      </c>
      <c r="J12" s="94">
        <f t="shared" si="0"/>
        <v>-29512</v>
      </c>
      <c r="K12" s="18">
        <f t="shared" si="1"/>
        <v>0.99525195511752584</v>
      </c>
      <c r="L12" s="48">
        <f t="shared" si="2"/>
        <v>-3524603</v>
      </c>
      <c r="M12" s="26">
        <f t="shared" si="3"/>
        <v>0.94045067511113201</v>
      </c>
    </row>
    <row r="13" spans="2:13" ht="19.5" customHeight="1">
      <c r="B13" s="209"/>
      <c r="C13" s="206"/>
      <c r="D13" s="5" t="s">
        <v>6</v>
      </c>
      <c r="E13" s="46">
        <v>15743706</v>
      </c>
      <c r="F13" s="46">
        <v>1166884</v>
      </c>
      <c r="G13" s="46">
        <v>11885721</v>
      </c>
      <c r="H13" s="46">
        <v>1274592</v>
      </c>
      <c r="I13" s="46">
        <v>10213265</v>
      </c>
      <c r="J13" s="94">
        <f t="shared" si="0"/>
        <v>107708</v>
      </c>
      <c r="K13" s="18">
        <f t="shared" si="1"/>
        <v>1.0923039479502676</v>
      </c>
      <c r="L13" s="48">
        <f t="shared" si="2"/>
        <v>-1672456</v>
      </c>
      <c r="M13" s="26">
        <f t="shared" si="3"/>
        <v>0.8592886371806977</v>
      </c>
    </row>
    <row r="14" spans="2:13" ht="19.5" customHeight="1">
      <c r="B14" s="209"/>
      <c r="C14" s="207"/>
      <c r="D14" s="5" t="s">
        <v>13</v>
      </c>
      <c r="E14" s="46">
        <v>6328139</v>
      </c>
      <c r="F14" s="46">
        <v>513636</v>
      </c>
      <c r="G14" s="46">
        <v>4816601</v>
      </c>
      <c r="H14" s="46">
        <v>515432</v>
      </c>
      <c r="I14" s="46">
        <v>3754977</v>
      </c>
      <c r="J14" s="94">
        <f t="shared" si="0"/>
        <v>1796</v>
      </c>
      <c r="K14" s="18">
        <f>H14/F14</f>
        <v>1.0034966396436387</v>
      </c>
      <c r="L14" s="48">
        <f t="shared" si="2"/>
        <v>-1061624</v>
      </c>
      <c r="M14" s="26">
        <f t="shared" si="3"/>
        <v>0.77959062832898141</v>
      </c>
    </row>
    <row r="15" spans="2:13" ht="19.5" customHeight="1">
      <c r="B15" s="209"/>
      <c r="C15" s="214" t="s">
        <v>2</v>
      </c>
      <c r="D15" s="98" t="s">
        <v>0</v>
      </c>
      <c r="E15" s="88">
        <f>SUM(E16:E18)</f>
        <v>10592097</v>
      </c>
      <c r="F15" s="88">
        <f>SUM(F16:F18)</f>
        <v>751845</v>
      </c>
      <c r="G15" s="88">
        <f>SUM(G16:G18)</f>
        <v>7862753</v>
      </c>
      <c r="H15" s="88">
        <f>SUM(H16:H18)</f>
        <v>916111</v>
      </c>
      <c r="I15" s="88">
        <f>SUM(I16:I18)</f>
        <v>8231161</v>
      </c>
      <c r="J15" s="89">
        <f t="shared" si="0"/>
        <v>164266</v>
      </c>
      <c r="K15" s="90">
        <f t="shared" si="1"/>
        <v>1.2184838630302788</v>
      </c>
      <c r="L15" s="91">
        <f t="shared" si="2"/>
        <v>368408</v>
      </c>
      <c r="M15" s="92">
        <f t="shared" si="3"/>
        <v>1.0468548357044918</v>
      </c>
    </row>
    <row r="16" spans="2:13" ht="19.5" customHeight="1">
      <c r="B16" s="209"/>
      <c r="C16" s="215"/>
      <c r="D16" s="5" t="s">
        <v>3</v>
      </c>
      <c r="E16" s="46">
        <v>7499173</v>
      </c>
      <c r="F16" s="46">
        <v>508838</v>
      </c>
      <c r="G16" s="46">
        <v>5482632</v>
      </c>
      <c r="H16" s="46">
        <v>613028</v>
      </c>
      <c r="I16" s="46">
        <v>5840934</v>
      </c>
      <c r="J16" s="89">
        <f t="shared" si="0"/>
        <v>104190</v>
      </c>
      <c r="K16" s="18">
        <f t="shared" si="1"/>
        <v>1.2047606507375628</v>
      </c>
      <c r="L16" s="48">
        <f t="shared" si="2"/>
        <v>358302</v>
      </c>
      <c r="M16" s="26">
        <f t="shared" si="3"/>
        <v>1.0653521885109196</v>
      </c>
    </row>
    <row r="17" spans="1:13" ht="19.5" customHeight="1">
      <c r="B17" s="209"/>
      <c r="C17" s="215"/>
      <c r="D17" s="6" t="s">
        <v>4</v>
      </c>
      <c r="E17" s="47">
        <v>3086684</v>
      </c>
      <c r="F17" s="47">
        <v>243007</v>
      </c>
      <c r="G17" s="47">
        <v>2380121</v>
      </c>
      <c r="H17" s="47">
        <v>303083</v>
      </c>
      <c r="I17" s="47">
        <v>2381306</v>
      </c>
      <c r="J17" s="171">
        <v>0</v>
      </c>
      <c r="K17" s="18">
        <f t="shared" si="1"/>
        <v>1.2472192159073607</v>
      </c>
      <c r="L17" s="48">
        <f t="shared" si="2"/>
        <v>1185</v>
      </c>
      <c r="M17" s="26">
        <f t="shared" si="3"/>
        <v>1.00049787384759</v>
      </c>
    </row>
    <row r="18" spans="1:13" ht="19.5" customHeight="1">
      <c r="B18" s="210"/>
      <c r="C18" s="216"/>
      <c r="D18" s="6" t="s">
        <v>17</v>
      </c>
      <c r="E18" s="47">
        <v>6240</v>
      </c>
      <c r="F18" s="165">
        <v>0</v>
      </c>
      <c r="G18" s="165">
        <v>0</v>
      </c>
      <c r="H18" s="165">
        <v>0</v>
      </c>
      <c r="I18" s="47">
        <v>8921</v>
      </c>
      <c r="J18" s="89">
        <f t="shared" si="0"/>
        <v>0</v>
      </c>
      <c r="K18" s="18" t="e">
        <f t="shared" si="1"/>
        <v>#DIV/0!</v>
      </c>
      <c r="L18" s="48">
        <f t="shared" si="2"/>
        <v>8921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1" t="s">
        <v>23</v>
      </c>
      <c r="L19" s="212"/>
      <c r="M19" s="213"/>
    </row>
    <row r="20" spans="1:13" ht="21.2" customHeight="1">
      <c r="B20" s="28"/>
      <c r="C20" s="184" t="s">
        <v>8</v>
      </c>
      <c r="D20" s="185"/>
      <c r="E20" s="105">
        <f>SUM(E21,E25)</f>
        <v>725047</v>
      </c>
      <c r="F20" s="3">
        <f>SUM(F21,F25)</f>
        <v>56065</v>
      </c>
      <c r="G20" s="3">
        <f>SUM(G21,G25)</f>
        <v>528246</v>
      </c>
      <c r="H20" s="105">
        <f>SUM(H21,H25)</f>
        <v>72566</v>
      </c>
      <c r="I20" s="105">
        <f>SUM(I21,I25)</f>
        <v>573183</v>
      </c>
      <c r="J20" s="106">
        <f t="shared" si="0"/>
        <v>16501</v>
      </c>
      <c r="K20" s="107">
        <f t="shared" si="1"/>
        <v>1.2943190939088558</v>
      </c>
      <c r="L20" s="108">
        <f t="shared" si="2"/>
        <v>44937</v>
      </c>
      <c r="M20" s="24">
        <f>I20/G20</f>
        <v>1.0850683204416125</v>
      </c>
    </row>
    <row r="21" spans="1:13" ht="19.5" customHeight="1">
      <c r="B21" s="25"/>
      <c r="C21" s="198" t="s">
        <v>1</v>
      </c>
      <c r="D21" s="100" t="s">
        <v>0</v>
      </c>
      <c r="E21" s="101">
        <f>SUM(E22:E24)</f>
        <v>725047</v>
      </c>
      <c r="F21" s="101">
        <f>SUM(F22:F24)</f>
        <v>56065</v>
      </c>
      <c r="G21" s="101">
        <f>SUM(G22:G24)</f>
        <v>528246</v>
      </c>
      <c r="H21" s="101">
        <f>SUM(H22:H24)</f>
        <v>72566</v>
      </c>
      <c r="I21" s="101">
        <f>SUM(I22:I24)</f>
        <v>573183</v>
      </c>
      <c r="J21" s="102">
        <f t="shared" si="0"/>
        <v>16501</v>
      </c>
      <c r="K21" s="103">
        <f t="shared" si="1"/>
        <v>1.2943190939088558</v>
      </c>
      <c r="L21" s="104">
        <f t="shared" si="2"/>
        <v>44937</v>
      </c>
      <c r="M21" s="97">
        <f t="shared" si="3"/>
        <v>1.0850683204416125</v>
      </c>
    </row>
    <row r="22" spans="1:13" ht="19.5" customHeight="1">
      <c r="B22" s="169" t="s">
        <v>19</v>
      </c>
      <c r="C22" s="198"/>
      <c r="D22" s="52" t="s">
        <v>5</v>
      </c>
      <c r="E22" s="54">
        <v>359665</v>
      </c>
      <c r="F22" s="54">
        <v>28672</v>
      </c>
      <c r="G22" s="54">
        <v>265114</v>
      </c>
      <c r="H22" s="54">
        <v>36611</v>
      </c>
      <c r="I22" s="54">
        <v>282093</v>
      </c>
      <c r="J22" s="102">
        <f t="shared" si="0"/>
        <v>7939</v>
      </c>
      <c r="K22" s="51">
        <f t="shared" si="1"/>
        <v>1.2768903459821428</v>
      </c>
      <c r="L22" s="23">
        <f t="shared" si="2"/>
        <v>16979</v>
      </c>
      <c r="M22" s="26">
        <f t="shared" si="3"/>
        <v>1.0640441470461763</v>
      </c>
    </row>
    <row r="23" spans="1:13" ht="19.5" customHeight="1">
      <c r="B23" s="169" t="s">
        <v>20</v>
      </c>
      <c r="C23" s="198"/>
      <c r="D23" s="2" t="s">
        <v>14</v>
      </c>
      <c r="E23" s="54">
        <v>353048</v>
      </c>
      <c r="F23" s="54">
        <v>26648</v>
      </c>
      <c r="G23" s="54">
        <v>254913</v>
      </c>
      <c r="H23" s="54">
        <v>35129</v>
      </c>
      <c r="I23" s="54">
        <v>282197</v>
      </c>
      <c r="J23" s="102">
        <f t="shared" si="0"/>
        <v>8481</v>
      </c>
      <c r="K23" s="51">
        <f t="shared" si="1"/>
        <v>1.3182602821975382</v>
      </c>
      <c r="L23" s="19">
        <f t="shared" si="2"/>
        <v>27284</v>
      </c>
      <c r="M23" s="26">
        <f t="shared" si="3"/>
        <v>1.1070325954345208</v>
      </c>
    </row>
    <row r="24" spans="1:13" ht="19.5" customHeight="1">
      <c r="B24" s="31"/>
      <c r="C24" s="198"/>
      <c r="D24" s="2" t="s">
        <v>13</v>
      </c>
      <c r="E24" s="54">
        <v>12334</v>
      </c>
      <c r="F24" s="54">
        <v>745</v>
      </c>
      <c r="G24" s="54">
        <v>8219</v>
      </c>
      <c r="H24" s="54">
        <v>826</v>
      </c>
      <c r="I24" s="54">
        <v>8893</v>
      </c>
      <c r="J24" s="102">
        <f t="shared" si="0"/>
        <v>81</v>
      </c>
      <c r="K24" s="51">
        <f t="shared" si="1"/>
        <v>1.1087248322147651</v>
      </c>
      <c r="L24" s="19">
        <f t="shared" si="2"/>
        <v>674</v>
      </c>
      <c r="M24" s="26">
        <f t="shared" si="3"/>
        <v>1.0820051101107191</v>
      </c>
    </row>
    <row r="25" spans="1:13" ht="19.5" customHeight="1">
      <c r="B25" s="25"/>
      <c r="C25" s="176" t="s">
        <v>2</v>
      </c>
      <c r="D25" s="100" t="s">
        <v>71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100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100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177" t="s">
        <v>69</v>
      </c>
      <c r="C28" s="178"/>
      <c r="D28" s="179"/>
      <c r="E28" s="147">
        <v>1523131</v>
      </c>
      <c r="F28" s="147">
        <v>115705</v>
      </c>
      <c r="G28" s="147">
        <v>1140327</v>
      </c>
      <c r="H28" s="147">
        <v>132368</v>
      </c>
      <c r="I28" s="147">
        <v>883044</v>
      </c>
      <c r="J28" s="148">
        <f t="shared" si="0"/>
        <v>16663</v>
      </c>
      <c r="K28" s="149">
        <f t="shared" si="1"/>
        <v>1.1440127911499072</v>
      </c>
      <c r="L28" s="150">
        <f t="shared" si="2"/>
        <v>-257283</v>
      </c>
      <c r="M28" s="151">
        <f t="shared" si="3"/>
        <v>0.77437787581983064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33"/>
      <c r="E31" s="133"/>
      <c r="F31" s="133"/>
      <c r="G31" s="133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O11" sqref="O11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7" t="s">
        <v>74</v>
      </c>
      <c r="G2" s="217"/>
      <c r="H2"/>
      <c r="I2"/>
      <c r="J2"/>
      <c r="K2" s="166"/>
      <c r="L2" s="166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20.9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20.9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12635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77862.759000000005</v>
      </c>
    </row>
    <row r="5" spans="1:27" s="58" customFormat="1" ht="30.2" customHeight="1" thickBot="1">
      <c r="A5"/>
      <c r="B5"/>
      <c r="C5"/>
      <c r="D5" s="166"/>
      <c r="E5" s="166"/>
      <c r="F5" s="218" t="s">
        <v>33</v>
      </c>
      <c r="G5" s="218"/>
      <c r="H5" s="63"/>
      <c r="I5" s="64"/>
      <c r="J5" s="64"/>
      <c r="K5" s="166"/>
      <c r="L5" s="166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20.9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20.9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573183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39" t="s">
        <v>39</v>
      </c>
      <c r="B2" s="240"/>
      <c r="C2" s="240"/>
      <c r="D2" s="243" t="s">
        <v>40</v>
      </c>
      <c r="E2" s="76"/>
      <c r="F2" s="247" t="s">
        <v>72</v>
      </c>
      <c r="G2" s="248"/>
      <c r="H2" s="235" t="s">
        <v>73</v>
      </c>
      <c r="I2" s="235"/>
      <c r="J2" s="235" t="s">
        <v>41</v>
      </c>
      <c r="K2" s="235"/>
      <c r="L2" s="235"/>
      <c r="M2" s="236"/>
    </row>
    <row r="3" spans="1:13" ht="21.95" customHeight="1">
      <c r="A3" s="241"/>
      <c r="B3" s="242"/>
      <c r="C3" s="242"/>
      <c r="D3" s="244"/>
      <c r="E3" s="77" t="s">
        <v>42</v>
      </c>
      <c r="F3" s="77" t="str">
        <f>통계요약!F6</f>
        <v>9월(A)</v>
      </c>
      <c r="G3" s="77" t="str">
        <f>통계요약!G6</f>
        <v>9월누계(B)</v>
      </c>
      <c r="H3" s="173" t="str">
        <f>통계요약!H6</f>
        <v>9월(C)</v>
      </c>
      <c r="I3" s="77" t="str">
        <f>통계요약!I6</f>
        <v>9월누계(D)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37" t="s">
        <v>46</v>
      </c>
      <c r="B4" s="238"/>
      <c r="C4" s="238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56065</v>
      </c>
      <c r="G4" s="121">
        <f>SUM(G6,G8,G10,G12,G14,G16,G18,G22,G24,G26,G28,G20)</f>
        <v>528078</v>
      </c>
      <c r="H4" s="121">
        <f>SUM(H6,H8,H12,H14,H16,H18,H22,H24,H26,H28,H20,H10)</f>
        <v>72566</v>
      </c>
      <c r="I4" s="121">
        <f>SUM(I6,I8,I12,I14,I16,I18,I22,I24,I26,I28,I20,I10)</f>
        <v>573183</v>
      </c>
      <c r="J4" s="110">
        <f t="shared" ref="J4:J27" si="0">H4-F4</f>
        <v>16501</v>
      </c>
      <c r="K4" s="111">
        <f t="shared" ref="K4:K27" si="1">(H4/F4*100)-100</f>
        <v>29.431909390885579</v>
      </c>
      <c r="L4" s="112">
        <f t="shared" ref="L4:L27" si="2">I4-G4</f>
        <v>45105</v>
      </c>
      <c r="M4" s="127">
        <f t="shared" ref="M4:M27" si="3">(I4/G4*100)-100</f>
        <v>8.5413518457500714</v>
      </c>
    </row>
    <row r="5" spans="1:13" ht="21.95" customHeight="1">
      <c r="A5" s="237"/>
      <c r="B5" s="238"/>
      <c r="C5" s="238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838925</v>
      </c>
      <c r="G5" s="121">
        <f>SUM(G7,G9,G11,G13,G15,G17,G19,G23,G25,G27,G29,G21)</f>
        <v>8147767</v>
      </c>
      <c r="H5" s="121">
        <f>SUM(H7,H9,H13,H15,H17,H19,H23,H25,H27,H29,H21,H11)</f>
        <v>1100655</v>
      </c>
      <c r="I5" s="121">
        <f>SUM(I7,I9,I13,I15,I17,I19,I23,I25,I27,I29,I21,I11)</f>
        <v>8635628</v>
      </c>
      <c r="J5" s="110">
        <f t="shared" si="0"/>
        <v>261730</v>
      </c>
      <c r="K5" s="111">
        <f t="shared" si="1"/>
        <v>31.198259677563556</v>
      </c>
      <c r="L5" s="112">
        <f t="shared" si="2"/>
        <v>487861</v>
      </c>
      <c r="M5" s="127">
        <f t="shared" si="3"/>
        <v>5.9876650866427639</v>
      </c>
    </row>
    <row r="6" spans="1:13" ht="21.2" customHeight="1">
      <c r="A6" s="225" t="s">
        <v>53</v>
      </c>
      <c r="B6" s="226"/>
      <c r="C6" s="226"/>
      <c r="D6" s="81" t="s">
        <v>47</v>
      </c>
      <c r="E6" s="122">
        <v>35729</v>
      </c>
      <c r="F6" s="122">
        <v>4307</v>
      </c>
      <c r="G6" s="122">
        <v>26693</v>
      </c>
      <c r="H6" s="122">
        <v>4165</v>
      </c>
      <c r="I6" s="122">
        <v>27335</v>
      </c>
      <c r="J6" s="113">
        <f t="shared" ref="J6:J18" si="4">H6-F6</f>
        <v>-142</v>
      </c>
      <c r="K6" s="114">
        <f t="shared" ref="K6:K17" si="5">(H6/F6*100)-100</f>
        <v>-3.2969584397492468</v>
      </c>
      <c r="L6" s="115">
        <f t="shared" si="2"/>
        <v>642</v>
      </c>
      <c r="M6" s="128">
        <f t="shared" si="3"/>
        <v>2.405124939122615</v>
      </c>
    </row>
    <row r="7" spans="1:13" ht="21.2" customHeight="1">
      <c r="A7" s="225"/>
      <c r="B7" s="226"/>
      <c r="C7" s="226"/>
      <c r="D7" s="81" t="s">
        <v>48</v>
      </c>
      <c r="E7" s="122">
        <v>661078</v>
      </c>
      <c r="F7" s="122">
        <v>78704</v>
      </c>
      <c r="G7" s="122">
        <v>499556</v>
      </c>
      <c r="H7" s="122">
        <v>79579</v>
      </c>
      <c r="I7" s="122">
        <v>505648</v>
      </c>
      <c r="J7" s="113">
        <f t="shared" si="4"/>
        <v>875</v>
      </c>
      <c r="K7" s="114">
        <f t="shared" si="5"/>
        <v>1.1117605204309768</v>
      </c>
      <c r="L7" s="115">
        <f t="shared" si="2"/>
        <v>6092</v>
      </c>
      <c r="M7" s="128">
        <f t="shared" si="3"/>
        <v>1.2194829008159331</v>
      </c>
    </row>
    <row r="8" spans="1:13" ht="21.2" customHeight="1">
      <c r="A8" s="225" t="s">
        <v>54</v>
      </c>
      <c r="B8" s="226"/>
      <c r="C8" s="226"/>
      <c r="D8" s="81" t="s">
        <v>47</v>
      </c>
      <c r="E8" s="122">
        <v>59188</v>
      </c>
      <c r="F8" s="122">
        <v>2852</v>
      </c>
      <c r="G8" s="122">
        <v>43252</v>
      </c>
      <c r="H8" s="122">
        <v>6922</v>
      </c>
      <c r="I8" s="122">
        <v>47665</v>
      </c>
      <c r="J8" s="113">
        <f t="shared" si="4"/>
        <v>4070</v>
      </c>
      <c r="K8" s="114">
        <f t="shared" si="5"/>
        <v>142.70687237026647</v>
      </c>
      <c r="L8" s="115">
        <f t="shared" si="2"/>
        <v>4413</v>
      </c>
      <c r="M8" s="128">
        <f t="shared" si="3"/>
        <v>10.202996393230364</v>
      </c>
    </row>
    <row r="9" spans="1:13" ht="21.2" customHeight="1">
      <c r="A9" s="225"/>
      <c r="B9" s="226"/>
      <c r="C9" s="226"/>
      <c r="D9" s="81" t="s">
        <v>48</v>
      </c>
      <c r="E9" s="122">
        <v>905440</v>
      </c>
      <c r="F9" s="122">
        <v>42724</v>
      </c>
      <c r="G9" s="122">
        <v>656776</v>
      </c>
      <c r="H9" s="122">
        <v>108450</v>
      </c>
      <c r="I9" s="122">
        <v>748716</v>
      </c>
      <c r="J9" s="113">
        <f t="shared" si="4"/>
        <v>65726</v>
      </c>
      <c r="K9" s="114">
        <f t="shared" si="5"/>
        <v>153.83859189214496</v>
      </c>
      <c r="L9" s="115">
        <f t="shared" si="2"/>
        <v>91940</v>
      </c>
      <c r="M9" s="128">
        <f t="shared" si="3"/>
        <v>13.998684482989646</v>
      </c>
    </row>
    <row r="10" spans="1:13" ht="21.2" customHeight="1">
      <c r="A10" s="219" t="s">
        <v>66</v>
      </c>
      <c r="B10" s="220"/>
      <c r="C10" s="221"/>
      <c r="D10" s="81" t="s">
        <v>47</v>
      </c>
      <c r="E10" s="122">
        <v>1727</v>
      </c>
      <c r="F10" s="122">
        <v>460</v>
      </c>
      <c r="G10" s="122">
        <v>1344</v>
      </c>
      <c r="H10" s="164">
        <v>0</v>
      </c>
      <c r="I10" s="164">
        <v>0</v>
      </c>
      <c r="J10" s="113">
        <f t="shared" si="4"/>
        <v>-460</v>
      </c>
      <c r="K10" s="114">
        <f t="shared" si="5"/>
        <v>-100</v>
      </c>
      <c r="L10" s="115">
        <f t="shared" si="2"/>
        <v>-1344</v>
      </c>
      <c r="M10" s="128">
        <f t="shared" si="3"/>
        <v>-100</v>
      </c>
    </row>
    <row r="11" spans="1:13" ht="21.2" customHeight="1">
      <c r="A11" s="222"/>
      <c r="B11" s="223"/>
      <c r="C11" s="224"/>
      <c r="D11" s="81" t="s">
        <v>65</v>
      </c>
      <c r="E11" s="122">
        <v>36095</v>
      </c>
      <c r="F11" s="122">
        <v>10182</v>
      </c>
      <c r="G11" s="122">
        <v>26768</v>
      </c>
      <c r="H11" s="164">
        <v>0</v>
      </c>
      <c r="I11" s="164">
        <v>0</v>
      </c>
      <c r="J11" s="113">
        <f t="shared" si="4"/>
        <v>-10182</v>
      </c>
      <c r="K11" s="114">
        <f t="shared" si="5"/>
        <v>-100</v>
      </c>
      <c r="L11" s="115">
        <f t="shared" si="2"/>
        <v>-26768</v>
      </c>
      <c r="M11" s="128">
        <f t="shared" si="3"/>
        <v>-100</v>
      </c>
    </row>
    <row r="12" spans="1:13" ht="21.2" customHeight="1">
      <c r="A12" s="225" t="s">
        <v>55</v>
      </c>
      <c r="B12" s="226"/>
      <c r="C12" s="226"/>
      <c r="D12" s="81" t="s">
        <v>47</v>
      </c>
      <c r="E12" s="122">
        <v>60588</v>
      </c>
      <c r="F12" s="122">
        <v>4207</v>
      </c>
      <c r="G12" s="122">
        <v>39871</v>
      </c>
      <c r="H12" s="122">
        <v>11208</v>
      </c>
      <c r="I12" s="122">
        <v>70546</v>
      </c>
      <c r="J12" s="113">
        <f t="shared" si="4"/>
        <v>7001</v>
      </c>
      <c r="K12" s="114">
        <f t="shared" si="5"/>
        <v>166.4131209888281</v>
      </c>
      <c r="L12" s="115">
        <f t="shared" si="2"/>
        <v>30675</v>
      </c>
      <c r="M12" s="128">
        <f t="shared" si="3"/>
        <v>76.935617366005374</v>
      </c>
    </row>
    <row r="13" spans="1:13" ht="21.2" customHeight="1">
      <c r="A13" s="225"/>
      <c r="B13" s="226"/>
      <c r="C13" s="226"/>
      <c r="D13" s="81" t="s">
        <v>48</v>
      </c>
      <c r="E13" s="122">
        <v>474427</v>
      </c>
      <c r="F13" s="122">
        <v>24846</v>
      </c>
      <c r="G13" s="122">
        <v>230775</v>
      </c>
      <c r="H13" s="122">
        <v>189462</v>
      </c>
      <c r="I13" s="122">
        <v>1082374</v>
      </c>
      <c r="J13" s="113">
        <f t="shared" si="4"/>
        <v>164616</v>
      </c>
      <c r="K13" s="114">
        <f t="shared" si="5"/>
        <v>662.54527891813564</v>
      </c>
      <c r="L13" s="115">
        <f t="shared" si="2"/>
        <v>851599</v>
      </c>
      <c r="M13" s="128">
        <f t="shared" si="3"/>
        <v>369.01700790813561</v>
      </c>
    </row>
    <row r="14" spans="1:13" ht="21.2" customHeight="1">
      <c r="A14" s="225" t="s">
        <v>62</v>
      </c>
      <c r="B14" s="226"/>
      <c r="C14" s="226"/>
      <c r="D14" s="81" t="s">
        <v>47</v>
      </c>
      <c r="E14" s="122">
        <v>173357</v>
      </c>
      <c r="F14" s="122">
        <v>14230</v>
      </c>
      <c r="G14" s="122">
        <v>131057</v>
      </c>
      <c r="H14" s="122">
        <v>21077</v>
      </c>
      <c r="I14" s="122">
        <v>162874</v>
      </c>
      <c r="J14" s="113">
        <f t="shared" si="4"/>
        <v>6847</v>
      </c>
      <c r="K14" s="114">
        <f t="shared" si="5"/>
        <v>48.116654954321859</v>
      </c>
      <c r="L14" s="115">
        <f t="shared" si="2"/>
        <v>31817</v>
      </c>
      <c r="M14" s="128">
        <f t="shared" si="3"/>
        <v>24.277222887751137</v>
      </c>
    </row>
    <row r="15" spans="1:13" ht="21.2" customHeight="1">
      <c r="A15" s="225"/>
      <c r="B15" s="226"/>
      <c r="C15" s="226"/>
      <c r="D15" s="81" t="s">
        <v>48</v>
      </c>
      <c r="E15" s="122">
        <v>3000801</v>
      </c>
      <c r="F15" s="122">
        <v>220479</v>
      </c>
      <c r="G15" s="122">
        <v>2399600</v>
      </c>
      <c r="H15" s="122">
        <v>281953</v>
      </c>
      <c r="I15" s="122">
        <v>2208724</v>
      </c>
      <c r="J15" s="113">
        <f t="shared" si="4"/>
        <v>61474</v>
      </c>
      <c r="K15" s="114">
        <f t="shared" si="5"/>
        <v>27.882020509889841</v>
      </c>
      <c r="L15" s="115">
        <f t="shared" si="2"/>
        <v>-190876</v>
      </c>
      <c r="M15" s="128">
        <f t="shared" si="3"/>
        <v>-7.9544924154025693</v>
      </c>
    </row>
    <row r="16" spans="1:13" ht="21.2" customHeight="1">
      <c r="A16" s="225" t="s">
        <v>56</v>
      </c>
      <c r="B16" s="226"/>
      <c r="C16" s="226"/>
      <c r="D16" s="81" t="s">
        <v>47</v>
      </c>
      <c r="E16" s="122">
        <v>167550</v>
      </c>
      <c r="F16" s="122">
        <v>11167</v>
      </c>
      <c r="G16" s="122">
        <v>122258</v>
      </c>
      <c r="H16" s="122">
        <v>7469</v>
      </c>
      <c r="I16" s="122">
        <v>110199</v>
      </c>
      <c r="J16" s="113">
        <f t="shared" si="4"/>
        <v>-3698</v>
      </c>
      <c r="K16" s="82">
        <f t="shared" si="5"/>
        <v>-33.115429390167463</v>
      </c>
      <c r="L16" s="83">
        <f t="shared" si="2"/>
        <v>-12059</v>
      </c>
      <c r="M16" s="129">
        <f t="shared" si="3"/>
        <v>-9.8635672103257122</v>
      </c>
    </row>
    <row r="17" spans="1:13" ht="21.2" customHeight="1">
      <c r="A17" s="225"/>
      <c r="B17" s="226"/>
      <c r="C17" s="226"/>
      <c r="D17" s="81" t="s">
        <v>48</v>
      </c>
      <c r="E17" s="122">
        <v>2696085</v>
      </c>
      <c r="F17" s="122">
        <v>185035</v>
      </c>
      <c r="G17" s="122">
        <v>1969447</v>
      </c>
      <c r="H17" s="122">
        <v>111052</v>
      </c>
      <c r="I17" s="122">
        <v>1744411</v>
      </c>
      <c r="J17" s="113">
        <f t="shared" si="4"/>
        <v>-73983</v>
      </c>
      <c r="K17" s="82">
        <f t="shared" si="5"/>
        <v>-39.983246412840813</v>
      </c>
      <c r="L17" s="83">
        <f t="shared" si="2"/>
        <v>-225036</v>
      </c>
      <c r="M17" s="129">
        <f t="shared" si="3"/>
        <v>-11.426354707692056</v>
      </c>
    </row>
    <row r="18" spans="1:13" ht="21.2" customHeight="1">
      <c r="A18" s="229" t="s">
        <v>70</v>
      </c>
      <c r="B18" s="230"/>
      <c r="C18" s="230"/>
      <c r="D18" s="154" t="s">
        <v>47</v>
      </c>
      <c r="E18" s="153">
        <v>225</v>
      </c>
      <c r="F18" s="163">
        <v>0</v>
      </c>
      <c r="G18" s="163">
        <v>0</v>
      </c>
      <c r="H18" s="163">
        <v>670</v>
      </c>
      <c r="I18" s="163">
        <v>670</v>
      </c>
      <c r="J18" s="155">
        <f t="shared" si="4"/>
        <v>670</v>
      </c>
      <c r="K18" s="156" t="s">
        <v>68</v>
      </c>
      <c r="L18" s="157">
        <f t="shared" si="2"/>
        <v>670</v>
      </c>
      <c r="M18" s="158">
        <v>0</v>
      </c>
    </row>
    <row r="19" spans="1:13" ht="21.2" customHeight="1">
      <c r="A19" s="231"/>
      <c r="B19" s="232"/>
      <c r="C19" s="232"/>
      <c r="D19" s="159" t="s">
        <v>48</v>
      </c>
      <c r="E19" s="153">
        <v>4766</v>
      </c>
      <c r="F19" s="163">
        <v>0</v>
      </c>
      <c r="G19" s="163">
        <v>0</v>
      </c>
      <c r="H19" s="163">
        <v>6371</v>
      </c>
      <c r="I19" s="163">
        <v>6371</v>
      </c>
      <c r="J19" s="155">
        <f t="shared" si="0"/>
        <v>6371</v>
      </c>
      <c r="K19" s="160" t="s">
        <v>68</v>
      </c>
      <c r="L19" s="161">
        <f t="shared" si="2"/>
        <v>6371</v>
      </c>
      <c r="M19" s="162">
        <v>0</v>
      </c>
    </row>
    <row r="20" spans="1:13" ht="21.2" customHeight="1">
      <c r="A20" s="219" t="s">
        <v>63</v>
      </c>
      <c r="B20" s="220"/>
      <c r="C20" s="221"/>
      <c r="D20" s="84" t="s">
        <v>64</v>
      </c>
      <c r="E20" s="122">
        <v>178</v>
      </c>
      <c r="F20" s="163">
        <v>72</v>
      </c>
      <c r="G20" s="163">
        <v>170</v>
      </c>
      <c r="H20" s="163">
        <v>48</v>
      </c>
      <c r="I20" s="163">
        <v>112</v>
      </c>
      <c r="J20" s="113">
        <f t="shared" si="0"/>
        <v>-24</v>
      </c>
      <c r="K20" s="145" t="s">
        <v>68</v>
      </c>
      <c r="L20" s="117">
        <f t="shared" si="2"/>
        <v>-58</v>
      </c>
      <c r="M20" s="130">
        <f t="shared" si="3"/>
        <v>-34.117647058823536</v>
      </c>
    </row>
    <row r="21" spans="1:13" ht="21.2" customHeight="1">
      <c r="A21" s="222"/>
      <c r="B21" s="223"/>
      <c r="C21" s="224"/>
      <c r="D21" s="84" t="s">
        <v>65</v>
      </c>
      <c r="E21" s="122">
        <v>1254</v>
      </c>
      <c r="F21" s="163">
        <v>658</v>
      </c>
      <c r="G21" s="163">
        <v>1212</v>
      </c>
      <c r="H21" s="163">
        <v>352</v>
      </c>
      <c r="I21" s="163">
        <v>776</v>
      </c>
      <c r="J21" s="113">
        <f t="shared" si="0"/>
        <v>-306</v>
      </c>
      <c r="K21" s="145" t="s">
        <v>68</v>
      </c>
      <c r="L21" s="117">
        <f t="shared" si="2"/>
        <v>-436</v>
      </c>
      <c r="M21" s="130">
        <f t="shared" si="3"/>
        <v>-35.973597359735976</v>
      </c>
    </row>
    <row r="22" spans="1:13" ht="21.2" customHeight="1">
      <c r="A22" s="225" t="s">
        <v>58</v>
      </c>
      <c r="B22" s="226"/>
      <c r="C22" s="226"/>
      <c r="D22" s="81" t="s">
        <v>47</v>
      </c>
      <c r="E22" s="122">
        <v>486</v>
      </c>
      <c r="F22" s="164">
        <v>12</v>
      </c>
      <c r="G22" s="122">
        <v>394</v>
      </c>
      <c r="H22" s="164">
        <v>48</v>
      </c>
      <c r="I22" s="122">
        <v>476</v>
      </c>
      <c r="J22" s="113">
        <f t="shared" si="0"/>
        <v>36</v>
      </c>
      <c r="K22" s="114">
        <f t="shared" si="1"/>
        <v>300</v>
      </c>
      <c r="L22" s="115">
        <f t="shared" si="2"/>
        <v>82</v>
      </c>
      <c r="M22" s="128">
        <f t="shared" si="3"/>
        <v>20.812182741116757</v>
      </c>
    </row>
    <row r="23" spans="1:13" ht="21.2" customHeight="1">
      <c r="A23" s="233"/>
      <c r="B23" s="234"/>
      <c r="C23" s="234"/>
      <c r="D23" s="84" t="s">
        <v>48</v>
      </c>
      <c r="E23" s="122">
        <v>4285</v>
      </c>
      <c r="F23" s="164">
        <v>104</v>
      </c>
      <c r="G23" s="122">
        <v>3473</v>
      </c>
      <c r="H23" s="164">
        <v>357</v>
      </c>
      <c r="I23" s="122">
        <v>3960</v>
      </c>
      <c r="J23" s="113">
        <f t="shared" si="0"/>
        <v>253</v>
      </c>
      <c r="K23" s="116">
        <f t="shared" si="1"/>
        <v>243.26923076923077</v>
      </c>
      <c r="L23" s="117">
        <f t="shared" si="2"/>
        <v>487</v>
      </c>
      <c r="M23" s="130">
        <f t="shared" si="3"/>
        <v>14.022458969190893</v>
      </c>
    </row>
    <row r="24" spans="1:13" ht="21.2" customHeight="1">
      <c r="A24" s="225" t="s">
        <v>59</v>
      </c>
      <c r="B24" s="226"/>
      <c r="C24" s="226"/>
      <c r="D24" s="81" t="s">
        <v>47</v>
      </c>
      <c r="E24" s="122">
        <v>81150</v>
      </c>
      <c r="F24" s="122">
        <v>6760</v>
      </c>
      <c r="G24" s="122">
        <v>58655</v>
      </c>
      <c r="H24" s="122">
        <v>7140</v>
      </c>
      <c r="I24" s="122">
        <v>52200</v>
      </c>
      <c r="J24" s="113">
        <f t="shared" si="0"/>
        <v>380</v>
      </c>
      <c r="K24" s="114">
        <f t="shared" si="1"/>
        <v>5.6213017751479271</v>
      </c>
      <c r="L24" s="115">
        <f t="shared" si="2"/>
        <v>-6455</v>
      </c>
      <c r="M24" s="128">
        <f t="shared" si="3"/>
        <v>-11.005029409257531</v>
      </c>
    </row>
    <row r="25" spans="1:13" ht="21.2" customHeight="1">
      <c r="A25" s="225"/>
      <c r="B25" s="226"/>
      <c r="C25" s="226"/>
      <c r="D25" s="81" t="s">
        <v>48</v>
      </c>
      <c r="E25" s="122">
        <v>1256097</v>
      </c>
      <c r="F25" s="122">
        <v>101827</v>
      </c>
      <c r="G25" s="122">
        <v>912117</v>
      </c>
      <c r="H25" s="122">
        <v>120452</v>
      </c>
      <c r="I25" s="122">
        <v>831804</v>
      </c>
      <c r="J25" s="113">
        <f t="shared" si="0"/>
        <v>18625</v>
      </c>
      <c r="K25" s="114">
        <f t="shared" si="1"/>
        <v>18.29082659805357</v>
      </c>
      <c r="L25" s="115">
        <f t="shared" si="2"/>
        <v>-80313</v>
      </c>
      <c r="M25" s="128">
        <f t="shared" si="3"/>
        <v>-8.8051203957387116</v>
      </c>
    </row>
    <row r="26" spans="1:13" ht="21.2" customHeight="1">
      <c r="A26" s="225" t="s">
        <v>60</v>
      </c>
      <c r="B26" s="226"/>
      <c r="C26" s="226"/>
      <c r="D26" s="86" t="s">
        <v>47</v>
      </c>
      <c r="E26" s="123">
        <v>115220</v>
      </c>
      <c r="F26" s="123">
        <v>9782</v>
      </c>
      <c r="G26" s="123">
        <v>83357</v>
      </c>
      <c r="H26" s="123">
        <v>10563</v>
      </c>
      <c r="I26" s="123">
        <v>76095</v>
      </c>
      <c r="J26" s="113">
        <f t="shared" si="0"/>
        <v>781</v>
      </c>
      <c r="K26" s="118">
        <f t="shared" si="1"/>
        <v>7.9840523410345696</v>
      </c>
      <c r="L26" s="119">
        <f t="shared" si="2"/>
        <v>-7262</v>
      </c>
      <c r="M26" s="131">
        <f t="shared" si="3"/>
        <v>-8.7119258130690866</v>
      </c>
    </row>
    <row r="27" spans="1:13" ht="21.2" customHeight="1">
      <c r="A27" s="225"/>
      <c r="B27" s="226"/>
      <c r="C27" s="226"/>
      <c r="D27" s="84" t="s">
        <v>48</v>
      </c>
      <c r="E27" s="134">
        <v>1551822</v>
      </c>
      <c r="F27" s="134">
        <v>135433</v>
      </c>
      <c r="G27" s="134">
        <v>1131299</v>
      </c>
      <c r="H27" s="134">
        <v>151092</v>
      </c>
      <c r="I27" s="134">
        <v>1109940</v>
      </c>
      <c r="J27" s="135">
        <f t="shared" si="0"/>
        <v>15659</v>
      </c>
      <c r="K27" s="116">
        <f t="shared" si="1"/>
        <v>11.562174654626276</v>
      </c>
      <c r="L27" s="117">
        <f t="shared" si="2"/>
        <v>-21359</v>
      </c>
      <c r="M27" s="130">
        <f t="shared" si="3"/>
        <v>-1.8880066189398121</v>
      </c>
    </row>
    <row r="28" spans="1:13" ht="21.2" customHeight="1">
      <c r="A28" s="225" t="s">
        <v>61</v>
      </c>
      <c r="B28" s="226"/>
      <c r="C28" s="226"/>
      <c r="D28" s="81" t="s">
        <v>47</v>
      </c>
      <c r="E28" s="122">
        <v>29479</v>
      </c>
      <c r="F28" s="122">
        <v>2216</v>
      </c>
      <c r="G28" s="122">
        <v>21027</v>
      </c>
      <c r="H28" s="122">
        <v>3256</v>
      </c>
      <c r="I28" s="122">
        <v>25011</v>
      </c>
      <c r="J28" s="113">
        <f>H28-F28</f>
        <v>1040</v>
      </c>
      <c r="K28" s="141" t="s">
        <v>67</v>
      </c>
      <c r="L28" s="115">
        <f>I28-G28</f>
        <v>3984</v>
      </c>
      <c r="M28" s="143" t="s">
        <v>67</v>
      </c>
    </row>
    <row r="29" spans="1:13" ht="21.2" customHeight="1" thickBot="1">
      <c r="A29" s="227"/>
      <c r="B29" s="228"/>
      <c r="C29" s="228"/>
      <c r="D29" s="136" t="s">
        <v>48</v>
      </c>
      <c r="E29" s="137">
        <v>456522</v>
      </c>
      <c r="F29" s="137">
        <v>38933</v>
      </c>
      <c r="G29" s="137">
        <v>316744</v>
      </c>
      <c r="H29" s="137">
        <v>51535</v>
      </c>
      <c r="I29" s="137">
        <v>392904</v>
      </c>
      <c r="J29" s="138">
        <f>H29-F29</f>
        <v>12602</v>
      </c>
      <c r="K29" s="142" t="s">
        <v>67</v>
      </c>
      <c r="L29" s="139">
        <f>I29-G29</f>
        <v>76160</v>
      </c>
      <c r="M29" s="144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2020-10-22T08:07:54Z</dcterms:modified>
</cp:coreProperties>
</file>