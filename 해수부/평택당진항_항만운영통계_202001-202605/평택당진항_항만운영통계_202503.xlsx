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9"/>
  <workbookPr/>
  <mc:AlternateContent xmlns:mc="http://schemas.openxmlformats.org/markup-compatibility/2006">
    <mc:Choice Requires="x15">
      <x15ac:absPath xmlns:x15ac="http://schemas.microsoft.com/office/spreadsheetml/2010/11/ac" url="D:\업무\3. 통계\2025\3월\"/>
    </mc:Choice>
  </mc:AlternateContent>
  <xr:revisionPtr revIDLastSave="0" documentId="13_ncr:1_{B7C09BD9-51D0-4DE1-8BF7-D73D406C90F2}" xr6:coauthVersionLast="36" xr6:coauthVersionMax="36" xr10:uidLastSave="{00000000-0000-0000-0000-000000000000}"/>
  <bookViews>
    <workbookView xWindow="-105" yWindow="-105" windowWidth="23250" windowHeight="12570" tabRatio="601" firstSheet="1" activeTab="1" xr2:uid="{00000000-000D-0000-FFFF-FFFF00000000}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91029"/>
</workbook>
</file>

<file path=xl/calcChain.xml><?xml version="1.0" encoding="utf-8"?>
<calcChain xmlns="http://schemas.openxmlformats.org/spreadsheetml/2006/main">
  <c r="J24" i="21" l="1"/>
  <c r="J25" i="21"/>
  <c r="J23" i="21"/>
  <c r="L9" i="21"/>
  <c r="E7" i="32" l="1"/>
  <c r="I22" i="21" l="1"/>
  <c r="I8" i="21" l="1"/>
  <c r="H7" i="33" s="1"/>
  <c r="L22" i="32" l="1"/>
  <c r="L28" i="32"/>
  <c r="H9" i="32" l="1"/>
  <c r="J13" i="21"/>
  <c r="J14" i="21"/>
  <c r="J15" i="21"/>
  <c r="J18" i="21"/>
  <c r="J17" i="21"/>
  <c r="M29" i="21"/>
  <c r="J29" i="21"/>
  <c r="I14" i="32" l="1"/>
  <c r="K30" i="32" l="1"/>
  <c r="I28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9" i="32"/>
  <c r="I30" i="32"/>
  <c r="I31" i="32"/>
  <c r="I32" i="32"/>
  <c r="I33" i="32"/>
  <c r="I34" i="32"/>
  <c r="I35" i="32"/>
  <c r="I36" i="32"/>
  <c r="I37" i="32"/>
  <c r="I13" i="32"/>
  <c r="G8" i="32"/>
  <c r="G9" i="32"/>
  <c r="J25" i="32" l="1"/>
  <c r="J24" i="32"/>
  <c r="F9" i="32" l="1"/>
  <c r="H12" i="21"/>
  <c r="F8" i="32" l="1"/>
  <c r="E9" i="32"/>
  <c r="E8" i="32"/>
  <c r="L11" i="32" l="1"/>
  <c r="L12" i="32"/>
  <c r="L13" i="32"/>
  <c r="L14" i="32"/>
  <c r="L15" i="32"/>
  <c r="L16" i="32"/>
  <c r="L17" i="32"/>
  <c r="L18" i="32"/>
  <c r="L19" i="32"/>
  <c r="L20" i="32"/>
  <c r="L21" i="32"/>
  <c r="L23" i="32"/>
  <c r="L24" i="32"/>
  <c r="L25" i="32"/>
  <c r="L26" i="32"/>
  <c r="L27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0" i="32"/>
  <c r="L18" i="21" l="1"/>
  <c r="L17" i="21"/>
  <c r="L13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I16" i="21" l="1"/>
  <c r="I12" i="21"/>
  <c r="H16" i="21"/>
  <c r="H11" i="21" l="1"/>
  <c r="I11" i="21"/>
  <c r="P7" i="33" s="1"/>
  <c r="F16" i="21"/>
  <c r="J16" i="21" s="1"/>
  <c r="F12" i="21"/>
  <c r="J12" i="21" s="1"/>
  <c r="G16" i="21"/>
  <c r="G12" i="21"/>
  <c r="F11" i="21" l="1"/>
  <c r="G11" i="21"/>
  <c r="H8" i="32" l="1"/>
  <c r="H22" i="21" l="1"/>
  <c r="G22" i="21" l="1"/>
  <c r="L12" i="21"/>
  <c r="G8" i="21" l="1"/>
  <c r="M8" i="21" l="1"/>
  <c r="H8" i="21"/>
  <c r="P9" i="33" l="1"/>
  <c r="H9" i="33"/>
  <c r="P6" i="33"/>
  <c r="H7" i="32" l="1"/>
  <c r="G7" i="32"/>
  <c r="F7" i="32"/>
  <c r="L29" i="21" l="1"/>
  <c r="K29" i="21"/>
  <c r="L27" i="21"/>
  <c r="L28" i="21"/>
  <c r="J27" i="21" l="1"/>
  <c r="J28" i="21"/>
  <c r="I26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I21" i="21" l="1"/>
  <c r="H10" i="33" s="1"/>
  <c r="H21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<sst xmlns="http://schemas.openxmlformats.org/spreadsheetml/2006/main" count="158" uniqueCount="110">
  <si>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</si>
  <si>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</si>
  <si>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</si>
  <si>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</si>
  <si>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</si>
  <si>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</si>
  <si>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</si>
  <si>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9" type="noConversion"/>
  </si>
  <si>
    <t xml:space="preserve"> 합  계</t>
    <phoneticPr fontId="9" type="noConversion"/>
  </si>
  <si>
    <t xml:space="preserve"> 외  항</t>
    <phoneticPr fontId="9" type="noConversion"/>
  </si>
  <si>
    <t xml:space="preserve"> 내  항</t>
    <phoneticPr fontId="9" type="noConversion"/>
  </si>
  <si>
    <t>연간누계</t>
    <phoneticPr fontId="9" type="noConversion"/>
  </si>
  <si>
    <t>계</t>
    <phoneticPr fontId="9" type="noConversion"/>
  </si>
  <si>
    <t>환적</t>
    <phoneticPr fontId="9" type="noConversion"/>
  </si>
  <si>
    <t>수출</t>
    <phoneticPr fontId="9" type="noConversion"/>
  </si>
  <si>
    <t>전년동기대비</t>
    <phoneticPr fontId="9" type="noConversion"/>
  </si>
  <si>
    <t>(%)</t>
    <phoneticPr fontId="9" type="noConversion"/>
  </si>
  <si>
    <t>환적</t>
    <phoneticPr fontId="9" type="noConversion"/>
  </si>
  <si>
    <t>D-B</t>
    <phoneticPr fontId="9" type="noConversion"/>
  </si>
  <si>
    <t>선박</t>
    <phoneticPr fontId="9" type="noConversion"/>
  </si>
  <si>
    <t>화물</t>
    <phoneticPr fontId="9" type="noConversion"/>
  </si>
  <si>
    <t>(단위:TEU, 100% 기준)</t>
    <phoneticPr fontId="9" type="noConversion"/>
  </si>
  <si>
    <t>컨테이너</t>
    <phoneticPr fontId="9" type="noConversion"/>
  </si>
  <si>
    <t>구     분</t>
    <phoneticPr fontId="9" type="noConversion"/>
  </si>
  <si>
    <t>단위</t>
    <phoneticPr fontId="21" type="noConversion"/>
  </si>
  <si>
    <t>전년동기대비</t>
    <phoneticPr fontId="9" type="noConversion"/>
  </si>
  <si>
    <t>연간누계</t>
    <phoneticPr fontId="9" type="noConversion"/>
  </si>
  <si>
    <t>C-A</t>
    <phoneticPr fontId="9" type="noConversion"/>
  </si>
  <si>
    <t>(%)</t>
    <phoneticPr fontId="9" type="noConversion"/>
  </si>
  <si>
    <t>D-B</t>
    <phoneticPr fontId="9" type="noConversion"/>
  </si>
  <si>
    <t>합  계</t>
    <phoneticPr fontId="9" type="noConversion"/>
  </si>
  <si>
    <t>TEU</t>
    <phoneticPr fontId="21" type="noConversion"/>
  </si>
  <si>
    <t>톤</t>
    <phoneticPr fontId="21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</si>
  <si>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</si>
  <si>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</si>
  <si>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</si>
  <si>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</si>
  <si>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9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</si>
  <si>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</si>
  <si>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</si>
  <si>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</si>
  <si>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</si>
  <si>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</si>
  <si>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</si>
  <si>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</si>
  <si>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</si>
  <si>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</si>
  <si>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자동차(대)</t>
    <phoneticPr fontId="9" type="noConversion"/>
  </si>
  <si>
    <t>동부두 9</t>
    <phoneticPr fontId="21" type="noConversion"/>
  </si>
  <si>
    <t>소계</t>
    <phoneticPr fontId="9" type="noConversion"/>
  </si>
  <si>
    <t>(단위 : 척)</t>
    <phoneticPr fontId="9" type="noConversion"/>
  </si>
  <si>
    <t>국제여객부두 1번선석</t>
  </si>
  <si>
    <t>국제여객부두 2번선석</t>
    <phoneticPr fontId="21" type="noConversion"/>
  </si>
  <si>
    <t>동부두 5번선석</t>
    <phoneticPr fontId="21" type="noConversion"/>
  </si>
  <si>
    <t>동부두 6번선석</t>
    <phoneticPr fontId="21" type="noConversion"/>
  </si>
  <si>
    <t>동부두 6번선석</t>
    <phoneticPr fontId="21" type="noConversion"/>
  </si>
  <si>
    <t>동부두 7번선석</t>
    <phoneticPr fontId="21" type="noConversion"/>
  </si>
  <si>
    <t>동부두 7번선석</t>
    <phoneticPr fontId="21" type="noConversion"/>
  </si>
  <si>
    <t>동부두 8번선석</t>
    <phoneticPr fontId="21" type="noConversion"/>
  </si>
  <si>
    <t>동부두 8번선석</t>
    <phoneticPr fontId="21" type="noConversion"/>
  </si>
  <si>
    <t>동부두 9번선석</t>
    <phoneticPr fontId="21" type="noConversion"/>
  </si>
  <si>
    <t>동부두 9번선석</t>
    <phoneticPr fontId="21" type="noConversion"/>
  </si>
  <si>
    <t>동부두 11번선석</t>
    <phoneticPr fontId="21" type="noConversion"/>
  </si>
  <si>
    <t>동부두 12번선석</t>
    <phoneticPr fontId="21" type="noConversion"/>
  </si>
  <si>
    <t>동부두 12번선석</t>
    <phoneticPr fontId="21" type="noConversion"/>
  </si>
  <si>
    <t>동부두 14번선석</t>
    <phoneticPr fontId="21" type="noConversion"/>
  </si>
  <si>
    <t>동부두 14번선석</t>
    <phoneticPr fontId="21" type="noConversion"/>
  </si>
  <si>
    <t>동부두 15번선석</t>
    <phoneticPr fontId="21" type="noConversion"/>
  </si>
  <si>
    <t>동부두 15번선석</t>
    <phoneticPr fontId="21" type="noConversion"/>
  </si>
  <si>
    <t>동부두 16번선석</t>
    <phoneticPr fontId="21" type="noConversion"/>
  </si>
  <si>
    <t>동부두 16번선석</t>
    <phoneticPr fontId="21" type="noConversion"/>
  </si>
  <si>
    <t>동부두 10</t>
    <phoneticPr fontId="21" type="noConversion"/>
  </si>
  <si>
    <t>동부두 1</t>
    <phoneticPr fontId="21" type="noConversion"/>
  </si>
  <si>
    <t>동부두 1번선석</t>
    <phoneticPr fontId="21" type="noConversion"/>
  </si>
  <si>
    <t>동부두 10번선석</t>
    <phoneticPr fontId="21" type="noConversion"/>
  </si>
  <si>
    <t>PNCT</t>
    <phoneticPr fontId="21" type="noConversion"/>
  </si>
  <si>
    <t>터미널별</t>
    <phoneticPr fontId="21" type="noConversion"/>
  </si>
  <si>
    <t>2022년 월별</t>
    <phoneticPr fontId="21" type="noConversion"/>
  </si>
  <si>
    <t>2022년 누계</t>
    <phoneticPr fontId="21" type="noConversion"/>
  </si>
  <si>
    <t>2023년 월별</t>
    <phoneticPr fontId="21" type="noConversion"/>
  </si>
  <si>
    <t>2023년 누계</t>
    <phoneticPr fontId="21" type="noConversion"/>
  </si>
  <si>
    <t>여객부두</t>
    <phoneticPr fontId="21" type="noConversion"/>
  </si>
  <si>
    <t>HPCTC</t>
    <phoneticPr fontId="21" type="noConversion"/>
  </si>
  <si>
    <t>`</t>
    <phoneticPr fontId="21" type="noConversion"/>
  </si>
  <si>
    <t>(단위 : 척, 천톤, 100% 기준)</t>
  </si>
  <si>
    <t>컨테이너</t>
    <phoneticPr fontId="9" type="noConversion"/>
  </si>
  <si>
    <t>연도별 수송실적</t>
    <phoneticPr fontId="9" type="noConversion"/>
  </si>
  <si>
    <t>(단위 : 천톤)</t>
    <phoneticPr fontId="9" type="noConversion"/>
  </si>
  <si>
    <t>(단위 : TEU)</t>
    <phoneticPr fontId="9" type="noConversion"/>
  </si>
  <si>
    <t>(단위 : 명)</t>
    <phoneticPr fontId="9" type="noConversion"/>
  </si>
  <si>
    <t>화물
입출항</t>
    <phoneticPr fontId="9" type="noConversion"/>
  </si>
  <si>
    <t>선박
입출항</t>
    <phoneticPr fontId="9" type="noConversion"/>
  </si>
  <si>
    <t>여  객</t>
    <phoneticPr fontId="9" type="noConversion"/>
  </si>
  <si>
    <t>구 분</t>
    <phoneticPr fontId="9" type="noConversion"/>
  </si>
  <si>
    <t>(선박입출항)</t>
    <phoneticPr fontId="9" type="noConversion"/>
  </si>
  <si>
    <t>(화물입출항)</t>
    <phoneticPr fontId="9" type="noConversion"/>
  </si>
  <si>
    <t>(컨테이너)</t>
    <phoneticPr fontId="9" type="noConversion"/>
  </si>
  <si>
    <t xml:space="preserve">□ 연도별 추이 </t>
    <phoneticPr fontId="20" type="noConversion"/>
  </si>
  <si>
    <t>(여 객)</t>
    <phoneticPr fontId="9" type="noConversion"/>
  </si>
  <si>
    <t>2024년도</t>
    <phoneticPr fontId="9" type="noConversion"/>
  </si>
  <si>
    <t xml:space="preserve"> </t>
    <phoneticPr fontId="20" type="noConversion"/>
  </si>
  <si>
    <t>2025년도</t>
    <phoneticPr fontId="9" type="noConversion"/>
  </si>
  <si>
    <t>항만운영통계(3월)</t>
    <phoneticPr fontId="9" type="noConversion"/>
  </si>
  <si>
    <t>3월(A)</t>
    <phoneticPr fontId="9" type="noConversion"/>
  </si>
  <si>
    <t xml:space="preserve">3월누계(B) </t>
    <phoneticPr fontId="9" type="noConversion"/>
  </si>
  <si>
    <t>3월(C)</t>
    <phoneticPr fontId="9" type="noConversion"/>
  </si>
  <si>
    <t xml:space="preserve">3월누계(D) </t>
    <phoneticPr fontId="9" type="noConversion"/>
  </si>
  <si>
    <t>2025.3.</t>
    <phoneticPr fontId="20" type="noConversion"/>
  </si>
  <si>
    <t>부두별 컨테이너 물동량(3월)</t>
    <phoneticPr fontId="21" type="noConversion"/>
  </si>
  <si>
    <t>-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</si>
</sst>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0.0"/>
  </numFmts>
  <fonts count="41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  <font>
      <b/>
      <sz val="10"/>
      <color theme="1"/>
      <name val="바탕체"/>
      <family val="1"/>
      <charset val="129"/>
    </font>
    <font>
      <sz val="10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5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104">
    <xf numFmtId="0" fontId="0" fillId="0" borderId="0"/>
    <xf numFmtId="38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38" fontId="13" fillId="2" borderId="0" applyNumberFormat="0" applyBorder="0" applyAlignment="0" applyProtection="0"/>
    <xf numFmtId="10" fontId="13" fillId="3" borderId="1" applyNumberFormat="0" applyBorder="0" applyAlignment="0" applyProtection="0"/>
    <xf numFmtId="38" fontId="12" fillId="0" borderId="0" applyFont="0" applyFill="0" applyBorder="0" applyAlignment="0" applyProtection="0"/>
    <xf numFmtId="40" fontId="12" fillId="0" borderId="0" applyFont="0" applyFill="0" applyBorder="0" applyAlignment="0" applyProtection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1" fillId="0" borderId="0"/>
    <xf numFmtId="0" fontId="10" fillId="0" borderId="0"/>
    <xf numFmtId="10" fontId="11" fillId="0" borderId="0" applyFont="0" applyFill="0" applyBorder="0" applyAlignment="0" applyProtection="0"/>
    <xf numFmtId="9" fontId="12" fillId="0" borderId="2" applyNumberFormat="0" applyBorder="0"/>
    <xf numFmtId="176" fontId="7" fillId="0" borderId="0" applyFont="0" applyFill="0" applyBorder="0" applyAlignment="0" applyProtection="0"/>
    <xf numFmtId="0" fontId="7" fillId="0" borderId="0"/>
    <xf numFmtId="0" fontId="24" fillId="0" borderId="0">
      <alignment vertical="center"/>
    </xf>
    <xf numFmtId="0" fontId="5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4" fillId="0" borderId="0">
      <alignment vertical="center"/>
    </xf>
    <xf numFmtId="0" fontId="31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176" fontId="7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0" fontId="35" fillId="0" borderId="0"/>
    <xf numFmtId="0" fontId="24" fillId="0" borderId="0">
      <alignment vertical="center"/>
    </xf>
    <xf numFmtId="0" fontId="36" fillId="0" borderId="0">
      <alignment vertical="center"/>
    </xf>
    <xf numFmtId="0" fontId="24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</cellStyleXfs>
  <cellXfs count="292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 vertical="center"/>
    </xf>
    <xf numFmtId="180" fontId="8" fillId="0" borderId="0" xfId="0" applyNumberFormat="1" applyFont="1" applyAlignment="1">
      <alignment horizontal="right" vertical="center"/>
    </xf>
    <xf numFmtId="176" fontId="14" fillId="0" borderId="0" xfId="0" applyNumberFormat="1" applyFont="1" applyFill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right" vertical="center"/>
    </xf>
    <xf numFmtId="181" fontId="15" fillId="0" borderId="0" xfId="0" applyNumberFormat="1" applyFont="1" applyFill="1" applyBorder="1" applyAlignment="1">
      <alignment horizontal="right" vertical="center"/>
    </xf>
    <xf numFmtId="9" fontId="15" fillId="0" borderId="0" xfId="0" quotePrefix="1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0" fontId="19" fillId="0" borderId="0" xfId="0" applyFont="1"/>
    <xf numFmtId="0" fontId="7" fillId="0" borderId="0" xfId="16"/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7" fillId="0" borderId="0" xfId="16" applyAlignment="1">
      <alignment horizontal="right"/>
    </xf>
    <xf numFmtId="180" fontId="7" fillId="0" borderId="0" xfId="16" applyNumberFormat="1" applyAlignment="1">
      <alignment horizontal="right"/>
    </xf>
    <xf numFmtId="0" fontId="8" fillId="0" borderId="0" xfId="16" applyFont="1" applyAlignment="1">
      <alignment horizontal="right" vertical="center"/>
    </xf>
    <xf numFmtId="180" fontId="8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24" fillId="0" borderId="0" xfId="17">
      <alignment vertical="center"/>
    </xf>
    <xf numFmtId="0" fontId="27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4" fillId="0" borderId="0" xfId="17" applyFont="1">
      <alignment vertical="center"/>
    </xf>
    <xf numFmtId="3" fontId="0" fillId="0" borderId="0" xfId="0" applyNumberFormat="1"/>
    <xf numFmtId="43" fontId="24" fillId="0" borderId="0" xfId="17" applyNumberFormat="1">
      <alignment vertical="center"/>
    </xf>
    <xf numFmtId="0" fontId="24" fillId="0" borderId="0" xfId="17" applyFont="1" applyAlignment="1">
      <alignment horizontal="center" vertical="center"/>
    </xf>
    <xf numFmtId="0" fontId="24" fillId="0" borderId="0" xfId="17" applyAlignment="1">
      <alignment horizontal="center" vertical="center"/>
    </xf>
    <xf numFmtId="176" fontId="24" fillId="0" borderId="1" xfId="15" applyFont="1" applyBorder="1" applyAlignment="1">
      <alignment horizontal="center" vertical="center"/>
    </xf>
    <xf numFmtId="0" fontId="24" fillId="0" borderId="1" xfId="15" applyNumberFormat="1" applyFont="1" applyBorder="1" applyAlignment="1">
      <alignment horizontal="center" vertical="center"/>
    </xf>
    <xf numFmtId="41" fontId="24" fillId="0" borderId="1" xfId="15" applyNumberFormat="1" applyFont="1" applyBorder="1" applyAlignment="1">
      <alignment horizontal="center" vertical="center"/>
    </xf>
    <xf numFmtId="189" fontId="24" fillId="0" borderId="0" xfId="17" applyNumberFormat="1">
      <alignment vertical="center"/>
    </xf>
    <xf numFmtId="176" fontId="15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right" vertical="center"/>
    </xf>
    <xf numFmtId="0" fontId="24" fillId="0" borderId="0" xfId="65">
      <alignment vertical="center"/>
    </xf>
    <xf numFmtId="0" fontId="24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4" fillId="0" borderId="0" xfId="65" applyFill="1" applyBorder="1">
      <alignment vertical="center"/>
    </xf>
    <xf numFmtId="0" fontId="7" fillId="0" borderId="0" xfId="16" applyFill="1" applyBorder="1"/>
    <xf numFmtId="186" fontId="22" fillId="0" borderId="0" xfId="0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/>
    </xf>
    <xf numFmtId="187" fontId="22" fillId="0" borderId="0" xfId="0" quotePrefix="1" applyNumberFormat="1" applyFont="1" applyFill="1" applyBorder="1" applyAlignment="1">
      <alignment horizontal="center" vertical="center"/>
    </xf>
    <xf numFmtId="176" fontId="29" fillId="0" borderId="0" xfId="15" applyFont="1" applyFill="1" applyBorder="1" applyAlignment="1">
      <alignment horizontal="center" vertical="center" shrinkToFit="1"/>
    </xf>
    <xf numFmtId="0" fontId="16" fillId="0" borderId="0" xfId="16" applyFont="1" applyFill="1" applyBorder="1" applyAlignment="1">
      <alignment vertical="center"/>
    </xf>
    <xf numFmtId="176" fontId="15" fillId="8" borderId="6" xfId="0" applyNumberFormat="1" applyFont="1" applyFill="1" applyBorder="1" applyAlignment="1">
      <alignment horizontal="right" vertical="center"/>
    </xf>
    <xf numFmtId="9" fontId="15" fillId="8" borderId="6" xfId="0" quotePrefix="1" applyNumberFormat="1" applyFont="1" applyFill="1" applyBorder="1" applyAlignment="1">
      <alignment horizontal="right" vertical="center"/>
    </xf>
    <xf numFmtId="9" fontId="14" fillId="4" borderId="6" xfId="0" quotePrefix="1" applyNumberFormat="1" applyFont="1" applyFill="1" applyBorder="1" applyAlignment="1">
      <alignment horizontal="right" vertical="center"/>
    </xf>
    <xf numFmtId="9" fontId="8" fillId="4" borderId="6" xfId="0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right" vertical="center"/>
    </xf>
    <xf numFmtId="182" fontId="15" fillId="8" borderId="6" xfId="0" applyNumberFormat="1" applyFont="1" applyFill="1" applyBorder="1" applyAlignment="1">
      <alignment horizontal="right" vertical="center"/>
    </xf>
    <xf numFmtId="176" fontId="15" fillId="8" borderId="6" xfId="0" applyNumberFormat="1" applyFont="1" applyFill="1" applyBorder="1" applyAlignment="1">
      <alignment horizontal="center" vertical="center"/>
    </xf>
    <xf numFmtId="176" fontId="14" fillId="4" borderId="6" xfId="0" applyNumberFormat="1" applyFont="1" applyFill="1" applyBorder="1" applyAlignment="1">
      <alignment horizontal="center" vertical="center"/>
    </xf>
    <xf numFmtId="176" fontId="28" fillId="4" borderId="6" xfId="0" applyNumberFormat="1" applyFont="1" applyFill="1" applyBorder="1" applyAlignment="1">
      <alignment horizontal="center" vertical="center"/>
    </xf>
    <xf numFmtId="9" fontId="8" fillId="4" borderId="11" xfId="0" applyNumberFormat="1" applyFont="1" applyFill="1" applyBorder="1" applyAlignment="1">
      <alignment horizontal="right" vertical="center"/>
    </xf>
    <xf numFmtId="9" fontId="17" fillId="8" borderId="11" xfId="0" applyNumberFormat="1" applyFont="1" applyFill="1" applyBorder="1" applyAlignment="1">
      <alignment horizontal="right" vertical="center"/>
    </xf>
    <xf numFmtId="176" fontId="14" fillId="0" borderId="6" xfId="0" applyNumberFormat="1" applyFont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41" fontId="14" fillId="5" borderId="6" xfId="23" applyFont="1" applyFill="1" applyBorder="1" applyAlignment="1">
      <alignment horizontal="right" vertical="center"/>
    </xf>
    <xf numFmtId="176" fontId="28" fillId="4" borderId="6" xfId="0" applyNumberFormat="1" applyFont="1" applyFill="1" applyBorder="1" applyAlignment="1">
      <alignment horizontal="right" vertical="center"/>
    </xf>
    <xf numFmtId="0" fontId="15" fillId="4" borderId="10" xfId="0" applyFont="1" applyFill="1" applyBorder="1" applyAlignment="1">
      <alignment horizontal="left"/>
    </xf>
    <xf numFmtId="176" fontId="28" fillId="4" borderId="11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/>
    </xf>
    <xf numFmtId="176" fontId="15" fillId="6" borderId="18" xfId="0" applyNumberFormat="1" applyFont="1" applyFill="1" applyBorder="1" applyAlignment="1">
      <alignment horizontal="center" vertical="center" wrapText="1"/>
    </xf>
    <xf numFmtId="9" fontId="15" fillId="6" borderId="18" xfId="0" applyNumberFormat="1" applyFont="1" applyFill="1" applyBorder="1" applyAlignment="1">
      <alignment horizontal="center" vertical="center"/>
    </xf>
    <xf numFmtId="180" fontId="15" fillId="6" borderId="19" xfId="0" applyNumberFormat="1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right" vertical="center"/>
    </xf>
    <xf numFmtId="176" fontId="14" fillId="4" borderId="20" xfId="0" applyNumberFormat="1" applyFont="1" applyFill="1" applyBorder="1" applyAlignment="1">
      <alignment horizontal="right" vertical="center"/>
    </xf>
    <xf numFmtId="9" fontId="14" fillId="4" borderId="20" xfId="0" quotePrefix="1" applyNumberFormat="1" applyFont="1" applyFill="1" applyBorder="1" applyAlignment="1">
      <alignment horizontal="right" vertical="center"/>
    </xf>
    <xf numFmtId="9" fontId="8" fillId="4" borderId="21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right" vertical="center"/>
    </xf>
    <xf numFmtId="9" fontId="15" fillId="8" borderId="23" xfId="0" quotePrefix="1" applyNumberFormat="1" applyFont="1" applyFill="1" applyBorder="1" applyAlignment="1">
      <alignment horizontal="right" vertical="center"/>
    </xf>
    <xf numFmtId="9" fontId="17" fillId="8" borderId="24" xfId="0" applyNumberFormat="1" applyFont="1" applyFill="1" applyBorder="1" applyAlignment="1">
      <alignment horizontal="right" vertical="center"/>
    </xf>
    <xf numFmtId="176" fontId="14" fillId="0" borderId="18" xfId="0" applyNumberFormat="1" applyFont="1" applyFill="1" applyBorder="1" applyAlignment="1">
      <alignment horizontal="right" vertical="center"/>
    </xf>
    <xf numFmtId="9" fontId="14" fillId="0" borderId="18" xfId="0" quotePrefix="1" applyNumberFormat="1" applyFont="1" applyFill="1" applyBorder="1" applyAlignment="1">
      <alignment horizontal="right" vertical="center"/>
    </xf>
    <xf numFmtId="9" fontId="8" fillId="0" borderId="19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center" vertical="center"/>
    </xf>
    <xf numFmtId="182" fontId="15" fillId="8" borderId="20" xfId="0" applyNumberFormat="1" applyFont="1" applyFill="1" applyBorder="1" applyAlignment="1">
      <alignment horizontal="right" vertical="center"/>
    </xf>
    <xf numFmtId="176" fontId="15" fillId="8" borderId="20" xfId="0" applyNumberFormat="1" applyFont="1" applyFill="1" applyBorder="1" applyAlignment="1">
      <alignment horizontal="right" vertical="center"/>
    </xf>
    <xf numFmtId="9" fontId="15" fillId="8" borderId="20" xfId="0" quotePrefix="1" applyNumberFormat="1" applyFont="1" applyFill="1" applyBorder="1" applyAlignment="1">
      <alignment horizontal="right" vertical="center"/>
    </xf>
    <xf numFmtId="9" fontId="17" fillId="8" borderId="21" xfId="0" applyNumberFormat="1" applyFont="1" applyFill="1" applyBorder="1" applyAlignment="1">
      <alignment horizontal="right" vertical="center"/>
    </xf>
    <xf numFmtId="0" fontId="14" fillId="4" borderId="18" xfId="0" applyFont="1" applyFill="1" applyBorder="1" applyAlignment="1">
      <alignment horizontal="center"/>
    </xf>
    <xf numFmtId="176" fontId="14" fillId="0" borderId="18" xfId="0" applyNumberFormat="1" applyFont="1" applyBorder="1" applyAlignment="1">
      <alignment horizontal="right" vertical="center"/>
    </xf>
    <xf numFmtId="176" fontId="14" fillId="0" borderId="18" xfId="0" applyNumberFormat="1" applyFont="1" applyBorder="1" applyAlignment="1">
      <alignment horizontal="center" vertical="center"/>
    </xf>
    <xf numFmtId="176" fontId="15" fillId="4" borderId="18" xfId="0" applyNumberFormat="1" applyFont="1" applyFill="1" applyBorder="1" applyAlignment="1">
      <alignment horizontal="right" vertical="center"/>
    </xf>
    <xf numFmtId="9" fontId="17" fillId="8" borderId="20" xfId="0" applyNumberFormat="1" applyFont="1" applyFill="1" applyBorder="1" applyAlignment="1">
      <alignment horizontal="right" vertical="center"/>
    </xf>
    <xf numFmtId="176" fontId="15" fillId="8" borderId="23" xfId="0" applyNumberFormat="1" applyFont="1" applyFill="1" applyBorder="1" applyAlignment="1">
      <alignment horizontal="center" vertical="center" shrinkToFit="1"/>
    </xf>
    <xf numFmtId="176" fontId="15" fillId="8" borderId="23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right" vertical="center" shrinkToFit="1"/>
    </xf>
    <xf numFmtId="9" fontId="15" fillId="8" borderId="23" xfId="0" quotePrefix="1" applyNumberFormat="1" applyFont="1" applyFill="1" applyBorder="1" applyAlignment="1">
      <alignment horizontal="right" vertical="center" shrinkToFit="1"/>
    </xf>
    <xf numFmtId="41" fontId="14" fillId="0" borderId="18" xfId="0" applyNumberFormat="1" applyFont="1" applyFill="1" applyBorder="1" applyAlignment="1">
      <alignment horizontal="center" vertical="center"/>
    </xf>
    <xf numFmtId="176" fontId="28" fillId="4" borderId="18" xfId="0" applyNumberFormat="1" applyFont="1" applyFill="1" applyBorder="1" applyAlignment="1">
      <alignment horizontal="right" vertical="center"/>
    </xf>
    <xf numFmtId="176" fontId="28" fillId="4" borderId="18" xfId="0" applyNumberFormat="1" applyFont="1" applyFill="1" applyBorder="1" applyAlignment="1">
      <alignment horizontal="center" vertical="center"/>
    </xf>
    <xf numFmtId="176" fontId="28" fillId="4" borderId="19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2" fillId="4" borderId="6" xfId="17" applyFont="1" applyFill="1" applyBorder="1" applyAlignment="1">
      <alignment horizontal="center" vertical="center"/>
    </xf>
    <xf numFmtId="184" fontId="15" fillId="4" borderId="6" xfId="17" quotePrefix="1" applyNumberFormat="1" applyFont="1" applyFill="1" applyBorder="1" applyAlignment="1">
      <alignment horizontal="right" vertical="center" shrinkToFit="1"/>
    </xf>
    <xf numFmtId="176" fontId="15" fillId="4" borderId="6" xfId="17" applyNumberFormat="1" applyFont="1" applyFill="1" applyBorder="1" applyAlignment="1">
      <alignment horizontal="right" vertical="center" shrinkToFit="1"/>
    </xf>
    <xf numFmtId="0" fontId="22" fillId="0" borderId="6" xfId="17" applyFont="1" applyFill="1" applyBorder="1" applyAlignment="1">
      <alignment horizontal="center" vertical="center"/>
    </xf>
    <xf numFmtId="184" fontId="15" fillId="4" borderId="11" xfId="17" quotePrefix="1" applyNumberFormat="1" applyFont="1" applyFill="1" applyBorder="1" applyAlignment="1">
      <alignment horizontal="right" vertical="center" shrinkToFit="1"/>
    </xf>
    <xf numFmtId="0" fontId="22" fillId="4" borderId="13" xfId="17" applyFont="1" applyFill="1" applyBorder="1" applyAlignment="1">
      <alignment horizontal="center" vertical="center"/>
    </xf>
    <xf numFmtId="184" fontId="15" fillId="4" borderId="13" xfId="17" quotePrefix="1" applyNumberFormat="1" applyFont="1" applyFill="1" applyBorder="1" applyAlignment="1">
      <alignment horizontal="right" vertical="center" shrinkToFit="1"/>
    </xf>
    <xf numFmtId="176" fontId="15" fillId="4" borderId="13" xfId="17" applyNumberFormat="1" applyFont="1" applyFill="1" applyBorder="1" applyAlignment="1">
      <alignment horizontal="right" vertical="center" shrinkToFit="1"/>
    </xf>
    <xf numFmtId="184" fontId="15" fillId="4" borderId="14" xfId="17" quotePrefix="1" applyNumberFormat="1" applyFont="1" applyFill="1" applyBorder="1" applyAlignment="1">
      <alignment horizontal="right" vertical="center" shrinkToFit="1"/>
    </xf>
    <xf numFmtId="176" fontId="15" fillId="6" borderId="18" xfId="17" applyNumberFormat="1" applyFont="1" applyFill="1" applyBorder="1" applyAlignment="1">
      <alignment horizontal="center" vertical="center"/>
    </xf>
    <xf numFmtId="9" fontId="15" fillId="6" borderId="18" xfId="17" applyNumberFormat="1" applyFont="1" applyFill="1" applyBorder="1" applyAlignment="1">
      <alignment horizontal="center" vertical="center"/>
    </xf>
    <xf numFmtId="0" fontId="17" fillId="6" borderId="18" xfId="17" applyFont="1" applyFill="1" applyBorder="1" applyAlignment="1">
      <alignment horizontal="center" vertical="center"/>
    </xf>
    <xf numFmtId="180" fontId="15" fillId="6" borderId="19" xfId="17" applyNumberFormat="1" applyFont="1" applyFill="1" applyBorder="1" applyAlignment="1">
      <alignment horizontal="center" vertical="center"/>
    </xf>
    <xf numFmtId="0" fontId="22" fillId="8" borderId="28" xfId="17" applyFont="1" applyFill="1" applyBorder="1" applyAlignment="1">
      <alignment horizontal="center" vertical="center"/>
    </xf>
    <xf numFmtId="183" fontId="22" fillId="8" borderId="28" xfId="17" applyNumberFormat="1" applyFont="1" applyFill="1" applyBorder="1" applyAlignment="1">
      <alignment vertical="center" shrinkToFit="1"/>
    </xf>
    <xf numFmtId="185" fontId="15" fillId="8" borderId="28" xfId="17" applyNumberFormat="1" applyFont="1" applyFill="1" applyBorder="1" applyAlignment="1">
      <alignment horizontal="right" vertical="center" shrinkToFit="1"/>
    </xf>
    <xf numFmtId="184" fontId="15" fillId="8" borderId="28" xfId="17" quotePrefix="1" applyNumberFormat="1" applyFont="1" applyFill="1" applyBorder="1" applyAlignment="1">
      <alignment horizontal="right" vertical="center" shrinkToFit="1"/>
    </xf>
    <xf numFmtId="176" fontId="15" fillId="8" borderId="28" xfId="17" applyNumberFormat="1" applyFont="1" applyFill="1" applyBorder="1" applyAlignment="1">
      <alignment horizontal="right" vertical="center" shrinkToFit="1"/>
    </xf>
    <xf numFmtId="184" fontId="15" fillId="8" borderId="29" xfId="17" quotePrefix="1" applyNumberFormat="1" applyFont="1" applyFill="1" applyBorder="1" applyAlignment="1">
      <alignment horizontal="right" vertical="center" shrinkToFit="1"/>
    </xf>
    <xf numFmtId="0" fontId="22" fillId="8" borderId="15" xfId="17" applyFont="1" applyFill="1" applyBorder="1" applyAlignment="1">
      <alignment horizontal="center" vertical="center"/>
    </xf>
    <xf numFmtId="183" fontId="22" fillId="8" borderId="15" xfId="17" applyNumberFormat="1" applyFont="1" applyFill="1" applyBorder="1" applyAlignment="1">
      <alignment vertical="center" shrinkToFit="1"/>
    </xf>
    <xf numFmtId="185" fontId="15" fillId="8" borderId="15" xfId="17" applyNumberFormat="1" applyFont="1" applyFill="1" applyBorder="1" applyAlignment="1">
      <alignment horizontal="right" vertical="center" shrinkToFit="1"/>
    </xf>
    <xf numFmtId="184" fontId="15" fillId="8" borderId="15" xfId="17" quotePrefix="1" applyNumberFormat="1" applyFont="1" applyFill="1" applyBorder="1" applyAlignment="1">
      <alignment horizontal="right" vertical="center" shrinkToFit="1"/>
    </xf>
    <xf numFmtId="176" fontId="15" fillId="8" borderId="15" xfId="17" applyNumberFormat="1" applyFont="1" applyFill="1" applyBorder="1" applyAlignment="1">
      <alignment horizontal="right" vertical="center" shrinkToFit="1"/>
    </xf>
    <xf numFmtId="184" fontId="15" fillId="8" borderId="16" xfId="17" quotePrefix="1" applyNumberFormat="1" applyFont="1" applyFill="1" applyBorder="1" applyAlignment="1">
      <alignment horizontal="right" vertical="center" shrinkToFit="1"/>
    </xf>
    <xf numFmtId="0" fontId="22" fillId="9" borderId="6" xfId="17" applyFont="1" applyFill="1" applyBorder="1" applyAlignment="1">
      <alignment horizontal="center" vertical="center"/>
    </xf>
    <xf numFmtId="184" fontId="15" fillId="9" borderId="6" xfId="17" quotePrefix="1" applyNumberFormat="1" applyFont="1" applyFill="1" applyBorder="1" applyAlignment="1">
      <alignment horizontal="right" vertical="center" shrinkToFit="1"/>
    </xf>
    <xf numFmtId="176" fontId="15" fillId="9" borderId="6" xfId="17" applyNumberFormat="1" applyFont="1" applyFill="1" applyBorder="1" applyAlignment="1">
      <alignment horizontal="right" vertical="center" shrinkToFit="1"/>
    </xf>
    <xf numFmtId="184" fontId="15" fillId="9" borderId="11" xfId="17" quotePrefix="1" applyNumberFormat="1" applyFont="1" applyFill="1" applyBorder="1" applyAlignment="1">
      <alignment horizontal="right" vertical="center" shrinkToFit="1"/>
    </xf>
    <xf numFmtId="0" fontId="22" fillId="6" borderId="7" xfId="0" applyFont="1" applyFill="1" applyBorder="1" applyAlignment="1">
      <alignment horizontal="center" vertical="center"/>
    </xf>
    <xf numFmtId="180" fontId="22" fillId="6" borderId="8" xfId="0" quotePrefix="1" applyNumberFormat="1" applyFont="1" applyFill="1" applyBorder="1" applyAlignment="1">
      <alignment horizontal="center" vertical="center"/>
    </xf>
    <xf numFmtId="0" fontId="26" fillId="0" borderId="12" xfId="0" applyFont="1" applyBorder="1" applyAlignment="1">
      <alignment horizontal="center" vertical="center" wrapText="1"/>
    </xf>
    <xf numFmtId="176" fontId="23" fillId="0" borderId="13" xfId="15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 wrapText="1"/>
    </xf>
    <xf numFmtId="188" fontId="23" fillId="0" borderId="13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6" fontId="23" fillId="0" borderId="13" xfId="15" applyFont="1" applyBorder="1" applyAlignment="1">
      <alignment horizontal="center" vertical="center" shrinkToFit="1"/>
    </xf>
    <xf numFmtId="180" fontId="22" fillId="6" borderId="31" xfId="0" quotePrefix="1" applyNumberFormat="1" applyFont="1" applyFill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/>
    </xf>
    <xf numFmtId="186" fontId="22" fillId="6" borderId="32" xfId="0" applyNumberFormat="1" applyFont="1" applyFill="1" applyBorder="1" applyAlignment="1">
      <alignment horizontal="center" vertical="center"/>
    </xf>
    <xf numFmtId="176" fontId="37" fillId="0" borderId="33" xfId="15" applyFont="1" applyBorder="1" applyAlignment="1">
      <alignment horizontal="center" vertical="center"/>
    </xf>
    <xf numFmtId="188" fontId="23" fillId="0" borderId="25" xfId="0" applyNumberFormat="1" applyFont="1" applyBorder="1" applyAlignment="1">
      <alignment horizontal="center" vertical="center"/>
    </xf>
    <xf numFmtId="187" fontId="22" fillId="6" borderId="32" xfId="0" quotePrefix="1" applyNumberFormat="1" applyFont="1" applyFill="1" applyBorder="1" applyAlignment="1">
      <alignment horizontal="center" vertical="center"/>
    </xf>
    <xf numFmtId="188" fontId="37" fillId="0" borderId="33" xfId="0" applyNumberFormat="1" applyFont="1" applyBorder="1" applyAlignment="1">
      <alignment horizontal="center" vertical="center"/>
    </xf>
    <xf numFmtId="176" fontId="23" fillId="0" borderId="25" xfId="15" applyFont="1" applyBorder="1" applyAlignment="1">
      <alignment horizontal="center" vertical="center" shrinkToFit="1"/>
    </xf>
    <xf numFmtId="176" fontId="37" fillId="0" borderId="33" xfId="15" applyFont="1" applyBorder="1" applyAlignment="1">
      <alignment horizontal="center" vertical="center" shrinkToFit="1"/>
    </xf>
    <xf numFmtId="0" fontId="24" fillId="0" borderId="0" xfId="17" applyFill="1">
      <alignment vertical="center"/>
    </xf>
    <xf numFmtId="182" fontId="14" fillId="0" borderId="6" xfId="0" applyNumberFormat="1" applyFont="1" applyBorder="1" applyAlignment="1">
      <alignment horizontal="right" vertical="center"/>
    </xf>
    <xf numFmtId="0" fontId="22" fillId="9" borderId="28" xfId="17" applyFont="1" applyFill="1" applyBorder="1" applyAlignment="1">
      <alignment horizontal="center" vertical="center"/>
    </xf>
    <xf numFmtId="184" fontId="15" fillId="9" borderId="28" xfId="17" quotePrefix="1" applyNumberFormat="1" applyFont="1" applyFill="1" applyBorder="1" applyAlignment="1">
      <alignment horizontal="right" vertical="center" shrinkToFit="1"/>
    </xf>
    <xf numFmtId="176" fontId="15" fillId="9" borderId="28" xfId="17" applyNumberFormat="1" applyFont="1" applyFill="1" applyBorder="1" applyAlignment="1">
      <alignment horizontal="right" vertical="center" shrinkToFit="1"/>
    </xf>
    <xf numFmtId="184" fontId="15" fillId="9" borderId="35" xfId="17" quotePrefix="1" applyNumberFormat="1" applyFont="1" applyFill="1" applyBorder="1" applyAlignment="1">
      <alignment horizontal="right" vertical="center" shrinkToFit="1"/>
    </xf>
    <xf numFmtId="176" fontId="14" fillId="4" borderId="15" xfId="0" applyNumberFormat="1" applyFont="1" applyFill="1" applyBorder="1" applyAlignment="1">
      <alignment horizontal="center" vertical="center"/>
    </xf>
    <xf numFmtId="188" fontId="23" fillId="0" borderId="25" xfId="15" applyNumberFormat="1" applyFont="1" applyBorder="1" applyAlignment="1">
      <alignment horizontal="center" vertical="center"/>
    </xf>
    <xf numFmtId="182" fontId="35" fillId="0" borderId="6" xfId="22" applyNumberFormat="1" applyFont="1" applyBorder="1">
      <alignment vertical="center"/>
    </xf>
    <xf numFmtId="182" fontId="32" fillId="0" borderId="6" xfId="22" applyNumberFormat="1" applyFont="1" applyBorder="1" applyAlignment="1">
      <alignment horizontal="right" vertical="center"/>
    </xf>
    <xf numFmtId="176" fontId="14" fillId="0" borderId="20" xfId="19" applyNumberFormat="1" applyFont="1" applyFill="1" applyBorder="1" applyAlignment="1">
      <alignment horizontal="center" vertical="center"/>
    </xf>
    <xf numFmtId="176" fontId="14" fillId="0" borderId="6" xfId="19" applyNumberFormat="1" applyFont="1" applyFill="1" applyBorder="1" applyAlignment="1">
      <alignment horizontal="center" vertical="center"/>
    </xf>
    <xf numFmtId="176" fontId="14" fillId="0" borderId="18" xfId="19" applyNumberFormat="1" applyFont="1" applyFill="1" applyBorder="1" applyAlignment="1">
      <alignment horizontal="center" vertical="center"/>
    </xf>
    <xf numFmtId="176" fontId="14" fillId="0" borderId="20" xfId="19" applyNumberFormat="1" applyFont="1" applyBorder="1" applyAlignment="1">
      <alignment horizontal="right" vertical="center"/>
    </xf>
    <xf numFmtId="176" fontId="14" fillId="0" borderId="18" xfId="19" applyNumberFormat="1" applyFont="1" applyFill="1" applyBorder="1" applyAlignment="1">
      <alignment horizontal="right" vertical="center"/>
    </xf>
    <xf numFmtId="0" fontId="22" fillId="5" borderId="6" xfId="17" applyFont="1" applyFill="1" applyBorder="1" applyAlignment="1">
      <alignment horizontal="center" vertical="center"/>
    </xf>
    <xf numFmtId="184" fontId="15" fillId="5" borderId="6" xfId="17" quotePrefix="1" applyNumberFormat="1" applyFont="1" applyFill="1" applyBorder="1" applyAlignment="1">
      <alignment horizontal="right" vertical="center" shrinkToFit="1"/>
    </xf>
    <xf numFmtId="176" fontId="15" fillId="5" borderId="6" xfId="17" applyNumberFormat="1" applyFont="1" applyFill="1" applyBorder="1" applyAlignment="1">
      <alignment horizontal="right" vertical="center" shrinkToFit="1"/>
    </xf>
    <xf numFmtId="184" fontId="15" fillId="5" borderId="11" xfId="17" quotePrefix="1" applyNumberFormat="1" applyFont="1" applyFill="1" applyBorder="1" applyAlignment="1">
      <alignment horizontal="right" vertical="center" shrinkToFit="1"/>
    </xf>
    <xf numFmtId="185" fontId="15" fillId="9" borderId="36" xfId="17" applyNumberFormat="1" applyFont="1" applyFill="1" applyBorder="1" applyAlignment="1">
      <alignment horizontal="right" vertical="center" shrinkToFit="1"/>
    </xf>
    <xf numFmtId="185" fontId="15" fillId="5" borderId="37" xfId="17" applyNumberFormat="1" applyFont="1" applyFill="1" applyBorder="1" applyAlignment="1">
      <alignment horizontal="right" vertical="center" shrinkToFit="1"/>
    </xf>
    <xf numFmtId="185" fontId="15" fillId="9" borderId="37" xfId="17" applyNumberFormat="1" applyFont="1" applyFill="1" applyBorder="1" applyAlignment="1">
      <alignment horizontal="right" vertical="center" shrinkToFit="1"/>
    </xf>
    <xf numFmtId="176" fontId="30" fillId="8" borderId="23" xfId="0" applyNumberFormat="1" applyFont="1" applyFill="1" applyBorder="1" applyAlignment="1">
      <alignment horizontal="right" vertical="center" shrinkToFit="1"/>
    </xf>
    <xf numFmtId="9" fontId="30" fillId="8" borderId="23" xfId="0" quotePrefix="1" applyNumberFormat="1" applyFont="1" applyFill="1" applyBorder="1" applyAlignment="1">
      <alignment horizontal="right" vertical="center"/>
    </xf>
    <xf numFmtId="9" fontId="38" fillId="8" borderId="24" xfId="0" applyNumberFormat="1" applyFont="1" applyFill="1" applyBorder="1" applyAlignment="1">
      <alignment horizontal="right" vertical="center"/>
    </xf>
    <xf numFmtId="185" fontId="15" fillId="5" borderId="38" xfId="17" applyNumberFormat="1" applyFont="1" applyFill="1" applyBorder="1" applyAlignment="1">
      <alignment horizontal="right" vertical="center" shrinkToFit="1"/>
    </xf>
    <xf numFmtId="180" fontId="14" fillId="0" borderId="0" xfId="0" applyNumberFormat="1" applyFont="1" applyAlignment="1">
      <alignment horizontal="right" vertical="center"/>
    </xf>
    <xf numFmtId="0" fontId="23" fillId="0" borderId="0" xfId="65" applyFont="1">
      <alignment vertical="center"/>
    </xf>
    <xf numFmtId="180" fontId="14" fillId="0" borderId="0" xfId="17" applyNumberFormat="1" applyFont="1" applyAlignment="1">
      <alignment horizontal="right" vertical="center"/>
    </xf>
    <xf numFmtId="0" fontId="23" fillId="0" borderId="0" xfId="17" applyFont="1">
      <alignment vertical="center"/>
    </xf>
    <xf numFmtId="183" fontId="0" fillId="0" borderId="0" xfId="0" applyNumberFormat="1" applyAlignment="1">
      <alignment horizontal="right"/>
    </xf>
    <xf numFmtId="183" fontId="8" fillId="0" borderId="0" xfId="0" applyNumberFormat="1" applyFont="1" applyAlignment="1">
      <alignment horizontal="right" vertical="center"/>
    </xf>
    <xf numFmtId="183" fontId="24" fillId="0" borderId="0" xfId="65" applyNumberFormat="1">
      <alignment vertical="center"/>
    </xf>
    <xf numFmtId="183" fontId="24" fillId="0" borderId="0" xfId="17" applyNumberFormat="1" applyAlignment="1">
      <alignment horizontal="right"/>
    </xf>
    <xf numFmtId="183" fontId="8" fillId="0" borderId="0" xfId="17" applyNumberFormat="1" applyFont="1" applyAlignment="1">
      <alignment horizontal="right" vertical="center"/>
    </xf>
    <xf numFmtId="183" fontId="30" fillId="6" borderId="18" xfId="17" applyNumberFormat="1" applyFont="1" applyFill="1" applyBorder="1" applyAlignment="1">
      <alignment horizontal="center" vertical="center"/>
    </xf>
    <xf numFmtId="183" fontId="15" fillId="6" borderId="18" xfId="17" applyNumberFormat="1" applyFont="1" applyFill="1" applyBorder="1" applyAlignment="1">
      <alignment horizontal="center" vertical="center"/>
    </xf>
    <xf numFmtId="183" fontId="24" fillId="0" borderId="0" xfId="17" applyNumberFormat="1">
      <alignment vertical="center"/>
    </xf>
    <xf numFmtId="183" fontId="24" fillId="0" borderId="0" xfId="17" applyNumberFormat="1" applyAlignment="1">
      <alignment horizontal="center" vertical="center"/>
    </xf>
    <xf numFmtId="176" fontId="22" fillId="8" borderId="28" xfId="15" applyFont="1" applyFill="1" applyBorder="1" applyAlignment="1">
      <alignment horizontal="center" vertical="center" shrinkToFit="1"/>
    </xf>
    <xf numFmtId="176" fontId="22" fillId="8" borderId="15" xfId="15" applyFont="1" applyFill="1" applyBorder="1" applyAlignment="1">
      <alignment horizontal="center" vertical="center" shrinkToFit="1"/>
    </xf>
    <xf numFmtId="176" fontId="0" fillId="0" borderId="0" xfId="15" applyFont="1" applyAlignment="1">
      <alignment horizontal="right"/>
    </xf>
    <xf numFmtId="176" fontId="24" fillId="0" borderId="0" xfId="15" applyFont="1" applyAlignment="1">
      <alignment vertical="center"/>
    </xf>
    <xf numFmtId="176" fontId="24" fillId="0" borderId="0" xfId="15" applyFont="1" applyAlignment="1">
      <alignment horizontal="right"/>
    </xf>
    <xf numFmtId="176" fontId="15" fillId="6" borderId="18" xfId="15" applyFont="1" applyFill="1" applyBorder="1" applyAlignment="1">
      <alignment horizontal="center" vertical="center"/>
    </xf>
    <xf numFmtId="176" fontId="22" fillId="8" borderId="28" xfId="15" applyFont="1" applyFill="1" applyBorder="1" applyAlignment="1">
      <alignment vertical="center" shrinkToFit="1"/>
    </xf>
    <xf numFmtId="176" fontId="22" fillId="8" borderId="15" xfId="15" applyFont="1" applyFill="1" applyBorder="1" applyAlignment="1">
      <alignment vertical="center" shrinkToFit="1"/>
    </xf>
    <xf numFmtId="185" fontId="40" fillId="10" borderId="37" xfId="103" applyNumberFormat="1" applyFont="1" applyBorder="1" applyAlignment="1">
      <alignment horizontal="right" vertical="center" shrinkToFit="1"/>
    </xf>
    <xf numFmtId="176" fontId="14" fillId="0" borderId="6" xfId="15" applyFont="1" applyFill="1" applyBorder="1" applyAlignment="1">
      <alignment horizontal="center" vertical="center"/>
    </xf>
    <xf numFmtId="176" fontId="0" fillId="0" borderId="0" xfId="15" applyFont="1"/>
    <xf numFmtId="176" fontId="6" fillId="0" borderId="0" xfId="15" applyFont="1" applyBorder="1" applyAlignment="1">
      <alignment vertical="center"/>
    </xf>
    <xf numFmtId="176" fontId="6" fillId="0" borderId="0" xfId="15" applyFont="1" applyBorder="1" applyAlignment="1">
      <alignment horizontal="right" vertical="center"/>
    </xf>
    <xf numFmtId="176" fontId="15" fillId="6" borderId="8" xfId="15" quotePrefix="1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/>
    </xf>
    <xf numFmtId="176" fontId="32" fillId="5" borderId="20" xfId="15" applyFont="1" applyFill="1" applyBorder="1" applyAlignment="1">
      <alignment horizontal="right" vertical="center"/>
    </xf>
    <xf numFmtId="176" fontId="32" fillId="5" borderId="18" xfId="15" applyFont="1" applyFill="1" applyBorder="1" applyAlignment="1">
      <alignment horizontal="right" vertical="center"/>
    </xf>
    <xf numFmtId="176" fontId="14" fillId="0" borderId="18" xfId="15" applyFont="1" applyBorder="1" applyAlignment="1">
      <alignment horizontal="right" vertical="center"/>
    </xf>
    <xf numFmtId="176" fontId="15" fillId="8" borderId="23" xfId="15" applyFont="1" applyFill="1" applyBorder="1" applyAlignment="1">
      <alignment horizontal="center" vertical="center" shrinkToFit="1"/>
    </xf>
    <xf numFmtId="176" fontId="15" fillId="8" borderId="20" xfId="15" applyFont="1" applyFill="1" applyBorder="1" applyAlignment="1">
      <alignment horizontal="center" vertical="center"/>
    </xf>
    <xf numFmtId="176" fontId="14" fillId="0" borderId="6" xfId="15" applyFont="1" applyFill="1" applyBorder="1" applyAlignment="1">
      <alignment horizontal="right" vertical="center"/>
    </xf>
    <xf numFmtId="176" fontId="14" fillId="5" borderId="6" xfId="15" applyFont="1" applyFill="1" applyBorder="1" applyAlignment="1">
      <alignment horizontal="right" vertical="center"/>
    </xf>
    <xf numFmtId="176" fontId="28" fillId="4" borderId="6" xfId="15" applyFont="1" applyFill="1" applyBorder="1" applyAlignment="1">
      <alignment horizontal="center" vertical="center"/>
    </xf>
    <xf numFmtId="176" fontId="14" fillId="0" borderId="18" xfId="15" applyFont="1" applyFill="1" applyBorder="1" applyAlignment="1">
      <alignment horizontal="center" vertical="center"/>
    </xf>
    <xf numFmtId="176" fontId="15" fillId="0" borderId="0" xfId="15" applyFont="1" applyFill="1" applyBorder="1" applyAlignment="1">
      <alignment horizontal="right" vertical="center"/>
    </xf>
    <xf numFmtId="182" fontId="15" fillId="8" borderId="23" xfId="15" applyNumberFormat="1" applyFont="1" applyFill="1" applyBorder="1" applyAlignment="1">
      <alignment horizontal="right" vertical="center"/>
    </xf>
    <xf numFmtId="182" fontId="15" fillId="8" borderId="20" xfId="15" applyNumberFormat="1" applyFont="1" applyFill="1" applyBorder="1" applyAlignment="1">
      <alignment horizontal="right" vertical="center"/>
    </xf>
    <xf numFmtId="182" fontId="39" fillId="5" borderId="6" xfId="15" applyNumberFormat="1" applyFont="1" applyFill="1" applyBorder="1" applyAlignment="1">
      <alignment horizontal="right" vertical="center"/>
    </xf>
    <xf numFmtId="182" fontId="15" fillId="8" borderId="6" xfId="15" applyNumberFormat="1" applyFont="1" applyFill="1" applyBorder="1" applyAlignment="1">
      <alignment horizontal="right" vertical="center"/>
    </xf>
    <xf numFmtId="176" fontId="39" fillId="0" borderId="6" xfId="15" applyFont="1" applyBorder="1" applyAlignment="1">
      <alignment horizontal="right" vertical="center"/>
    </xf>
    <xf numFmtId="176" fontId="39" fillId="4" borderId="6" xfId="0" applyNumberFormat="1" applyFont="1" applyFill="1" applyBorder="1" applyAlignment="1">
      <alignment horizontal="center" vertical="center"/>
    </xf>
    <xf numFmtId="176" fontId="8" fillId="0" borderId="0" xfId="15" applyFont="1" applyAlignment="1">
      <alignment horizontal="right" vertical="center"/>
    </xf>
    <xf numFmtId="176" fontId="17" fillId="6" borderId="18" xfId="15" applyFont="1" applyFill="1" applyBorder="1" applyAlignment="1">
      <alignment horizontal="center" vertical="center"/>
    </xf>
    <xf numFmtId="176" fontId="14" fillId="4" borderId="20" xfId="15" applyFont="1" applyFill="1" applyBorder="1" applyAlignment="1">
      <alignment horizontal="right" vertical="center"/>
    </xf>
    <xf numFmtId="176" fontId="14" fillId="0" borderId="18" xfId="15" applyFont="1" applyFill="1" applyBorder="1" applyAlignment="1">
      <alignment horizontal="right" vertical="center"/>
    </xf>
    <xf numFmtId="176" fontId="15" fillId="8" borderId="20" xfId="15" applyFont="1" applyFill="1" applyBorder="1" applyAlignment="1">
      <alignment horizontal="right" vertical="center"/>
    </xf>
    <xf numFmtId="176" fontId="17" fillId="8" borderId="6" xfId="15" applyFont="1" applyFill="1" applyBorder="1" applyAlignment="1">
      <alignment horizontal="right" vertical="center"/>
    </xf>
    <xf numFmtId="176" fontId="39" fillId="4" borderId="6" xfId="15" applyFont="1" applyFill="1" applyBorder="1" applyAlignment="1">
      <alignment horizontal="center" vertical="center"/>
    </xf>
    <xf numFmtId="176" fontId="15" fillId="8" borderId="23" xfId="15" applyFont="1" applyFill="1" applyBorder="1" applyAlignment="1">
      <alignment horizontal="right" vertical="center" shrinkToFit="1"/>
    </xf>
    <xf numFmtId="176" fontId="8" fillId="4" borderId="6" xfId="15" applyFont="1" applyFill="1" applyBorder="1" applyAlignment="1">
      <alignment horizontal="right" vertical="center"/>
    </xf>
    <xf numFmtId="176" fontId="8" fillId="4" borderId="18" xfId="15" applyFont="1" applyFill="1" applyBorder="1" applyAlignment="1">
      <alignment horizontal="right" vertical="center"/>
    </xf>
    <xf numFmtId="176" fontId="30" fillId="8" borderId="23" xfId="15" applyFont="1" applyFill="1" applyBorder="1" applyAlignment="1">
      <alignment horizontal="right" vertical="center" shrinkToFit="1"/>
    </xf>
    <xf numFmtId="176" fontId="17" fillId="0" borderId="0" xfId="15" applyFont="1" applyFill="1" applyBorder="1" applyAlignment="1">
      <alignment horizontal="right" vertical="center"/>
    </xf>
    <xf numFmtId="182" fontId="17" fillId="8" borderId="23" xfId="15" applyNumberFormat="1" applyFont="1" applyFill="1" applyBorder="1" applyAlignment="1">
      <alignment horizontal="right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8" borderId="22" xfId="15" applyFont="1" applyFill="1" applyBorder="1" applyAlignment="1">
      <alignment horizontal="right" vertical="center"/>
    </xf>
    <xf numFmtId="181" fontId="15" fillId="8" borderId="23" xfId="0" applyNumberFormat="1" applyFont="1" applyFill="1" applyBorder="1" applyAlignment="1">
      <alignment horizontal="right" vertical="center"/>
    </xf>
    <xf numFmtId="41" fontId="23" fillId="9" borderId="28" xfId="40" applyNumberFormat="1" applyFont="1" applyFill="1" applyBorder="1" applyAlignment="1">
      <alignment horizontal="center" vertical="center"/>
    </xf>
    <xf numFmtId="41" fontId="23" fillId="9" borderId="28" xfId="0" applyNumberFormat="1" applyFont="1" applyFill="1" applyBorder="1" applyAlignment="1">
      <alignment vertical="center"/>
    </xf>
    <xf numFmtId="41" fontId="23" fillId="9" borderId="28" xfId="15" applyNumberFormat="1" applyFont="1" applyFill="1" applyBorder="1" applyAlignment="1">
      <alignment vertical="center"/>
    </xf>
    <xf numFmtId="41" fontId="23" fillId="5" borderId="6" xfId="40" applyNumberFormat="1" applyFont="1" applyFill="1" applyBorder="1" applyAlignment="1">
      <alignment horizontal="center" vertical="center"/>
    </xf>
    <xf numFmtId="41" fontId="23" fillId="5" borderId="6" xfId="0" applyNumberFormat="1" applyFont="1" applyFill="1" applyBorder="1" applyAlignment="1">
      <alignment vertical="center"/>
    </xf>
    <xf numFmtId="41" fontId="23" fillId="5" borderId="6" xfId="15" applyNumberFormat="1" applyFont="1" applyFill="1" applyBorder="1" applyAlignment="1">
      <alignment vertical="center"/>
    </xf>
    <xf numFmtId="41" fontId="23" fillId="9" borderId="6" xfId="40" applyNumberFormat="1" applyFont="1" applyFill="1" applyBorder="1" applyAlignment="1">
      <alignment horizontal="center" vertical="center"/>
    </xf>
    <xf numFmtId="41" fontId="33" fillId="9" borderId="6" xfId="0" applyNumberFormat="1" applyFont="1" applyFill="1" applyBorder="1" applyAlignment="1">
      <alignment vertical="center"/>
    </xf>
    <xf numFmtId="41" fontId="33" fillId="9" borderId="6" xfId="15" applyNumberFormat="1" applyFont="1" applyFill="1" applyBorder="1" applyAlignment="1">
      <alignment vertical="center"/>
    </xf>
    <xf numFmtId="41" fontId="23" fillId="9" borderId="6" xfId="23" applyNumberFormat="1" applyFont="1" applyFill="1" applyBorder="1" applyAlignment="1">
      <alignment vertical="center"/>
    </xf>
    <xf numFmtId="41" fontId="23" fillId="0" borderId="6" xfId="23" applyNumberFormat="1" applyFont="1" applyFill="1" applyBorder="1" applyAlignment="1">
      <alignment vertical="center"/>
    </xf>
    <xf numFmtId="41" fontId="23" fillId="9" borderId="6" xfId="23" applyNumberFormat="1" applyFont="1" applyFill="1" applyBorder="1" applyAlignment="1">
      <alignment horizontal="right" vertical="center"/>
    </xf>
    <xf numFmtId="41" fontId="23" fillId="0" borderId="6" xfId="23" applyNumberFormat="1" applyFont="1" applyFill="1" applyBorder="1" applyAlignment="1">
      <alignment horizontal="right" vertical="center"/>
    </xf>
    <xf numFmtId="41" fontId="23" fillId="9" borderId="6" xfId="0" applyNumberFormat="1" applyFont="1" applyFill="1" applyBorder="1" applyAlignment="1">
      <alignment vertical="center"/>
    </xf>
    <xf numFmtId="41" fontId="23" fillId="9" borderId="6" xfId="15" applyNumberFormat="1" applyFont="1" applyFill="1" applyBorder="1" applyAlignment="1">
      <alignment vertical="center"/>
    </xf>
    <xf numFmtId="41" fontId="23" fillId="0" borderId="6" xfId="0" applyNumberFormat="1" applyFont="1" applyBorder="1" applyAlignment="1">
      <alignment vertical="center"/>
    </xf>
    <xf numFmtId="41" fontId="23" fillId="5" borderId="6" xfId="40" applyNumberFormat="1" applyFont="1" applyFill="1" applyBorder="1" applyAlignment="1">
      <alignment vertical="center"/>
    </xf>
    <xf numFmtId="41" fontId="23" fillId="5" borderId="13" xfId="40" applyNumberFormat="1" applyFont="1" applyFill="1" applyBorder="1" applyAlignment="1">
      <alignment horizontal="center" vertical="center"/>
    </xf>
    <xf numFmtId="41" fontId="23" fillId="5" borderId="13" xfId="40" applyNumberFormat="1" applyFont="1" applyFill="1" applyBorder="1" applyAlignment="1">
      <alignment vertical="center"/>
    </xf>
    <xf numFmtId="41" fontId="23" fillId="5" borderId="13" xfId="15" applyNumberFormat="1" applyFont="1" applyFill="1" applyBorder="1" applyAlignment="1">
      <alignment vertical="center"/>
    </xf>
    <xf numFmtId="41" fontId="23" fillId="0" borderId="13" xfId="23" applyNumberFormat="1" applyFont="1" applyFill="1" applyBorder="1" applyAlignment="1">
      <alignment vertical="center"/>
    </xf>
    <xf numFmtId="41" fontId="23" fillId="5" borderId="13" xfId="0" applyNumberFormat="1" applyFont="1" applyFill="1" applyBorder="1" applyAlignment="1">
      <alignment vertical="center"/>
    </xf>
    <xf numFmtId="176" fontId="14" fillId="0" borderId="18" xfId="0" applyNumberFormat="1" applyFont="1" applyFill="1" applyBorder="1" applyAlignment="1">
      <alignment horizontal="center" vertical="center"/>
    </xf>
    <xf numFmtId="176" fontId="14" fillId="0" borderId="20" xfId="0" applyNumberFormat="1" applyFont="1" applyFill="1" applyBorder="1" applyAlignment="1">
      <alignment horizontal="center" vertical="center"/>
    </xf>
    <xf numFmtId="176" fontId="14" fillId="0" borderId="6" xfId="0" applyNumberFormat="1" applyFont="1" applyFill="1" applyBorder="1" applyAlignment="1">
      <alignment horizontal="center" vertical="center"/>
    </xf>
    <xf numFmtId="176" fontId="15" fillId="6" borderId="17" xfId="0" applyNumberFormat="1" applyFont="1" applyFill="1" applyBorder="1" applyAlignment="1">
      <alignment horizontal="center" vertical="center"/>
    </xf>
    <xf numFmtId="176" fontId="15" fillId="6" borderId="10" xfId="0" applyNumberFormat="1" applyFont="1" applyFill="1" applyBorder="1" applyAlignment="1">
      <alignment horizontal="center" vertical="center"/>
    </xf>
    <xf numFmtId="176" fontId="15" fillId="8" borderId="22" xfId="0" applyNumberFormat="1" applyFont="1" applyFill="1" applyBorder="1" applyAlignment="1">
      <alignment horizontal="center" vertical="center"/>
    </xf>
    <xf numFmtId="176" fontId="15" fillId="8" borderId="23" xfId="0" applyNumberFormat="1" applyFont="1" applyFill="1" applyBorder="1" applyAlignment="1">
      <alignment horizontal="center" vertical="center"/>
    </xf>
    <xf numFmtId="0" fontId="34" fillId="7" borderId="4" xfId="65" applyFont="1" applyFill="1" applyBorder="1" applyAlignment="1">
      <alignment horizontal="center" vertical="center"/>
    </xf>
    <xf numFmtId="0" fontId="34" fillId="7" borderId="5" xfId="65" applyFont="1" applyFill="1" applyBorder="1" applyAlignment="1">
      <alignment horizontal="center" vertical="center"/>
    </xf>
    <xf numFmtId="0" fontId="34" fillId="7" borderId="3" xfId="65" applyFont="1" applyFill="1" applyBorder="1" applyAlignment="1">
      <alignment horizontal="center" vertical="center"/>
    </xf>
    <xf numFmtId="176" fontId="15" fillId="6" borderId="8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right"/>
    </xf>
    <xf numFmtId="176" fontId="15" fillId="6" borderId="12" xfId="0" applyNumberFormat="1" applyFont="1" applyFill="1" applyBorder="1" applyAlignment="1">
      <alignment horizontal="center" vertical="center"/>
    </xf>
    <xf numFmtId="176" fontId="15" fillId="6" borderId="13" xfId="0" applyNumberFormat="1" applyFont="1" applyFill="1" applyBorder="1" applyAlignment="1">
      <alignment horizontal="center" vertical="center"/>
    </xf>
    <xf numFmtId="176" fontId="15" fillId="6" borderId="25" xfId="0" applyNumberFormat="1" applyFont="1" applyFill="1" applyBorder="1" applyAlignment="1">
      <alignment horizontal="center" vertical="center"/>
    </xf>
    <xf numFmtId="9" fontId="15" fillId="4" borderId="18" xfId="0" applyNumberFormat="1" applyFont="1" applyFill="1" applyBorder="1" applyAlignment="1">
      <alignment horizontal="right"/>
    </xf>
    <xf numFmtId="9" fontId="15" fillId="4" borderId="18" xfId="0" quotePrefix="1" applyNumberFormat="1" applyFont="1" applyFill="1" applyBorder="1" applyAlignment="1">
      <alignment horizontal="right"/>
    </xf>
    <xf numFmtId="9" fontId="15" fillId="4" borderId="19" xfId="0" quotePrefix="1" applyNumberFormat="1" applyFont="1" applyFill="1" applyBorder="1" applyAlignment="1">
      <alignment horizontal="right"/>
    </xf>
    <xf numFmtId="176" fontId="15" fillId="6" borderId="17" xfId="0" applyNumberFormat="1" applyFont="1" applyFill="1" applyBorder="1" applyAlignment="1">
      <alignment horizontal="center" vertical="center" wrapText="1"/>
    </xf>
    <xf numFmtId="176" fontId="15" fillId="6" borderId="9" xfId="0" applyNumberFormat="1" applyFont="1" applyFill="1" applyBorder="1" applyAlignment="1">
      <alignment horizontal="center" vertical="center"/>
    </xf>
    <xf numFmtId="176" fontId="14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4" fillId="7" borderId="1" xfId="65" applyFont="1" applyFill="1" applyBorder="1" applyAlignment="1">
      <alignment horizontal="center" vertical="center"/>
    </xf>
    <xf numFmtId="0" fontId="18" fillId="0" borderId="0" xfId="16" applyFont="1" applyAlignment="1">
      <alignment horizontal="left" vertical="center"/>
    </xf>
    <xf numFmtId="0" fontId="16" fillId="0" borderId="0" xfId="16" applyFont="1" applyAlignment="1">
      <alignment horizontal="left" vertical="center"/>
    </xf>
    <xf numFmtId="180" fontId="17" fillId="0" borderId="0" xfId="0" applyNumberFormat="1" applyFont="1" applyBorder="1" applyAlignment="1">
      <alignment horizontal="right"/>
    </xf>
    <xf numFmtId="176" fontId="15" fillId="6" borderId="7" xfId="17" applyNumberFormat="1" applyFont="1" applyFill="1" applyBorder="1" applyAlignment="1">
      <alignment horizontal="center" vertical="center"/>
    </xf>
    <xf numFmtId="176" fontId="15" fillId="6" borderId="26" xfId="17" applyNumberFormat="1" applyFont="1" applyFill="1" applyBorder="1" applyAlignment="1">
      <alignment horizontal="center" vertical="center"/>
    </xf>
    <xf numFmtId="0" fontId="22" fillId="8" borderId="27" xfId="17" applyFont="1" applyFill="1" applyBorder="1" applyAlignment="1">
      <alignment horizontal="center" vertical="center"/>
    </xf>
    <xf numFmtId="0" fontId="22" fillId="8" borderId="30" xfId="17" applyFont="1" applyFill="1" applyBorder="1" applyAlignment="1">
      <alignment horizontal="center" vertical="center"/>
    </xf>
    <xf numFmtId="0" fontId="23" fillId="6" borderId="34" xfId="17" applyFont="1" applyFill="1" applyBorder="1" applyAlignment="1">
      <alignment horizontal="center" vertical="center"/>
    </xf>
    <xf numFmtId="0" fontId="23" fillId="6" borderId="10" xfId="17" applyFont="1" applyFill="1" applyBorder="1" applyAlignment="1">
      <alignment horizontal="center" vertical="center"/>
    </xf>
    <xf numFmtId="176" fontId="15" fillId="6" borderId="8" xfId="17" applyNumberFormat="1" applyFont="1" applyFill="1" applyBorder="1" applyAlignment="1">
      <alignment horizontal="center" vertical="center"/>
    </xf>
    <xf numFmtId="176" fontId="15" fillId="6" borderId="9" xfId="17" applyNumberFormat="1" applyFont="1" applyFill="1" applyBorder="1" applyAlignment="1">
      <alignment horizontal="center" vertical="center"/>
    </xf>
    <xf numFmtId="0" fontId="25" fillId="6" borderId="8" xfId="17" applyFont="1" applyFill="1" applyBorder="1" applyAlignment="1">
      <alignment horizontal="center" vertical="center"/>
    </xf>
    <xf numFmtId="0" fontId="25" fillId="6" borderId="18" xfId="17" applyFont="1" applyFill="1" applyBorder="1" applyAlignment="1">
      <alignment horizontal="center" vertical="center"/>
    </xf>
    <xf numFmtId="183" fontId="15" fillId="6" borderId="8" xfId="17" applyNumberFormat="1" applyFont="1" applyFill="1" applyBorder="1" applyAlignment="1">
      <alignment horizontal="center" vertical="center"/>
    </xf>
    <xf numFmtId="0" fontId="23" fillId="6" borderId="12" xfId="17" applyFont="1" applyFill="1" applyBorder="1" applyAlignment="1">
      <alignment horizontal="center" vertical="center"/>
    </xf>
  </cellXfs>
  <cellStyles count="104">
    <cellStyle name="20% - 강조색6" xfId="103" builtinId="50"/>
    <cellStyle name="Comma [0]_5year" xfId="1" xr:uid="{00000000-0005-0000-0000-000000000000}"/>
    <cellStyle name="Comma_495ALL" xfId="2" xr:uid="{00000000-0005-0000-0000-000001000000}"/>
    <cellStyle name="Currency [0]_5year" xfId="3" xr:uid="{00000000-0005-0000-0000-000002000000}"/>
    <cellStyle name="Currency_495ALL" xfId="4" xr:uid="{00000000-0005-0000-0000-000003000000}"/>
    <cellStyle name="Grey" xfId="5" xr:uid="{00000000-0005-0000-0000-000004000000}"/>
    <cellStyle name="Input [yellow]" xfId="6" xr:uid="{00000000-0005-0000-0000-000005000000}"/>
    <cellStyle name="Milliers [0]_AR1194" xfId="7" xr:uid="{00000000-0005-0000-0000-000006000000}"/>
    <cellStyle name="Milliers_AR1194" xfId="8" xr:uid="{00000000-0005-0000-0000-000007000000}"/>
    <cellStyle name="Mon?aire [0]_AR1194" xfId="9" xr:uid="{00000000-0005-0000-0000-000008000000}"/>
    <cellStyle name="Mon?aire_AR1194" xfId="10" xr:uid="{00000000-0005-0000-0000-000009000000}"/>
    <cellStyle name="Normal - Style1" xfId="11" xr:uid="{00000000-0005-0000-0000-00000A000000}"/>
    <cellStyle name="Normal_495ALL" xfId="12" xr:uid="{00000000-0005-0000-0000-00000B000000}"/>
    <cellStyle name="Percent [2]" xfId="13" xr:uid="{00000000-0005-0000-0000-00000C000000}"/>
    <cellStyle name="PERCENTAGE" xfId="14" xr:uid="{00000000-0005-0000-0000-00000D000000}"/>
    <cellStyle name="백분율 2" xfId="59" xr:uid="{00000000-0005-0000-0000-00000E000000}"/>
    <cellStyle name="백분율 3" xfId="60" xr:uid="{00000000-0005-0000-0000-00000F000000}"/>
    <cellStyle name="백분율 4" xfId="58" xr:uid="{00000000-0005-0000-0000-000010000000}"/>
    <cellStyle name="쉼표 [0]" xfId="15" builtinId="6"/>
    <cellStyle name="쉼표 [0] 2" xfId="20" xr:uid="{00000000-0005-0000-0000-000012000000}"/>
    <cellStyle name="쉼표 [0] 2 2" xfId="62" xr:uid="{00000000-0005-0000-0000-000013000000}"/>
    <cellStyle name="쉼표 [0] 3" xfId="23" xr:uid="{00000000-0005-0000-0000-000014000000}"/>
    <cellStyle name="쉼표 [0] 3 2" xfId="33" xr:uid="{00000000-0005-0000-0000-000015000000}"/>
    <cellStyle name="쉼표 [0] 3 3" xfId="63" xr:uid="{00000000-0005-0000-0000-000016000000}"/>
    <cellStyle name="쉼표 [0] 4" xfId="40" xr:uid="{00000000-0005-0000-0000-000017000000}"/>
    <cellStyle name="쉼표 [0] 5" xfId="56" xr:uid="{00000000-0005-0000-0000-000018000000}"/>
    <cellStyle name="쉼표 [0] 5 2" xfId="102" xr:uid="{00000000-0005-0000-0000-000019000000}"/>
    <cellStyle name="쉼표 [0] 6" xfId="61" xr:uid="{00000000-0005-0000-0000-00001A000000}"/>
    <cellStyle name="표준" xfId="0" builtinId="0"/>
    <cellStyle name="표준 2" xfId="19" xr:uid="{00000000-0005-0000-0000-00001C000000}"/>
    <cellStyle name="표준 2 2" xfId="64" xr:uid="{00000000-0005-0000-0000-00001D000000}"/>
    <cellStyle name="표준 3" xfId="18" xr:uid="{00000000-0005-0000-0000-00001E000000}"/>
    <cellStyle name="표준 3 10" xfId="71" xr:uid="{00000000-0005-0000-0000-00001F000000}"/>
    <cellStyle name="표준 3 2" xfId="21" xr:uid="{00000000-0005-0000-0000-000020000000}"/>
    <cellStyle name="표준 3 2 2" xfId="29" xr:uid="{00000000-0005-0000-0000-000021000000}"/>
    <cellStyle name="표준 3 2 2 2" xfId="39" xr:uid="{00000000-0005-0000-0000-000022000000}"/>
    <cellStyle name="표준 3 2 2 2 2" xfId="55" xr:uid="{00000000-0005-0000-0000-000023000000}"/>
    <cellStyle name="표준 3 2 2 2 2 2" xfId="101" xr:uid="{00000000-0005-0000-0000-000024000000}"/>
    <cellStyle name="표준 3 2 2 2 3" xfId="86" xr:uid="{00000000-0005-0000-0000-000025000000}"/>
    <cellStyle name="표준 3 2 2 3" xfId="47" xr:uid="{00000000-0005-0000-0000-000026000000}"/>
    <cellStyle name="표준 3 2 2 3 2" xfId="93" xr:uid="{00000000-0005-0000-0000-000027000000}"/>
    <cellStyle name="표준 3 2 2 4" xfId="78" xr:uid="{00000000-0005-0000-0000-000028000000}"/>
    <cellStyle name="표준 3 2 3" xfId="27" xr:uid="{00000000-0005-0000-0000-000029000000}"/>
    <cellStyle name="표준 3 2 3 2" xfId="37" xr:uid="{00000000-0005-0000-0000-00002A000000}"/>
    <cellStyle name="표준 3 2 3 2 2" xfId="53" xr:uid="{00000000-0005-0000-0000-00002B000000}"/>
    <cellStyle name="표준 3 2 3 2 2 2" xfId="99" xr:uid="{00000000-0005-0000-0000-00002C000000}"/>
    <cellStyle name="표준 3 2 3 2 3" xfId="84" xr:uid="{00000000-0005-0000-0000-00002D000000}"/>
    <cellStyle name="표준 3 2 3 3" xfId="45" xr:uid="{00000000-0005-0000-0000-00002E000000}"/>
    <cellStyle name="표준 3 2 3 3 2" xfId="91" xr:uid="{00000000-0005-0000-0000-00002F000000}"/>
    <cellStyle name="표준 3 2 3 4" xfId="76" xr:uid="{00000000-0005-0000-0000-000030000000}"/>
    <cellStyle name="표준 3 2 4" xfId="35" xr:uid="{00000000-0005-0000-0000-000031000000}"/>
    <cellStyle name="표준 3 2 4 2" xfId="51" xr:uid="{00000000-0005-0000-0000-000032000000}"/>
    <cellStyle name="표준 3 2 4 2 2" xfId="97" xr:uid="{00000000-0005-0000-0000-000033000000}"/>
    <cellStyle name="표준 3 2 4 3" xfId="82" xr:uid="{00000000-0005-0000-0000-000034000000}"/>
    <cellStyle name="표준 3 2 5" xfId="43" xr:uid="{00000000-0005-0000-0000-000035000000}"/>
    <cellStyle name="표준 3 2 5 2" xfId="89" xr:uid="{00000000-0005-0000-0000-000036000000}"/>
    <cellStyle name="표준 3 2 6" xfId="25" xr:uid="{00000000-0005-0000-0000-000037000000}"/>
    <cellStyle name="표준 3 2 6 2" xfId="74" xr:uid="{00000000-0005-0000-0000-000038000000}"/>
    <cellStyle name="표준 3 2 7" xfId="72" xr:uid="{00000000-0005-0000-0000-000039000000}"/>
    <cellStyle name="표준 3 3" xfId="28" xr:uid="{00000000-0005-0000-0000-00003A000000}"/>
    <cellStyle name="표준 3 3 2" xfId="38" xr:uid="{00000000-0005-0000-0000-00003B000000}"/>
    <cellStyle name="표준 3 3 2 2" xfId="54" xr:uid="{00000000-0005-0000-0000-00003C000000}"/>
    <cellStyle name="표준 3 3 2 2 2" xfId="100" xr:uid="{00000000-0005-0000-0000-00003D000000}"/>
    <cellStyle name="표준 3 3 2 3" xfId="85" xr:uid="{00000000-0005-0000-0000-00003E000000}"/>
    <cellStyle name="표준 3 3 3" xfId="46" xr:uid="{00000000-0005-0000-0000-00003F000000}"/>
    <cellStyle name="표준 3 3 3 2" xfId="92" xr:uid="{00000000-0005-0000-0000-000040000000}"/>
    <cellStyle name="표준 3 3 4" xfId="77" xr:uid="{00000000-0005-0000-0000-000041000000}"/>
    <cellStyle name="표준 3 4" xfId="26" xr:uid="{00000000-0005-0000-0000-000042000000}"/>
    <cellStyle name="표준 3 4 2" xfId="36" xr:uid="{00000000-0005-0000-0000-000043000000}"/>
    <cellStyle name="표준 3 4 2 2" xfId="52" xr:uid="{00000000-0005-0000-0000-000044000000}"/>
    <cellStyle name="표준 3 4 2 2 2" xfId="98" xr:uid="{00000000-0005-0000-0000-000045000000}"/>
    <cellStyle name="표준 3 4 2 3" xfId="83" xr:uid="{00000000-0005-0000-0000-000046000000}"/>
    <cellStyle name="표준 3 4 3" xfId="44" xr:uid="{00000000-0005-0000-0000-000047000000}"/>
    <cellStyle name="표준 3 4 3 2" xfId="90" xr:uid="{00000000-0005-0000-0000-000048000000}"/>
    <cellStyle name="표준 3 4 4" xfId="75" xr:uid="{00000000-0005-0000-0000-000049000000}"/>
    <cellStyle name="표준 3 5" xfId="30" xr:uid="{00000000-0005-0000-0000-00004A000000}"/>
    <cellStyle name="표준 3 5 2" xfId="48" xr:uid="{00000000-0005-0000-0000-00004B000000}"/>
    <cellStyle name="표준 3 5 2 2" xfId="94" xr:uid="{00000000-0005-0000-0000-00004C000000}"/>
    <cellStyle name="표준 3 5 3" xfId="79" xr:uid="{00000000-0005-0000-0000-00004D000000}"/>
    <cellStyle name="표준 3 6" xfId="34" xr:uid="{00000000-0005-0000-0000-00004E000000}"/>
    <cellStyle name="표준 3 6 2" xfId="50" xr:uid="{00000000-0005-0000-0000-00004F000000}"/>
    <cellStyle name="표준 3 6 2 2" xfId="96" xr:uid="{00000000-0005-0000-0000-000050000000}"/>
    <cellStyle name="표준 3 6 3" xfId="81" xr:uid="{00000000-0005-0000-0000-000051000000}"/>
    <cellStyle name="표준 3 7" xfId="42" xr:uid="{00000000-0005-0000-0000-000052000000}"/>
    <cellStyle name="표준 3 7 2" xfId="88" xr:uid="{00000000-0005-0000-0000-000053000000}"/>
    <cellStyle name="표준 3 8" xfId="24" xr:uid="{00000000-0005-0000-0000-000054000000}"/>
    <cellStyle name="표준 3 8 2" xfId="73" xr:uid="{00000000-0005-0000-0000-000055000000}"/>
    <cellStyle name="표준 3 9" xfId="65" xr:uid="{00000000-0005-0000-0000-000056000000}"/>
    <cellStyle name="표준 4" xfId="22" xr:uid="{00000000-0005-0000-0000-000057000000}"/>
    <cellStyle name="표준 4 2" xfId="66" xr:uid="{00000000-0005-0000-0000-000058000000}"/>
    <cellStyle name="표준 5" xfId="32" xr:uid="{00000000-0005-0000-0000-000059000000}"/>
    <cellStyle name="표준 5 2" xfId="67" xr:uid="{00000000-0005-0000-0000-00005A000000}"/>
    <cellStyle name="표준 6" xfId="31" xr:uid="{00000000-0005-0000-0000-00005B000000}"/>
    <cellStyle name="표준 6 2" xfId="49" xr:uid="{00000000-0005-0000-0000-00005C000000}"/>
    <cellStyle name="표준 6 2 2" xfId="95" xr:uid="{00000000-0005-0000-0000-00005D000000}"/>
    <cellStyle name="표준 6 3" xfId="68" xr:uid="{00000000-0005-0000-0000-00005E000000}"/>
    <cellStyle name="표준 6 4" xfId="80" xr:uid="{00000000-0005-0000-0000-00005F000000}"/>
    <cellStyle name="표준 7" xfId="41" xr:uid="{00000000-0005-0000-0000-000060000000}"/>
    <cellStyle name="표준 7 2" xfId="69" xr:uid="{00000000-0005-0000-0000-000061000000}"/>
    <cellStyle name="표준 7 3" xfId="87" xr:uid="{00000000-0005-0000-0000-000062000000}"/>
    <cellStyle name="표준 8" xfId="70" xr:uid="{00000000-0005-0000-0000-000063000000}"/>
    <cellStyle name="표준 9" xfId="57" xr:uid="{00000000-0005-0000-0000-000064000000}"/>
    <cellStyle name="표준_2008년 03월 평택.당진항 항만운영통계" xfId="16" xr:uid="{00000000-0005-0000-0000-000065000000}"/>
    <cellStyle name="표준_부두별입출항 실적(03)" xfId="17" xr:uid="{00000000-0005-0000-0000-000066000000}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2025.3.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106847350</c:v>
                </c:pt>
                <c:pt idx="1">
                  <c:v>116876152</c:v>
                </c:pt>
                <c:pt idx="2">
                  <c:v>116171568</c:v>
                </c:pt>
                <c:pt idx="3">
                  <c:v>116607017</c:v>
                </c:pt>
                <c:pt idx="4">
                  <c:v>116714212</c:v>
                </c:pt>
                <c:pt idx="5">
                  <c:v>28162337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2025.3.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792643</c:v>
                </c:pt>
                <c:pt idx="1">
                  <c:v>936246</c:v>
                </c:pt>
                <c:pt idx="2">
                  <c:v>851953</c:v>
                </c:pt>
                <c:pt idx="3">
                  <c:v>820289</c:v>
                </c:pt>
                <c:pt idx="4">
                  <c:v>924735.5</c:v>
                </c:pt>
                <c:pt idx="5">
                  <c:v>217154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2025.3.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40267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2020 </c:v>
                </c:pt>
                <c:pt idx="1">
                  <c:v>2021 </c:v>
                </c:pt>
                <c:pt idx="2">
                  <c:v>2022 </c:v>
                </c:pt>
                <c:pt idx="3">
                  <c:v>2023 </c:v>
                </c:pt>
                <c:pt idx="4">
                  <c:v>2024 </c:v>
                </c:pt>
                <c:pt idx="5">
                  <c:v>2025.3.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17409</c:v>
                </c:pt>
                <c:pt idx="1">
                  <c:v>16473</c:v>
                </c:pt>
                <c:pt idx="2">
                  <c:v>16626</c:v>
                </c:pt>
                <c:pt idx="3">
                  <c:v>17324</c:v>
                </c:pt>
                <c:pt idx="4">
                  <c:v>17502</c:v>
                </c:pt>
                <c:pt idx="5">
                  <c:v>4248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99" zoomScaleSheetLayoutView="68" workbookViewId="0"/>
  </sheetViews>
  <sheetFormatPr defaultRowHeight="14.25"/>
  <sheetData/>
  <phoneticPr fontId="9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0"/>
  <sheetViews>
    <sheetView showGridLines="0" tabSelected="1" zoomScaleNormal="100" zoomScaleSheetLayoutView="110" workbookViewId="0">
      <selection activeCell="I4" sqref="I4"/>
    </sheetView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4.375" style="193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8.625" style="1" customWidth="1"/>
    <col min="12" max="12" width="13.75" style="214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4"/>
      <c r="C2" s="34"/>
      <c r="D2" s="34"/>
      <c r="E2" s="186"/>
      <c r="F2" s="34"/>
      <c r="G2" s="34"/>
      <c r="H2" s="34"/>
      <c r="I2" s="34"/>
      <c r="J2" s="34"/>
      <c r="K2" s="34"/>
      <c r="L2" s="186"/>
      <c r="M2" s="34"/>
      <c r="N2" s="34"/>
      <c r="O2" s="34"/>
      <c r="P2" s="34"/>
    </row>
    <row r="3" spans="2:16" ht="42.95" customHeight="1">
      <c r="B3" s="259" t="s">
        <v>102</v>
      </c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1"/>
      <c r="N3" s="34"/>
      <c r="O3" s="34"/>
      <c r="P3" s="34"/>
    </row>
    <row r="4" spans="2:16" ht="21" customHeight="1">
      <c r="B4" s="96"/>
      <c r="C4" s="97"/>
      <c r="D4" s="97"/>
      <c r="E4" s="194"/>
      <c r="F4" s="97"/>
      <c r="G4" s="97"/>
      <c r="H4" s="97"/>
      <c r="I4" s="97"/>
      <c r="J4" s="97"/>
      <c r="K4" s="97"/>
      <c r="L4" s="194"/>
      <c r="M4" s="97"/>
    </row>
    <row r="5" spans="2:16" ht="21" customHeight="1">
      <c r="B5" s="32"/>
      <c r="C5" s="33"/>
      <c r="D5" s="33"/>
      <c r="E5" s="195"/>
      <c r="F5" s="33"/>
      <c r="G5" s="33"/>
      <c r="H5" s="33"/>
      <c r="I5" s="33"/>
      <c r="J5" s="33"/>
      <c r="K5" s="263" t="s">
        <v>84</v>
      </c>
      <c r="L5" s="263"/>
      <c r="M5" s="263"/>
    </row>
    <row r="6" spans="2:16" ht="21" customHeight="1">
      <c r="B6" s="272" t="s">
        <v>7</v>
      </c>
      <c r="C6" s="273"/>
      <c r="D6" s="273"/>
      <c r="E6" s="196"/>
      <c r="F6" s="262" t="s">
        <v>99</v>
      </c>
      <c r="G6" s="262"/>
      <c r="H6" s="262" t="s">
        <v>101</v>
      </c>
      <c r="I6" s="262"/>
      <c r="J6" s="262" t="s">
        <v>15</v>
      </c>
      <c r="K6" s="262"/>
      <c r="L6" s="262"/>
      <c r="M6" s="271"/>
    </row>
    <row r="7" spans="2:16" ht="21" customHeight="1" thickBot="1">
      <c r="B7" s="274"/>
      <c r="C7" s="275"/>
      <c r="D7" s="275"/>
      <c r="E7" s="188" t="s">
        <v>11</v>
      </c>
      <c r="F7" s="65" t="s">
        <v>103</v>
      </c>
      <c r="G7" s="64" t="s">
        <v>104</v>
      </c>
      <c r="H7" s="64" t="s">
        <v>105</v>
      </c>
      <c r="I7" s="64" t="s">
        <v>106</v>
      </c>
      <c r="J7" s="64" t="s">
        <v>37</v>
      </c>
      <c r="K7" s="66" t="s">
        <v>16</v>
      </c>
      <c r="L7" s="215" t="s">
        <v>18</v>
      </c>
      <c r="M7" s="67" t="s">
        <v>16</v>
      </c>
    </row>
    <row r="8" spans="2:16" ht="20.100000000000001" customHeight="1" thickBot="1">
      <c r="B8" s="255" t="s">
        <v>19</v>
      </c>
      <c r="C8" s="257" t="s">
        <v>12</v>
      </c>
      <c r="D8" s="258"/>
      <c r="E8" s="197">
        <v>17502</v>
      </c>
      <c r="F8" s="72">
        <f>SUM(F9:F10)</f>
        <v>1496</v>
      </c>
      <c r="G8" s="72">
        <f>SUM(G9:G10)</f>
        <v>4237</v>
      </c>
      <c r="H8" s="72">
        <f>SUM(H9:H10)</f>
        <v>1483</v>
      </c>
      <c r="I8" s="72">
        <f>SUM(I9:I10)</f>
        <v>4248</v>
      </c>
      <c r="J8" s="72">
        <f>H8-F8</f>
        <v>-13</v>
      </c>
      <c r="K8" s="73">
        <f>H8/F8</f>
        <v>0.99131016042780751</v>
      </c>
      <c r="L8" s="197">
        <f>I8-G8</f>
        <v>11</v>
      </c>
      <c r="M8" s="74">
        <f>I8/G8</f>
        <v>1.0025961765400047</v>
      </c>
    </row>
    <row r="9" spans="2:16" ht="20.100000000000001" customHeight="1">
      <c r="B9" s="256"/>
      <c r="C9" s="253" t="s">
        <v>9</v>
      </c>
      <c r="D9" s="253"/>
      <c r="E9" s="198">
        <v>10370</v>
      </c>
      <c r="F9" s="157">
        <v>886</v>
      </c>
      <c r="G9" s="68">
        <v>2543</v>
      </c>
      <c r="H9" s="68">
        <v>872</v>
      </c>
      <c r="I9" s="68">
        <v>2501</v>
      </c>
      <c r="J9" s="69">
        <f t="shared" ref="J9:J28" si="0">H9-F9</f>
        <v>-14</v>
      </c>
      <c r="K9" s="70">
        <f t="shared" ref="K9:K29" si="1">H9/F9</f>
        <v>0.98419864559819414</v>
      </c>
      <c r="L9" s="216">
        <f>I9-G9</f>
        <v>-42</v>
      </c>
      <c r="M9" s="71">
        <f t="shared" ref="M9:M25" si="2">I9/G9</f>
        <v>0.98348407392843096</v>
      </c>
    </row>
    <row r="10" spans="2:16" ht="20.100000000000001" customHeight="1" thickBot="1">
      <c r="B10" s="256"/>
      <c r="C10" s="252" t="s">
        <v>10</v>
      </c>
      <c r="D10" s="252"/>
      <c r="E10" s="199">
        <v>7132</v>
      </c>
      <c r="F10" s="158">
        <v>610</v>
      </c>
      <c r="G10" s="75">
        <v>1694</v>
      </c>
      <c r="H10" s="75">
        <v>611</v>
      </c>
      <c r="I10" s="75">
        <v>1747</v>
      </c>
      <c r="J10" s="75">
        <f t="shared" si="0"/>
        <v>1</v>
      </c>
      <c r="K10" s="76">
        <f t="shared" si="1"/>
        <v>1.0016393442622951</v>
      </c>
      <c r="L10" s="217">
        <f t="shared" ref="L10:L29" si="3">I10-G10</f>
        <v>53</v>
      </c>
      <c r="M10" s="77">
        <f t="shared" si="2"/>
        <v>1.0312868949232585</v>
      </c>
    </row>
    <row r="11" spans="2:16" ht="20.100000000000001" customHeight="1" thickBot="1">
      <c r="B11" s="255" t="s">
        <v>20</v>
      </c>
      <c r="C11" s="257" t="s">
        <v>8</v>
      </c>
      <c r="D11" s="258"/>
      <c r="E11" s="208">
        <v>116714212</v>
      </c>
      <c r="F11" s="208">
        <f>F12+F16</f>
        <v>10033886</v>
      </c>
      <c r="G11" s="208">
        <f>G12+G16</f>
        <v>29399281</v>
      </c>
      <c r="H11" s="208">
        <f>H12+H16</f>
        <v>10262634</v>
      </c>
      <c r="I11" s="208">
        <f>I12+I16</f>
        <v>28162337</v>
      </c>
      <c r="J11" s="208">
        <f t="shared" si="0"/>
        <v>228748</v>
      </c>
      <c r="K11" s="73">
        <f t="shared" si="1"/>
        <v>1.0227975482280744</v>
      </c>
      <c r="L11" s="226">
        <f>I11-G11</f>
        <v>-1236944</v>
      </c>
      <c r="M11" s="74">
        <f t="shared" si="2"/>
        <v>0.95792604587846897</v>
      </c>
    </row>
    <row r="12" spans="2:16" ht="20.100000000000001" customHeight="1">
      <c r="B12" s="256"/>
      <c r="C12" s="253" t="s">
        <v>1</v>
      </c>
      <c r="D12" s="78" t="s">
        <v>0</v>
      </c>
      <c r="E12" s="209">
        <v>106101439</v>
      </c>
      <c r="F12" s="79">
        <f>SUM(F13:F15)</f>
        <v>9048084</v>
      </c>
      <c r="G12" s="79">
        <f>SUM(G13:G15)</f>
        <v>26598335</v>
      </c>
      <c r="H12" s="79">
        <f>SUM(H13:H15)</f>
        <v>9339475</v>
      </c>
      <c r="I12" s="79">
        <f>SUM(I13:I15)</f>
        <v>25675852</v>
      </c>
      <c r="J12" s="80">
        <f t="shared" ref="J12:J16" si="4">H12-F12</f>
        <v>291391</v>
      </c>
      <c r="K12" s="81">
        <f t="shared" si="1"/>
        <v>1.0322047187006664</v>
      </c>
      <c r="L12" s="218">
        <f>I12-G12</f>
        <v>-922483</v>
      </c>
      <c r="M12" s="82">
        <f t="shared" si="2"/>
        <v>0.96531801708640785</v>
      </c>
    </row>
    <row r="13" spans="2:16" ht="20.100000000000001" customHeight="1">
      <c r="B13" s="256"/>
      <c r="C13" s="254"/>
      <c r="D13" s="54" t="s">
        <v>5</v>
      </c>
      <c r="E13" s="152">
        <v>86063790</v>
      </c>
      <c r="F13" s="152">
        <v>7217428</v>
      </c>
      <c r="G13" s="145">
        <v>21729263</v>
      </c>
      <c r="H13" s="145">
        <v>7390254</v>
      </c>
      <c r="I13" s="145">
        <v>20522486</v>
      </c>
      <c r="J13" s="51">
        <f t="shared" si="4"/>
        <v>172826</v>
      </c>
      <c r="K13" s="49">
        <f t="shared" si="1"/>
        <v>1.0239456493365782</v>
      </c>
      <c r="L13" s="203">
        <f>I13-G13</f>
        <v>-1206777</v>
      </c>
      <c r="M13" s="56">
        <f t="shared" si="2"/>
        <v>0.94446304966716998</v>
      </c>
      <c r="O13" s="24"/>
    </row>
    <row r="14" spans="2:16" ht="20.100000000000001" customHeight="1">
      <c r="B14" s="256"/>
      <c r="C14" s="254"/>
      <c r="D14" s="54" t="s">
        <v>6</v>
      </c>
      <c r="E14" s="152">
        <v>17423605</v>
      </c>
      <c r="F14" s="152">
        <v>1607237</v>
      </c>
      <c r="G14" s="145">
        <v>4135203</v>
      </c>
      <c r="H14" s="145">
        <v>1704227</v>
      </c>
      <c r="I14" s="145">
        <v>4535256</v>
      </c>
      <c r="J14" s="51">
        <f t="shared" si="4"/>
        <v>96990</v>
      </c>
      <c r="K14" s="49">
        <f t="shared" si="1"/>
        <v>1.0603457984105642</v>
      </c>
      <c r="L14" s="203">
        <f t="shared" si="3"/>
        <v>400053</v>
      </c>
      <c r="M14" s="56">
        <f t="shared" si="2"/>
        <v>1.0967432554097103</v>
      </c>
    </row>
    <row r="15" spans="2:16" ht="20.100000000000001" customHeight="1">
      <c r="B15" s="256"/>
      <c r="C15" s="254"/>
      <c r="D15" s="54" t="s">
        <v>13</v>
      </c>
      <c r="E15" s="210">
        <v>2614044</v>
      </c>
      <c r="F15" s="152">
        <v>223419</v>
      </c>
      <c r="G15" s="145">
        <v>733869</v>
      </c>
      <c r="H15" s="145">
        <v>244994</v>
      </c>
      <c r="I15" s="145">
        <v>618110</v>
      </c>
      <c r="J15" s="51">
        <f t="shared" si="4"/>
        <v>21575</v>
      </c>
      <c r="K15" s="49">
        <f>H15/F15</f>
        <v>1.0965674360730286</v>
      </c>
      <c r="L15" s="203">
        <f t="shared" si="3"/>
        <v>-115759</v>
      </c>
      <c r="M15" s="56">
        <f t="shared" si="2"/>
        <v>0.84226203859271886</v>
      </c>
      <c r="O15" s="24"/>
    </row>
    <row r="16" spans="2:16" ht="20.100000000000001" customHeight="1">
      <c r="B16" s="256"/>
      <c r="C16" s="254" t="s">
        <v>2</v>
      </c>
      <c r="D16" s="53" t="s">
        <v>0</v>
      </c>
      <c r="E16" s="211">
        <v>10612773</v>
      </c>
      <c r="F16" s="52">
        <f>SUM(F17:F19)</f>
        <v>985802</v>
      </c>
      <c r="G16" s="52">
        <f>SUM(G17:G19)</f>
        <v>2800946</v>
      </c>
      <c r="H16" s="52">
        <f>SUM(H17:H19)</f>
        <v>923159</v>
      </c>
      <c r="I16" s="52">
        <f>SUM(I17:I19)</f>
        <v>2486485</v>
      </c>
      <c r="J16" s="47">
        <f t="shared" si="4"/>
        <v>-62643</v>
      </c>
      <c r="K16" s="48">
        <f t="shared" si="1"/>
        <v>0.93645478503796908</v>
      </c>
      <c r="L16" s="219">
        <f t="shared" si="3"/>
        <v>-314461</v>
      </c>
      <c r="M16" s="57">
        <f t="shared" si="2"/>
        <v>0.88773043107578653</v>
      </c>
      <c r="O16" s="24"/>
    </row>
    <row r="17" spans="2:15" ht="20.100000000000001" customHeight="1">
      <c r="B17" s="256"/>
      <c r="C17" s="254"/>
      <c r="D17" s="54" t="s">
        <v>3</v>
      </c>
      <c r="E17" s="210">
        <v>7573836</v>
      </c>
      <c r="F17" s="153">
        <v>708952</v>
      </c>
      <c r="G17" s="145">
        <v>1959726</v>
      </c>
      <c r="H17" s="145">
        <v>650054</v>
      </c>
      <c r="I17" s="145">
        <v>1779131</v>
      </c>
      <c r="J17" s="51">
        <f>H17-F17</f>
        <v>-58898</v>
      </c>
      <c r="K17" s="49">
        <f>H17/F17</f>
        <v>0.91692244326837358</v>
      </c>
      <c r="L17" s="203">
        <f>I17-G17</f>
        <v>-180595</v>
      </c>
      <c r="M17" s="56">
        <f>I17/G17</f>
        <v>0.90784681123789757</v>
      </c>
      <c r="O17" s="24"/>
    </row>
    <row r="18" spans="2:15" ht="20.100000000000001" customHeight="1">
      <c r="B18" s="256"/>
      <c r="C18" s="254"/>
      <c r="D18" s="54" t="s">
        <v>4</v>
      </c>
      <c r="E18" s="210">
        <v>3038937</v>
      </c>
      <c r="F18" s="153">
        <v>276850</v>
      </c>
      <c r="G18" s="145">
        <v>841220</v>
      </c>
      <c r="H18" s="145">
        <v>273105</v>
      </c>
      <c r="I18" s="145">
        <v>707354</v>
      </c>
      <c r="J18" s="51">
        <f>H18-F18</f>
        <v>-3745</v>
      </c>
      <c r="K18" s="49">
        <f>H18/F18</f>
        <v>0.98647281921618202</v>
      </c>
      <c r="L18" s="203">
        <f>I18-G18</f>
        <v>-133866</v>
      </c>
      <c r="M18" s="56">
        <f>I18/G18</f>
        <v>0.84086683626162007</v>
      </c>
    </row>
    <row r="19" spans="2:15" ht="20.100000000000001" customHeight="1">
      <c r="B19" s="256"/>
      <c r="C19" s="254"/>
      <c r="D19" s="54" t="s">
        <v>17</v>
      </c>
      <c r="E19" s="212">
        <v>0</v>
      </c>
      <c r="F19" s="212">
        <v>0</v>
      </c>
      <c r="G19" s="212">
        <v>0</v>
      </c>
      <c r="H19" s="212">
        <v>0</v>
      </c>
      <c r="I19" s="212">
        <v>0</v>
      </c>
      <c r="J19" s="212">
        <v>0</v>
      </c>
      <c r="K19" s="213">
        <v>0</v>
      </c>
      <c r="L19" s="220">
        <v>0</v>
      </c>
      <c r="M19" s="56" t="s">
        <v>109</v>
      </c>
    </row>
    <row r="20" spans="2:15" ht="20.100000000000001" customHeight="1" thickBot="1">
      <c r="B20" s="62"/>
      <c r="C20" s="83"/>
      <c r="D20" s="150"/>
      <c r="E20" s="200"/>
      <c r="F20" s="85"/>
      <c r="G20" s="85"/>
      <c r="H20" s="85"/>
      <c r="I20" s="84"/>
      <c r="J20" s="86"/>
      <c r="K20" s="267" t="s">
        <v>21</v>
      </c>
      <c r="L20" s="268"/>
      <c r="M20" s="269"/>
    </row>
    <row r="21" spans="2:15" ht="20.100000000000001" customHeight="1" thickBot="1">
      <c r="B21" s="270" t="s">
        <v>85</v>
      </c>
      <c r="C21" s="257" t="s">
        <v>8</v>
      </c>
      <c r="D21" s="258"/>
      <c r="E21" s="201">
        <v>924735.5</v>
      </c>
      <c r="F21" s="89">
        <f>SUM(F22,F26)</f>
        <v>79782</v>
      </c>
      <c r="G21" s="89">
        <f>SUM(G22,G26)</f>
        <v>205869</v>
      </c>
      <c r="H21" s="88">
        <f>SUM(H22,H26)</f>
        <v>82945</v>
      </c>
      <c r="I21" s="88">
        <f>SUM(I22,I26)</f>
        <v>217154</v>
      </c>
      <c r="J21" s="90">
        <f t="shared" si="0"/>
        <v>3163</v>
      </c>
      <c r="K21" s="91">
        <f t="shared" si="1"/>
        <v>1.039645534080369</v>
      </c>
      <c r="L21" s="221">
        <f t="shared" si="3"/>
        <v>11285</v>
      </c>
      <c r="M21" s="74">
        <f>I21/G21</f>
        <v>1.0548164123787458</v>
      </c>
    </row>
    <row r="22" spans="2:15" ht="20.100000000000001" customHeight="1">
      <c r="B22" s="256"/>
      <c r="C22" s="253" t="s">
        <v>1</v>
      </c>
      <c r="D22" s="78" t="s">
        <v>0</v>
      </c>
      <c r="E22" s="202">
        <v>924735.5</v>
      </c>
      <c r="F22" s="78">
        <f>SUM(F23:F25)</f>
        <v>79782</v>
      </c>
      <c r="G22" s="78">
        <f>SUM(G23:G25)</f>
        <v>205869</v>
      </c>
      <c r="H22" s="78">
        <f>SUM(H23:H25)</f>
        <v>82945</v>
      </c>
      <c r="I22" s="78">
        <f>SUM(I23:I25)</f>
        <v>217154</v>
      </c>
      <c r="J22" s="80">
        <f t="shared" si="0"/>
        <v>3163</v>
      </c>
      <c r="K22" s="87">
        <f t="shared" si="1"/>
        <v>1.039645534080369</v>
      </c>
      <c r="L22" s="218">
        <f t="shared" si="3"/>
        <v>11285</v>
      </c>
      <c r="M22" s="82">
        <f t="shared" si="2"/>
        <v>1.0548164123787458</v>
      </c>
    </row>
    <row r="23" spans="2:15" ht="20.100000000000001" customHeight="1">
      <c r="B23" s="256"/>
      <c r="C23" s="254"/>
      <c r="D23" s="59" t="s">
        <v>5</v>
      </c>
      <c r="E23" s="203">
        <v>453945.75</v>
      </c>
      <c r="F23" s="154">
        <v>40539</v>
      </c>
      <c r="G23" s="60">
        <v>103877</v>
      </c>
      <c r="H23" s="154">
        <v>42213</v>
      </c>
      <c r="I23" s="227">
        <v>108479</v>
      </c>
      <c r="J23" s="51">
        <f>H23-F23</f>
        <v>1674</v>
      </c>
      <c r="K23" s="50">
        <f>H23/F23</f>
        <v>1.041293569155628</v>
      </c>
      <c r="L23" s="203">
        <f>I23-G23</f>
        <v>4602</v>
      </c>
      <c r="M23" s="56">
        <f>I23/G23</f>
        <v>1.0443023961030835</v>
      </c>
    </row>
    <row r="24" spans="2:15" ht="20.100000000000001" customHeight="1">
      <c r="B24" s="256"/>
      <c r="C24" s="254"/>
      <c r="D24" s="58" t="s">
        <v>14</v>
      </c>
      <c r="E24" s="204">
        <v>456908.25</v>
      </c>
      <c r="F24" s="155">
        <v>38408</v>
      </c>
      <c r="G24" s="60">
        <v>99595</v>
      </c>
      <c r="H24" s="155">
        <v>38851</v>
      </c>
      <c r="I24" s="227">
        <v>105179</v>
      </c>
      <c r="J24" s="51">
        <f t="shared" ref="J24:J25" si="5">H24-F24</f>
        <v>443</v>
      </c>
      <c r="K24" s="50">
        <f>H24/F24</f>
        <v>1.011534055405124</v>
      </c>
      <c r="L24" s="203">
        <f>I24-G24</f>
        <v>5584</v>
      </c>
      <c r="M24" s="56">
        <f>I24/G24</f>
        <v>1.0560670716401426</v>
      </c>
    </row>
    <row r="25" spans="2:15" ht="20.100000000000001" customHeight="1">
      <c r="B25" s="256"/>
      <c r="C25" s="254"/>
      <c r="D25" s="58" t="s">
        <v>13</v>
      </c>
      <c r="E25" s="192">
        <v>13881.5</v>
      </c>
      <c r="F25" s="156">
        <v>835</v>
      </c>
      <c r="G25" s="227">
        <v>2397</v>
      </c>
      <c r="H25" s="156">
        <v>1881</v>
      </c>
      <c r="I25" s="227">
        <v>3496</v>
      </c>
      <c r="J25" s="51">
        <f t="shared" si="5"/>
        <v>1046</v>
      </c>
      <c r="K25" s="50">
        <f t="shared" si="1"/>
        <v>2.2526946107784429</v>
      </c>
      <c r="L25" s="203">
        <f t="shared" si="3"/>
        <v>1099</v>
      </c>
      <c r="M25" s="56">
        <f t="shared" si="2"/>
        <v>1.4584897788902795</v>
      </c>
    </row>
    <row r="26" spans="2:15" ht="20.100000000000001" customHeight="1">
      <c r="B26" s="256"/>
      <c r="C26" s="254" t="s">
        <v>2</v>
      </c>
      <c r="D26" s="54" t="s">
        <v>49</v>
      </c>
      <c r="E26" s="205">
        <v>0</v>
      </c>
      <c r="F26" s="55">
        <f>SUM(F27:F28)</f>
        <v>0</v>
      </c>
      <c r="G26" s="55">
        <f>SUM(G27:G28)</f>
        <v>0</v>
      </c>
      <c r="H26" s="55">
        <v>0</v>
      </c>
      <c r="I26" s="55">
        <f>SUM(I27:I28)</f>
        <v>0</v>
      </c>
      <c r="J26" s="61">
        <f t="shared" si="0"/>
        <v>0</v>
      </c>
      <c r="K26" s="55">
        <v>0</v>
      </c>
      <c r="L26" s="222">
        <f t="shared" si="3"/>
        <v>0</v>
      </c>
      <c r="M26" s="63">
        <v>0</v>
      </c>
    </row>
    <row r="27" spans="2:15" ht="20.100000000000001" customHeight="1">
      <c r="B27" s="256"/>
      <c r="C27" s="254"/>
      <c r="D27" s="54" t="s">
        <v>49</v>
      </c>
      <c r="E27" s="192">
        <v>0</v>
      </c>
      <c r="F27" s="59">
        <v>0</v>
      </c>
      <c r="G27" s="59">
        <v>0</v>
      </c>
      <c r="H27" s="59">
        <v>0</v>
      </c>
      <c r="I27" s="59">
        <v>0</v>
      </c>
      <c r="J27" s="61">
        <f t="shared" si="0"/>
        <v>0</v>
      </c>
      <c r="K27" s="55">
        <v>0</v>
      </c>
      <c r="L27" s="222">
        <f t="shared" si="3"/>
        <v>0</v>
      </c>
      <c r="M27" s="63">
        <v>0</v>
      </c>
    </row>
    <row r="28" spans="2:15" ht="20.100000000000001" customHeight="1" thickBot="1">
      <c r="B28" s="256"/>
      <c r="C28" s="254"/>
      <c r="D28" s="54" t="s">
        <v>49</v>
      </c>
      <c r="E28" s="206">
        <v>0</v>
      </c>
      <c r="F28" s="92">
        <v>0</v>
      </c>
      <c r="G28" s="92">
        <v>0</v>
      </c>
      <c r="H28" s="92">
        <v>0</v>
      </c>
      <c r="I28" s="92">
        <v>0</v>
      </c>
      <c r="J28" s="93">
        <f t="shared" si="0"/>
        <v>0</v>
      </c>
      <c r="K28" s="94">
        <v>0</v>
      </c>
      <c r="L28" s="223">
        <f t="shared" si="3"/>
        <v>0</v>
      </c>
      <c r="M28" s="95">
        <v>0</v>
      </c>
    </row>
    <row r="29" spans="2:15" s="22" customFormat="1" ht="20.100000000000001" customHeight="1" thickBot="1">
      <c r="B29" s="264" t="s">
        <v>47</v>
      </c>
      <c r="C29" s="265"/>
      <c r="D29" s="266"/>
      <c r="E29" s="228">
        <v>1560628</v>
      </c>
      <c r="F29" s="229">
        <v>142013</v>
      </c>
      <c r="G29" s="229">
        <v>389682</v>
      </c>
      <c r="H29" s="229">
        <v>141523</v>
      </c>
      <c r="I29" s="229">
        <v>359848</v>
      </c>
      <c r="J29" s="166">
        <f>H29-F29</f>
        <v>-490</v>
      </c>
      <c r="K29" s="167">
        <f t="shared" si="1"/>
        <v>0.99654961165527101</v>
      </c>
      <c r="L29" s="224">
        <f t="shared" si="3"/>
        <v>-29834</v>
      </c>
      <c r="M29" s="168">
        <f>I29/G29</f>
        <v>0.92344013836923444</v>
      </c>
    </row>
    <row r="30" spans="2:15" ht="12.75" customHeight="1">
      <c r="B30" s="5"/>
      <c r="C30" s="5"/>
      <c r="D30" s="5"/>
      <c r="E30" s="207"/>
      <c r="F30" s="7"/>
      <c r="G30" s="7"/>
      <c r="H30" s="7"/>
      <c r="I30" s="7"/>
      <c r="J30" s="6"/>
      <c r="K30" s="8"/>
      <c r="L30" s="225"/>
      <c r="M30" s="9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9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94" orientation="landscape" verticalDpi="597" r:id="rId1"/>
  <headerFooter alignWithMargins="0"/>
  <ignoredErrors>
    <ignoredError sqref="F26:G26 H22 I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C32"/>
  <sheetViews>
    <sheetView showGridLines="0" zoomScaleNormal="100" workbookViewId="0">
      <selection activeCell="H7" sqref="H7"/>
    </sheetView>
  </sheetViews>
  <sheetFormatPr defaultRowHeight="14.25"/>
  <cols>
    <col min="1" max="1" width="3.625" customWidth="1"/>
    <col min="2" max="8" width="10.125" customWidth="1"/>
    <col min="9" max="9" width="3.625" style="39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4"/>
      <c r="D2" s="34"/>
      <c r="E2" s="34"/>
      <c r="F2" s="34"/>
      <c r="G2" s="34"/>
      <c r="H2" s="34"/>
      <c r="I2" s="40"/>
      <c r="J2" s="34"/>
      <c r="K2" s="34"/>
      <c r="L2" s="34"/>
      <c r="M2" s="34"/>
      <c r="N2" s="34"/>
      <c r="O2" s="34"/>
      <c r="P2" s="34"/>
      <c r="Q2" s="34"/>
      <c r="R2" s="34"/>
    </row>
    <row r="3" spans="2:29" ht="42.95" customHeight="1">
      <c r="B3" s="276" t="s">
        <v>86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34"/>
      <c r="R3" s="34"/>
    </row>
    <row r="4" spans="2:29" s="11" customFormat="1" ht="21" customHeight="1">
      <c r="B4" s="10"/>
      <c r="I4" s="41"/>
    </row>
    <row r="5" spans="2:29" s="11" customFormat="1" ht="21" customHeight="1" thickBot="1">
      <c r="B5"/>
      <c r="C5"/>
      <c r="D5"/>
      <c r="E5" s="37"/>
      <c r="F5" s="37"/>
      <c r="G5" s="279" t="s">
        <v>50</v>
      </c>
      <c r="H5" s="279"/>
      <c r="I5" s="38"/>
      <c r="J5"/>
      <c r="K5"/>
      <c r="L5"/>
      <c r="M5" s="37"/>
      <c r="N5" s="37"/>
      <c r="O5" s="279" t="s">
        <v>87</v>
      </c>
      <c r="P5" s="279"/>
    </row>
    <row r="6" spans="2:29" s="11" customFormat="1" ht="32.25" customHeight="1">
      <c r="B6" s="127" t="s">
        <v>93</v>
      </c>
      <c r="C6" s="128">
        <v>2020</v>
      </c>
      <c r="D6" s="128">
        <v>2021</v>
      </c>
      <c r="E6" s="128">
        <v>2022</v>
      </c>
      <c r="F6" s="135">
        <v>2023</v>
      </c>
      <c r="G6" s="135">
        <v>2024</v>
      </c>
      <c r="H6" s="137" t="s">
        <v>107</v>
      </c>
      <c r="I6" s="42"/>
      <c r="J6" s="127" t="s">
        <v>93</v>
      </c>
      <c r="K6" s="128">
        <v>2020</v>
      </c>
      <c r="L6" s="128">
        <v>2021</v>
      </c>
      <c r="M6" s="128">
        <v>2022</v>
      </c>
      <c r="N6" s="135">
        <v>2023</v>
      </c>
      <c r="O6" s="135">
        <v>2024</v>
      </c>
      <c r="P6" s="140" t="str">
        <f>$H$6</f>
        <v>2025.3.</v>
      </c>
    </row>
    <row r="7" spans="2:29" s="11" customFormat="1" ht="39.200000000000003" customHeight="1" thickBot="1">
      <c r="B7" s="129" t="s">
        <v>91</v>
      </c>
      <c r="C7" s="130">
        <v>17409</v>
      </c>
      <c r="D7" s="130">
        <v>16473</v>
      </c>
      <c r="E7" s="130">
        <v>16626</v>
      </c>
      <c r="F7" s="136">
        <v>17324</v>
      </c>
      <c r="G7" s="136">
        <v>17502</v>
      </c>
      <c r="H7" s="138">
        <f>통계요약!I8</f>
        <v>4248</v>
      </c>
      <c r="I7" s="43"/>
      <c r="J7" s="131" t="s">
        <v>90</v>
      </c>
      <c r="K7" s="132">
        <v>106847350</v>
      </c>
      <c r="L7" s="132">
        <v>116876152</v>
      </c>
      <c r="M7" s="132">
        <v>116171568</v>
      </c>
      <c r="N7" s="139">
        <v>116607017</v>
      </c>
      <c r="O7" s="151">
        <v>116714212</v>
      </c>
      <c r="P7" s="141">
        <f>통계요약!I11</f>
        <v>28162337</v>
      </c>
    </row>
    <row r="8" spans="2:29" s="11" customFormat="1" ht="21" customHeight="1" thickBot="1">
      <c r="B8"/>
      <c r="C8"/>
      <c r="D8"/>
      <c r="E8" s="37"/>
      <c r="F8" s="37"/>
      <c r="G8" s="279" t="s">
        <v>88</v>
      </c>
      <c r="H8" s="279"/>
      <c r="I8" s="38"/>
      <c r="J8" s="12"/>
      <c r="K8" s="13"/>
      <c r="L8" s="13"/>
      <c r="M8" s="37"/>
      <c r="N8" s="37"/>
      <c r="O8" s="279" t="s">
        <v>89</v>
      </c>
      <c r="P8" s="279"/>
    </row>
    <row r="9" spans="2:29" s="11" customFormat="1" ht="32.25" customHeight="1">
      <c r="B9" s="127" t="s">
        <v>93</v>
      </c>
      <c r="C9" s="128">
        <v>2019</v>
      </c>
      <c r="D9" s="128">
        <v>2020</v>
      </c>
      <c r="E9" s="128">
        <v>2021</v>
      </c>
      <c r="F9" s="135">
        <v>2022</v>
      </c>
      <c r="G9" s="135">
        <v>2023</v>
      </c>
      <c r="H9" s="140" t="str">
        <f>$H$6</f>
        <v>2025.3.</v>
      </c>
      <c r="I9" s="44"/>
      <c r="J9" s="127" t="s">
        <v>93</v>
      </c>
      <c r="K9" s="128">
        <v>2020</v>
      </c>
      <c r="L9" s="128">
        <v>2021</v>
      </c>
      <c r="M9" s="128">
        <v>2022</v>
      </c>
      <c r="N9" s="135">
        <v>2023</v>
      </c>
      <c r="O9" s="135">
        <v>2024</v>
      </c>
      <c r="P9" s="140" t="str">
        <f>$H$6</f>
        <v>2025.3.</v>
      </c>
    </row>
    <row r="10" spans="2:29" s="11" customFormat="1" ht="37.5" customHeight="1" thickBot="1">
      <c r="B10" s="133" t="s">
        <v>22</v>
      </c>
      <c r="C10" s="134">
        <v>792643</v>
      </c>
      <c r="D10" s="134">
        <v>936246</v>
      </c>
      <c r="E10" s="134">
        <v>851953</v>
      </c>
      <c r="F10" s="142">
        <v>820289</v>
      </c>
      <c r="G10" s="136">
        <v>924735.5</v>
      </c>
      <c r="H10" s="143">
        <f>통계요약!I21</f>
        <v>217154</v>
      </c>
      <c r="I10" s="45"/>
      <c r="J10" s="133" t="s">
        <v>92</v>
      </c>
      <c r="K10" s="130">
        <v>40267</v>
      </c>
      <c r="L10" s="130">
        <v>0</v>
      </c>
      <c r="M10" s="130">
        <v>0</v>
      </c>
      <c r="N10" s="136">
        <v>0</v>
      </c>
      <c r="O10" s="136">
        <v>0</v>
      </c>
      <c r="P10" s="143">
        <v>0</v>
      </c>
      <c r="S10" s="21" t="s">
        <v>100</v>
      </c>
      <c r="AC10" s="21"/>
    </row>
    <row r="11" spans="2:29" ht="21" customHeight="1"/>
    <row r="12" spans="2:29" s="18" customFormat="1" ht="21" customHeight="1">
      <c r="B12" s="278" t="s">
        <v>97</v>
      </c>
      <c r="C12" s="278"/>
      <c r="D12" s="278"/>
      <c r="I12" s="46"/>
    </row>
    <row r="13" spans="2:29" s="11" customFormat="1" ht="21" customHeight="1">
      <c r="B13" s="277" t="s">
        <v>94</v>
      </c>
      <c r="C13" s="277"/>
      <c r="I13" s="41"/>
      <c r="J13" s="277" t="s">
        <v>95</v>
      </c>
      <c r="K13" s="277"/>
      <c r="L13" s="15"/>
      <c r="M13" s="16"/>
      <c r="N13" s="17"/>
      <c r="O13" s="17"/>
      <c r="P13" s="17"/>
    </row>
    <row r="14" spans="2:29" s="11" customFormat="1" ht="21" customHeight="1">
      <c r="I14" s="41"/>
      <c r="K14" s="14"/>
      <c r="L14" s="15"/>
      <c r="M14" s="16"/>
      <c r="N14" s="17"/>
      <c r="O14" s="17"/>
      <c r="P14" s="17"/>
    </row>
    <row r="15" spans="2:29" s="11" customFormat="1" ht="21" customHeight="1">
      <c r="I15" s="41"/>
      <c r="K15" s="14"/>
      <c r="L15" s="15"/>
      <c r="M15" s="16"/>
      <c r="N15" s="17"/>
      <c r="O15" s="17"/>
      <c r="P15" s="17"/>
    </row>
    <row r="16" spans="2:29" s="11" customFormat="1" ht="21" customHeight="1">
      <c r="I16" s="41"/>
      <c r="K16" s="14"/>
      <c r="L16" s="15"/>
      <c r="M16" s="16"/>
      <c r="N16" s="17"/>
      <c r="O16" s="17"/>
      <c r="P16" s="17"/>
    </row>
    <row r="17" spans="2:16" s="11" customFormat="1" ht="21" customHeight="1">
      <c r="I17" s="41"/>
      <c r="K17" s="14"/>
      <c r="L17" s="15"/>
      <c r="M17" s="16"/>
      <c r="N17" s="17"/>
      <c r="O17" s="17"/>
      <c r="P17" s="17"/>
    </row>
    <row r="18" spans="2:16" s="11" customFormat="1" ht="21" customHeight="1">
      <c r="I18" s="41"/>
      <c r="K18" s="14"/>
      <c r="L18" s="15"/>
      <c r="M18" s="16"/>
      <c r="N18" s="17"/>
      <c r="O18" s="17"/>
      <c r="P18" s="17"/>
    </row>
    <row r="19" spans="2:16" s="11" customFormat="1" ht="21" customHeight="1">
      <c r="I19" s="41"/>
      <c r="K19" s="14"/>
      <c r="L19" s="15"/>
      <c r="M19" s="16"/>
      <c r="N19" s="17"/>
      <c r="O19" s="17"/>
      <c r="P19" s="17"/>
    </row>
    <row r="20" spans="2:16" s="11" customFormat="1" ht="21" customHeight="1">
      <c r="I20" s="41"/>
      <c r="K20" s="14"/>
      <c r="L20" s="15"/>
      <c r="M20" s="16"/>
      <c r="N20" s="17"/>
      <c r="O20" s="17"/>
      <c r="P20" s="17"/>
    </row>
    <row r="21" spans="2:16" s="11" customFormat="1" ht="21" customHeight="1">
      <c r="I21" s="41"/>
      <c r="K21" s="14"/>
      <c r="L21" s="15"/>
      <c r="M21" s="16"/>
      <c r="N21" s="17"/>
      <c r="O21" s="17"/>
      <c r="P21" s="17"/>
    </row>
    <row r="22" spans="2:16" s="11" customFormat="1" ht="21" customHeight="1">
      <c r="I22" s="41"/>
      <c r="K22" s="14"/>
      <c r="L22" s="15"/>
      <c r="M22" s="16"/>
      <c r="N22" s="17"/>
      <c r="O22" s="17"/>
      <c r="P22" s="17"/>
    </row>
    <row r="23" spans="2:16" s="11" customFormat="1" ht="21" customHeight="1">
      <c r="B23" s="277" t="s">
        <v>96</v>
      </c>
      <c r="C23" s="277"/>
      <c r="I23" s="41"/>
      <c r="J23" s="277" t="s">
        <v>98</v>
      </c>
      <c r="K23" s="277"/>
      <c r="L23" s="15"/>
      <c r="M23" s="16"/>
      <c r="N23" s="17"/>
      <c r="O23" s="17"/>
      <c r="P23" s="17"/>
    </row>
    <row r="24" spans="2:16" s="11" customFormat="1" ht="21" customHeight="1">
      <c r="I24" s="41"/>
      <c r="K24" s="14"/>
      <c r="L24" s="15"/>
      <c r="M24" s="16"/>
      <c r="N24" s="17"/>
      <c r="O24" s="17"/>
      <c r="P24" s="17"/>
    </row>
    <row r="25" spans="2:16" s="11" customFormat="1" ht="21" customHeight="1">
      <c r="I25" s="41"/>
      <c r="K25" s="14"/>
      <c r="L25" s="15"/>
      <c r="M25" s="16"/>
      <c r="N25" s="17"/>
      <c r="O25" s="17"/>
      <c r="P25" s="17"/>
    </row>
    <row r="26" spans="2:16" s="11" customFormat="1" ht="21" customHeight="1">
      <c r="I26" s="41"/>
      <c r="K26" s="14"/>
      <c r="L26" s="15"/>
      <c r="M26" s="16"/>
      <c r="N26" s="17"/>
      <c r="O26" s="17"/>
      <c r="P26" s="17"/>
    </row>
    <row r="27" spans="2:16" s="11" customFormat="1" ht="21" customHeight="1">
      <c r="I27" s="41"/>
      <c r="K27" s="14"/>
      <c r="L27" s="15"/>
      <c r="M27" s="16"/>
      <c r="N27" s="17"/>
      <c r="O27" s="17"/>
      <c r="P27" s="17"/>
    </row>
    <row r="28" spans="2:16" s="11" customFormat="1" ht="21" customHeight="1">
      <c r="I28" s="41"/>
      <c r="K28" s="14"/>
      <c r="L28" s="15"/>
      <c r="M28" s="16"/>
      <c r="N28" s="17"/>
      <c r="O28" s="17"/>
      <c r="P28" s="17"/>
    </row>
    <row r="29" spans="2:16" s="11" customFormat="1" ht="21" customHeight="1">
      <c r="I29" s="41"/>
      <c r="K29" s="14"/>
      <c r="L29" s="15"/>
      <c r="M29" s="16"/>
      <c r="N29" s="17"/>
      <c r="O29" s="17"/>
      <c r="P29" s="17"/>
    </row>
    <row r="30" spans="2:16" s="11" customFormat="1" ht="21" customHeight="1">
      <c r="I30" s="41"/>
      <c r="K30" s="14"/>
      <c r="L30" s="15"/>
      <c r="M30" s="16"/>
      <c r="N30" s="17"/>
      <c r="O30" s="17"/>
      <c r="P30" s="17"/>
    </row>
    <row r="31" spans="2:16" s="11" customFormat="1" ht="21" customHeight="1">
      <c r="I31" s="41"/>
      <c r="K31" s="14"/>
      <c r="L31" s="15"/>
      <c r="M31" s="16"/>
      <c r="N31" s="17"/>
      <c r="O31" s="17"/>
      <c r="P31" s="17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44"/>
  <sheetViews>
    <sheetView showGridLines="0" zoomScale="95" zoomScaleNormal="95" workbookViewId="0">
      <selection activeCell="H37" sqref="H37"/>
    </sheetView>
  </sheetViews>
  <sheetFormatPr defaultColWidth="10" defaultRowHeight="13.5"/>
  <cols>
    <col min="1" max="1" width="3.625" style="19" customWidth="1"/>
    <col min="2" max="2" width="17.25" style="27" bestFit="1" customWidth="1"/>
    <col min="3" max="4" width="12.625" style="19" customWidth="1"/>
    <col min="5" max="5" width="12.625" style="27" customWidth="1"/>
    <col min="6" max="6" width="12.625" style="186" customWidth="1"/>
    <col min="7" max="7" width="12.625" style="181" customWidth="1"/>
    <col min="8" max="8" width="13.5" style="181" customWidth="1"/>
    <col min="9" max="9" width="12.625" style="173" customWidth="1"/>
    <col min="10" max="12" width="12.625" style="19" customWidth="1"/>
    <col min="13" max="14" width="10" style="19"/>
    <col min="15" max="15" width="0" style="19" hidden="1" customWidth="1"/>
    <col min="16" max="16" width="10.25" style="19" bestFit="1" customWidth="1"/>
    <col min="17" max="17" width="11.5" style="19" bestFit="1" customWidth="1"/>
    <col min="18" max="18" width="10.25" style="19" bestFit="1" customWidth="1"/>
    <col min="19" max="19" width="11.25" style="19" bestFit="1" customWidth="1"/>
    <col min="20" max="20" width="7.75" style="19" customWidth="1"/>
    <col min="21" max="21" width="6.875" style="19" customWidth="1"/>
    <col min="22" max="16384" width="10" style="19"/>
  </cols>
  <sheetData>
    <row r="1" spans="1:35" customFormat="1" ht="13.5" customHeight="1">
      <c r="B1" s="36"/>
      <c r="F1" s="185"/>
      <c r="G1" s="174"/>
      <c r="H1" s="175"/>
      <c r="I1" s="170"/>
    </row>
    <row r="2" spans="1:35" customFormat="1" ht="13.5" customHeight="1">
      <c r="B2" s="35"/>
      <c r="C2" s="34"/>
      <c r="D2" s="34"/>
      <c r="E2" s="34"/>
      <c r="F2" s="186"/>
      <c r="G2" s="176"/>
      <c r="H2" s="176"/>
      <c r="I2" s="171"/>
      <c r="J2" s="34"/>
      <c r="K2" s="34"/>
      <c r="L2" s="34"/>
    </row>
    <row r="3" spans="1:35" customFormat="1" ht="42.95" customHeight="1">
      <c r="B3" s="259" t="s">
        <v>108</v>
      </c>
      <c r="C3" s="260"/>
      <c r="D3" s="260"/>
      <c r="E3" s="260"/>
      <c r="F3" s="260"/>
      <c r="G3" s="260"/>
      <c r="H3" s="260"/>
      <c r="I3" s="260"/>
      <c r="J3" s="260"/>
      <c r="K3" s="260"/>
      <c r="L3" s="261"/>
    </row>
    <row r="4" spans="1:35" ht="13.5" customHeight="1">
      <c r="A4" s="20"/>
      <c r="C4" s="23"/>
      <c r="D4" s="23"/>
      <c r="E4" s="26"/>
      <c r="F4" s="187"/>
      <c r="G4" s="177"/>
      <c r="H4" s="178"/>
      <c r="I4" s="172"/>
    </row>
    <row r="5" spans="1:35" ht="13.5" customHeight="1">
      <c r="A5" s="20"/>
      <c r="C5" s="23"/>
      <c r="D5" s="23"/>
      <c r="E5" s="26"/>
      <c r="F5" s="187"/>
      <c r="G5" s="177"/>
      <c r="H5" s="178"/>
      <c r="I5" s="172"/>
    </row>
    <row r="6" spans="1:35" ht="21.95" customHeight="1">
      <c r="B6" s="280" t="s">
        <v>23</v>
      </c>
      <c r="C6" s="288" t="s">
        <v>24</v>
      </c>
      <c r="D6" s="286" t="s">
        <v>99</v>
      </c>
      <c r="E6" s="286"/>
      <c r="F6" s="286"/>
      <c r="G6" s="290" t="s">
        <v>101</v>
      </c>
      <c r="H6" s="290"/>
      <c r="I6" s="286" t="s">
        <v>25</v>
      </c>
      <c r="J6" s="286"/>
      <c r="K6" s="286"/>
      <c r="L6" s="287"/>
      <c r="X6" s="19" t="s">
        <v>83</v>
      </c>
    </row>
    <row r="7" spans="1:35" ht="21.95" customHeight="1" thickBot="1">
      <c r="B7" s="281"/>
      <c r="C7" s="289"/>
      <c r="D7" s="107" t="s">
        <v>26</v>
      </c>
      <c r="E7" s="107" t="str">
        <f>통계요약!F7</f>
        <v>3월(A)</v>
      </c>
      <c r="F7" s="188" t="str">
        <f>통계요약!G7</f>
        <v xml:space="preserve">3월누계(B) </v>
      </c>
      <c r="G7" s="179" t="str">
        <f>통계요약!H7</f>
        <v>3월(C)</v>
      </c>
      <c r="H7" s="180" t="str">
        <f>통계요약!I7</f>
        <v xml:space="preserve">3월누계(D) </v>
      </c>
      <c r="I7" s="107" t="s">
        <v>27</v>
      </c>
      <c r="J7" s="108" t="s">
        <v>28</v>
      </c>
      <c r="K7" s="109" t="s">
        <v>29</v>
      </c>
      <c r="L7" s="110" t="s">
        <v>28</v>
      </c>
    </row>
    <row r="8" spans="1:35" ht="21.95" customHeight="1">
      <c r="B8" s="282" t="s">
        <v>30</v>
      </c>
      <c r="C8" s="111" t="s">
        <v>31</v>
      </c>
      <c r="D8" s="112">
        <v>924735.5</v>
      </c>
      <c r="E8" s="112">
        <f>SUM(E10,E12,E14,E16,E18,E20,E22,E26,E24,E30,E32,E34,E36,E28)</f>
        <v>79782</v>
      </c>
      <c r="F8" s="189">
        <f>SUM(F10,F12,F14,F16,F18,F20,F22,F26,F24,F30,F32,F34,F36,F28)</f>
        <v>205869</v>
      </c>
      <c r="G8" s="112">
        <f>SUM(G10,G12,G14,G16,G18,G20,G22,G26,G24,G28,G32,G34,G36,G30)</f>
        <v>82946</v>
      </c>
      <c r="H8" s="183">
        <f>SUM(H10,H12,H14,H16,H18,H20,H22,H26,H24,H30,H32,H34,H36,H28,)</f>
        <v>217154</v>
      </c>
      <c r="I8" s="113">
        <f t="shared" ref="I8:I9" si="0">G8-E8</f>
        <v>3164</v>
      </c>
      <c r="J8" s="114">
        <f t="shared" ref="J8:J9" si="1">(G8/E8*100)-100</f>
        <v>3.965806823594292</v>
      </c>
      <c r="K8" s="115">
        <f t="shared" ref="K8:K9" si="2">H8-F8</f>
        <v>11285</v>
      </c>
      <c r="L8" s="116">
        <f t="shared" ref="L8:L9" si="3">(H8/F8*100)-100</f>
        <v>5.4816412378745838</v>
      </c>
    </row>
    <row r="9" spans="1:35" ht="21.95" customHeight="1" thickBot="1">
      <c r="B9" s="283"/>
      <c r="C9" s="117" t="s">
        <v>32</v>
      </c>
      <c r="D9" s="118">
        <v>14055928</v>
      </c>
      <c r="E9" s="118">
        <f>SUM(E11,E13,E15,E17,E19,E21,E23,E25,E27,E31,E33,E35,E37,E29)</f>
        <v>1186725</v>
      </c>
      <c r="F9" s="190">
        <f>SUM(F11,F13,F15,F17,F19,F21,F23,F25,F27,F31,F33,F35,F37,F29)</f>
        <v>3108251</v>
      </c>
      <c r="G9" s="118">
        <f>SUM(G11,G13,G15,G17,G19,G21,G23,G25,G27,G29,G33,G35,G37,G31)</f>
        <v>1299340</v>
      </c>
      <c r="H9" s="184">
        <f>SUM(H11,H13,H15,H17,H19,H21,H23,H25,H27,H31,H33,H35,H37,H29)</f>
        <v>3367288</v>
      </c>
      <c r="I9" s="119">
        <f t="shared" si="0"/>
        <v>112615</v>
      </c>
      <c r="J9" s="120">
        <f t="shared" si="1"/>
        <v>9.4895616086287902</v>
      </c>
      <c r="K9" s="121">
        <f t="shared" si="2"/>
        <v>259037</v>
      </c>
      <c r="L9" s="122">
        <f t="shared" si="3"/>
        <v>8.3338507733127045</v>
      </c>
    </row>
    <row r="10" spans="1:35" ht="21.2" customHeight="1">
      <c r="B10" s="284" t="s">
        <v>33</v>
      </c>
      <c r="C10" s="146" t="s">
        <v>31</v>
      </c>
      <c r="D10" s="230">
        <v>53912</v>
      </c>
      <c r="E10" s="231">
        <v>4876</v>
      </c>
      <c r="F10" s="232">
        <v>12844</v>
      </c>
      <c r="G10" s="231">
        <v>4604</v>
      </c>
      <c r="H10" s="231">
        <v>13137</v>
      </c>
      <c r="I10" s="163">
        <f>IFERROR(G10-E10,"-")</f>
        <v>-272</v>
      </c>
      <c r="J10" s="147">
        <f>IFERROR((G10/E10*100)-100,"-")</f>
        <v>-5.5783429040196779</v>
      </c>
      <c r="K10" s="148">
        <f>IFERROR(H10-F10,"-")</f>
        <v>293</v>
      </c>
      <c r="L10" s="149">
        <f>IFERROR((H10/F10*100)-100,"-")</f>
        <v>2.2812208034879973</v>
      </c>
      <c r="M10" s="25"/>
      <c r="O10" s="19" t="s">
        <v>51</v>
      </c>
      <c r="U10" s="144"/>
      <c r="V10" s="144"/>
    </row>
    <row r="11" spans="1:35" ht="21.2" customHeight="1">
      <c r="B11" s="285"/>
      <c r="C11" s="159" t="s">
        <v>32</v>
      </c>
      <c r="D11" s="233">
        <v>998726</v>
      </c>
      <c r="E11" s="234">
        <v>92029</v>
      </c>
      <c r="F11" s="235">
        <v>239271</v>
      </c>
      <c r="G11" s="234">
        <v>83983</v>
      </c>
      <c r="H11" s="234">
        <v>237788</v>
      </c>
      <c r="I11" s="164">
        <f t="shared" ref="I11:I12" si="4">IFERROR(G11-E11,"-")</f>
        <v>-8046</v>
      </c>
      <c r="J11" s="160">
        <f t="shared" ref="J11:J37" si="5">IFERROR((G11/E11*100)-100,"-")</f>
        <v>-8.7428962609612171</v>
      </c>
      <c r="K11" s="161">
        <f t="shared" ref="K11:K37" si="6">IFERROR(H11-F11,"-")</f>
        <v>-1483</v>
      </c>
      <c r="L11" s="162">
        <f t="shared" ref="L11:L37" si="7">IFERROR((H11/F11*100)-100,"-")</f>
        <v>-0.61979930706186792</v>
      </c>
      <c r="O11" s="19" t="s">
        <v>51</v>
      </c>
      <c r="U11" s="144"/>
      <c r="V11" s="144"/>
    </row>
    <row r="12" spans="1:35" ht="21.2" customHeight="1">
      <c r="B12" s="285" t="s">
        <v>34</v>
      </c>
      <c r="C12" s="123" t="s">
        <v>31</v>
      </c>
      <c r="D12" s="236">
        <v>57203</v>
      </c>
      <c r="E12" s="237">
        <v>4392</v>
      </c>
      <c r="F12" s="238">
        <v>11566</v>
      </c>
      <c r="G12" s="237">
        <v>6234</v>
      </c>
      <c r="H12" s="237">
        <v>15006</v>
      </c>
      <c r="I12" s="165">
        <f t="shared" si="4"/>
        <v>1842</v>
      </c>
      <c r="J12" s="124">
        <f t="shared" si="5"/>
        <v>41.939890710382514</v>
      </c>
      <c r="K12" s="125">
        <f t="shared" si="6"/>
        <v>3440</v>
      </c>
      <c r="L12" s="126">
        <f t="shared" si="7"/>
        <v>29.742348262147686</v>
      </c>
      <c r="O12" s="19" t="s">
        <v>52</v>
      </c>
      <c r="U12" s="144"/>
      <c r="V12" s="144"/>
      <c r="AC12" s="29" t="s">
        <v>76</v>
      </c>
      <c r="AD12" s="29" t="s">
        <v>77</v>
      </c>
      <c r="AE12" s="29" t="s">
        <v>78</v>
      </c>
      <c r="AF12" s="29" t="s">
        <v>79</v>
      </c>
      <c r="AG12" s="29" t="s">
        <v>80</v>
      </c>
    </row>
    <row r="13" spans="1:35" ht="21.2" customHeight="1">
      <c r="B13" s="285"/>
      <c r="C13" s="159" t="s">
        <v>32</v>
      </c>
      <c r="D13" s="233">
        <v>821405</v>
      </c>
      <c r="E13" s="234">
        <v>60082</v>
      </c>
      <c r="F13" s="235">
        <v>163090</v>
      </c>
      <c r="G13" s="234">
        <v>96781</v>
      </c>
      <c r="H13" s="234">
        <v>244685</v>
      </c>
      <c r="I13" s="164">
        <f>IFERROR(G13-E13,"-")</f>
        <v>36699</v>
      </c>
      <c r="J13" s="160">
        <f t="shared" si="5"/>
        <v>61.081521920042604</v>
      </c>
      <c r="K13" s="161">
        <f t="shared" si="6"/>
        <v>81595</v>
      </c>
      <c r="L13" s="162">
        <f t="shared" si="7"/>
        <v>50.030657918940449</v>
      </c>
      <c r="O13" s="19" t="s">
        <v>52</v>
      </c>
      <c r="U13" s="144"/>
      <c r="V13" s="144"/>
      <c r="AC13" s="28" t="s">
        <v>81</v>
      </c>
      <c r="AD13" s="30">
        <f>E10+E12</f>
        <v>9268</v>
      </c>
      <c r="AE13" s="30">
        <f>F10+F12</f>
        <v>24410</v>
      </c>
      <c r="AF13" s="30">
        <f>G10+G12</f>
        <v>10838</v>
      </c>
      <c r="AG13" s="30">
        <f>H10+H12</f>
        <v>28143</v>
      </c>
      <c r="AH13" s="31">
        <f t="shared" ref="AH13:AI15" si="8">(AF13/AD13*100)-100</f>
        <v>16.940008631851526</v>
      </c>
      <c r="AI13" s="31">
        <f t="shared" si="8"/>
        <v>15.292912740680052</v>
      </c>
    </row>
    <row r="14" spans="1:35" ht="21.2" customHeight="1">
      <c r="B14" s="285" t="s">
        <v>72</v>
      </c>
      <c r="C14" s="123" t="s">
        <v>31</v>
      </c>
      <c r="D14" s="236">
        <v>9</v>
      </c>
      <c r="E14" s="239">
        <v>0</v>
      </c>
      <c r="F14" s="239">
        <v>0</v>
      </c>
      <c r="G14" s="239">
        <v>0</v>
      </c>
      <c r="H14" s="239">
        <v>0</v>
      </c>
      <c r="I14" s="191">
        <f>IFERROR(G14-E14,"-")</f>
        <v>0</v>
      </c>
      <c r="J14" s="124" t="str">
        <f t="shared" si="5"/>
        <v>-</v>
      </c>
      <c r="K14" s="125">
        <f t="shared" si="6"/>
        <v>0</v>
      </c>
      <c r="L14" s="126" t="str">
        <f t="shared" si="7"/>
        <v>-</v>
      </c>
      <c r="O14" s="19" t="s">
        <v>73</v>
      </c>
      <c r="U14" s="144"/>
      <c r="V14" s="144"/>
      <c r="AC14" s="28" t="s">
        <v>82</v>
      </c>
      <c r="AD14" s="30">
        <f>E18+E20+E22</f>
        <v>49288</v>
      </c>
      <c r="AE14" s="30">
        <f>F18+F20+F22</f>
        <v>127821</v>
      </c>
      <c r="AF14" s="30">
        <f>G18+G20+G22</f>
        <v>45067</v>
      </c>
      <c r="AG14" s="30">
        <f>H18+H20+H22</f>
        <v>117893</v>
      </c>
      <c r="AH14" s="31">
        <f t="shared" si="8"/>
        <v>-8.5639506573608202</v>
      </c>
      <c r="AI14" s="31">
        <f t="shared" si="8"/>
        <v>-7.7671118204363836</v>
      </c>
    </row>
    <row r="15" spans="1:35" ht="21.2" customHeight="1">
      <c r="B15" s="285"/>
      <c r="C15" s="98" t="s">
        <v>32</v>
      </c>
      <c r="D15" s="233">
        <v>213</v>
      </c>
      <c r="E15" s="240">
        <v>0</v>
      </c>
      <c r="F15" s="240">
        <v>0</v>
      </c>
      <c r="G15" s="240">
        <v>0</v>
      </c>
      <c r="H15" s="240">
        <v>0</v>
      </c>
      <c r="I15" s="164">
        <f t="shared" ref="I15:I37" si="9">IFERROR(G15-E15,"-")</f>
        <v>0</v>
      </c>
      <c r="J15" s="99" t="str">
        <f t="shared" si="5"/>
        <v>-</v>
      </c>
      <c r="K15" s="100">
        <f t="shared" si="6"/>
        <v>0</v>
      </c>
      <c r="L15" s="102" t="str">
        <f t="shared" si="7"/>
        <v>-</v>
      </c>
      <c r="O15" s="19" t="s">
        <v>73</v>
      </c>
      <c r="AC15" s="28" t="s">
        <v>75</v>
      </c>
      <c r="AD15" s="30">
        <f>E32+E34+E36</f>
        <v>21226</v>
      </c>
      <c r="AE15" s="30">
        <f>F32+F34+F36</f>
        <v>53426</v>
      </c>
      <c r="AF15" s="30">
        <f>G32+G34+G36</f>
        <v>27041</v>
      </c>
      <c r="AG15" s="30">
        <f>H32+H34+H36</f>
        <v>71118</v>
      </c>
      <c r="AH15" s="31">
        <f t="shared" si="8"/>
        <v>27.395646848205033</v>
      </c>
      <c r="AI15" s="31">
        <f t="shared" si="8"/>
        <v>33.11496275221802</v>
      </c>
    </row>
    <row r="16" spans="1:35" ht="21.2" customHeight="1">
      <c r="B16" s="285" t="s">
        <v>46</v>
      </c>
      <c r="C16" s="123" t="s">
        <v>31</v>
      </c>
      <c r="D16" s="241">
        <v>212</v>
      </c>
      <c r="E16" s="239">
        <v>0</v>
      </c>
      <c r="F16" s="239">
        <v>212</v>
      </c>
      <c r="G16" s="239">
        <v>0</v>
      </c>
      <c r="H16" s="239">
        <v>0</v>
      </c>
      <c r="I16" s="191">
        <f t="shared" si="9"/>
        <v>0</v>
      </c>
      <c r="J16" s="124" t="str">
        <f t="shared" si="5"/>
        <v>-</v>
      </c>
      <c r="K16" s="125">
        <f t="shared" si="6"/>
        <v>-212</v>
      </c>
      <c r="L16" s="126">
        <f t="shared" si="7"/>
        <v>-100</v>
      </c>
      <c r="O16" s="19" t="s">
        <v>53</v>
      </c>
    </row>
    <row r="17" spans="2:15" ht="21.2" customHeight="1">
      <c r="B17" s="285"/>
      <c r="C17" s="98" t="s">
        <v>45</v>
      </c>
      <c r="D17" s="242">
        <v>5372</v>
      </c>
      <c r="E17" s="240">
        <v>0</v>
      </c>
      <c r="F17" s="240">
        <v>5372</v>
      </c>
      <c r="G17" s="240">
        <v>0</v>
      </c>
      <c r="H17" s="240">
        <v>0</v>
      </c>
      <c r="I17" s="164">
        <f t="shared" si="9"/>
        <v>0</v>
      </c>
      <c r="J17" s="99" t="str">
        <f t="shared" si="5"/>
        <v>-</v>
      </c>
      <c r="K17" s="100">
        <f t="shared" si="6"/>
        <v>-5372</v>
      </c>
      <c r="L17" s="102">
        <f t="shared" si="7"/>
        <v>-100</v>
      </c>
      <c r="O17" s="19" t="s">
        <v>53</v>
      </c>
    </row>
    <row r="18" spans="2:15" ht="21.2" customHeight="1">
      <c r="B18" s="285" t="s">
        <v>35</v>
      </c>
      <c r="C18" s="123" t="s">
        <v>31</v>
      </c>
      <c r="D18" s="236">
        <v>142959.25</v>
      </c>
      <c r="E18" s="243">
        <v>10015</v>
      </c>
      <c r="F18" s="244">
        <v>28764</v>
      </c>
      <c r="G18" s="239">
        <v>14991</v>
      </c>
      <c r="H18" s="243">
        <v>44059</v>
      </c>
      <c r="I18" s="191">
        <f t="shared" si="9"/>
        <v>4976</v>
      </c>
      <c r="J18" s="124">
        <f t="shared" si="5"/>
        <v>49.685471792311517</v>
      </c>
      <c r="K18" s="125">
        <f t="shared" si="6"/>
        <v>15295</v>
      </c>
      <c r="L18" s="126">
        <f t="shared" si="7"/>
        <v>53.174106522041455</v>
      </c>
      <c r="M18" s="25"/>
      <c r="O18" s="19" t="s">
        <v>54</v>
      </c>
    </row>
    <row r="19" spans="2:15" ht="21.2" customHeight="1">
      <c r="B19" s="285"/>
      <c r="C19" s="98" t="s">
        <v>32</v>
      </c>
      <c r="D19" s="233">
        <v>2340460</v>
      </c>
      <c r="E19" s="245">
        <v>174647</v>
      </c>
      <c r="F19" s="235">
        <v>490272</v>
      </c>
      <c r="G19" s="240">
        <v>214698</v>
      </c>
      <c r="H19" s="234">
        <v>624135</v>
      </c>
      <c r="I19" s="164">
        <f t="shared" si="9"/>
        <v>40051</v>
      </c>
      <c r="J19" s="99">
        <f t="shared" si="5"/>
        <v>22.932543931473191</v>
      </c>
      <c r="K19" s="100">
        <f t="shared" si="6"/>
        <v>133863</v>
      </c>
      <c r="L19" s="102">
        <f t="shared" si="7"/>
        <v>27.303823183865291</v>
      </c>
      <c r="O19" s="19" t="s">
        <v>55</v>
      </c>
    </row>
    <row r="20" spans="2:15" ht="21.2" customHeight="1">
      <c r="B20" s="285" t="s">
        <v>42</v>
      </c>
      <c r="C20" s="123" t="s">
        <v>31</v>
      </c>
      <c r="D20" s="236">
        <v>233375.5</v>
      </c>
      <c r="E20" s="243">
        <v>25141</v>
      </c>
      <c r="F20" s="244">
        <v>56564</v>
      </c>
      <c r="G20" s="239">
        <v>17082</v>
      </c>
      <c r="H20" s="243">
        <v>41463</v>
      </c>
      <c r="I20" s="191">
        <f t="shared" si="9"/>
        <v>-8059</v>
      </c>
      <c r="J20" s="124">
        <f t="shared" si="5"/>
        <v>-32.055208623364223</v>
      </c>
      <c r="K20" s="125">
        <f t="shared" si="6"/>
        <v>-15101</v>
      </c>
      <c r="L20" s="126">
        <f t="shared" si="7"/>
        <v>-26.697192560639266</v>
      </c>
      <c r="O20" s="19" t="s">
        <v>56</v>
      </c>
    </row>
    <row r="21" spans="2:15" ht="21.2" customHeight="1">
      <c r="B21" s="285"/>
      <c r="C21" s="98" t="s">
        <v>32</v>
      </c>
      <c r="D21" s="233">
        <v>3245962</v>
      </c>
      <c r="E21" s="245">
        <v>317661</v>
      </c>
      <c r="F21" s="235">
        <v>714556</v>
      </c>
      <c r="G21" s="240">
        <v>296729</v>
      </c>
      <c r="H21" s="234">
        <v>727752</v>
      </c>
      <c r="I21" s="164">
        <f t="shared" si="9"/>
        <v>-20932</v>
      </c>
      <c r="J21" s="99">
        <f t="shared" si="5"/>
        <v>-6.5894145016227981</v>
      </c>
      <c r="K21" s="100">
        <f t="shared" si="6"/>
        <v>13196</v>
      </c>
      <c r="L21" s="102">
        <f t="shared" si="7"/>
        <v>1.8467411931325302</v>
      </c>
      <c r="O21" s="19" t="s">
        <v>57</v>
      </c>
    </row>
    <row r="22" spans="2:15" ht="21.2" customHeight="1">
      <c r="B22" s="285" t="s">
        <v>36</v>
      </c>
      <c r="C22" s="123" t="s">
        <v>31</v>
      </c>
      <c r="D22" s="236">
        <v>163176.75</v>
      </c>
      <c r="E22" s="243">
        <v>14132</v>
      </c>
      <c r="F22" s="244">
        <v>42493</v>
      </c>
      <c r="G22" s="239">
        <v>12994</v>
      </c>
      <c r="H22" s="243">
        <v>32371</v>
      </c>
      <c r="I22" s="191">
        <f t="shared" si="9"/>
        <v>-1138</v>
      </c>
      <c r="J22" s="124">
        <f t="shared" si="5"/>
        <v>-8.0526464760826428</v>
      </c>
      <c r="K22" s="125">
        <f t="shared" si="6"/>
        <v>-10122</v>
      </c>
      <c r="L22" s="126">
        <f>IFERROR((H22/F22*100)-100,"-")</f>
        <v>-23.820393947238372</v>
      </c>
      <c r="O22" s="19" t="s">
        <v>58</v>
      </c>
    </row>
    <row r="23" spans="2:15" ht="21.2" customHeight="1">
      <c r="B23" s="285"/>
      <c r="C23" s="98" t="s">
        <v>32</v>
      </c>
      <c r="D23" s="233">
        <v>2560713</v>
      </c>
      <c r="E23" s="245">
        <v>213728</v>
      </c>
      <c r="F23" s="235">
        <v>670085</v>
      </c>
      <c r="G23" s="240">
        <v>201677</v>
      </c>
      <c r="H23" s="234">
        <v>490095</v>
      </c>
      <c r="I23" s="164">
        <f t="shared" si="9"/>
        <v>-12051</v>
      </c>
      <c r="J23" s="99">
        <f t="shared" si="5"/>
        <v>-5.6384750711184353</v>
      </c>
      <c r="K23" s="100">
        <f t="shared" si="6"/>
        <v>-179990</v>
      </c>
      <c r="L23" s="102">
        <f t="shared" si="7"/>
        <v>-26.860771394673804</v>
      </c>
      <c r="O23" s="19" t="s">
        <v>59</v>
      </c>
    </row>
    <row r="24" spans="2:15" ht="21.2" customHeight="1">
      <c r="B24" s="285" t="s">
        <v>48</v>
      </c>
      <c r="C24" s="123" t="s">
        <v>31</v>
      </c>
      <c r="D24" s="241">
        <v>8</v>
      </c>
      <c r="E24" s="239">
        <v>0</v>
      </c>
      <c r="F24" s="239">
        <v>0</v>
      </c>
      <c r="G24" s="239">
        <v>0</v>
      </c>
      <c r="H24" s="239">
        <v>0</v>
      </c>
      <c r="I24" s="191">
        <f t="shared" si="9"/>
        <v>0</v>
      </c>
      <c r="J24" s="124" t="str">
        <f>IFERROR((G24/E24*100)-100,"-")</f>
        <v>-</v>
      </c>
      <c r="K24" s="125">
        <f t="shared" si="6"/>
        <v>0</v>
      </c>
      <c r="L24" s="126" t="str">
        <f t="shared" si="7"/>
        <v>-</v>
      </c>
      <c r="O24" s="19" t="s">
        <v>60</v>
      </c>
    </row>
    <row r="25" spans="2:15" ht="21.2" customHeight="1">
      <c r="B25" s="285"/>
      <c r="C25" s="101" t="s">
        <v>32</v>
      </c>
      <c r="D25" s="242">
        <v>175</v>
      </c>
      <c r="E25" s="240">
        <v>0</v>
      </c>
      <c r="F25" s="240">
        <v>0</v>
      </c>
      <c r="G25" s="240">
        <v>0</v>
      </c>
      <c r="H25" s="240">
        <v>0</v>
      </c>
      <c r="I25" s="164">
        <f t="shared" si="9"/>
        <v>0</v>
      </c>
      <c r="J25" s="99" t="str">
        <f>IFERROR((G25/E25*100)-100,"-")</f>
        <v>-</v>
      </c>
      <c r="K25" s="100">
        <f t="shared" si="6"/>
        <v>0</v>
      </c>
      <c r="L25" s="102" t="str">
        <f t="shared" si="7"/>
        <v>-</v>
      </c>
      <c r="O25" s="19" t="s">
        <v>61</v>
      </c>
    </row>
    <row r="26" spans="2:15" ht="21.2" customHeight="1">
      <c r="B26" s="285" t="s">
        <v>71</v>
      </c>
      <c r="C26" s="123" t="s">
        <v>31</v>
      </c>
      <c r="D26" s="241">
        <v>0</v>
      </c>
      <c r="E26" s="239">
        <v>0</v>
      </c>
      <c r="F26" s="239">
        <v>0</v>
      </c>
      <c r="G26" s="239">
        <v>0</v>
      </c>
      <c r="H26" s="239">
        <v>0</v>
      </c>
      <c r="I26" s="191">
        <f t="shared" si="9"/>
        <v>0</v>
      </c>
      <c r="J26" s="124" t="str">
        <f t="shared" si="5"/>
        <v>-</v>
      </c>
      <c r="K26" s="125">
        <f t="shared" si="6"/>
        <v>0</v>
      </c>
      <c r="L26" s="126" t="str">
        <f t="shared" si="7"/>
        <v>-</v>
      </c>
      <c r="O26" s="19" t="s">
        <v>74</v>
      </c>
    </row>
    <row r="27" spans="2:15" ht="21.2" customHeight="1">
      <c r="B27" s="285"/>
      <c r="C27" s="98" t="s">
        <v>32</v>
      </c>
      <c r="D27" s="242">
        <v>0</v>
      </c>
      <c r="E27" s="240">
        <v>0</v>
      </c>
      <c r="F27" s="240">
        <v>0</v>
      </c>
      <c r="G27" s="240">
        <v>0</v>
      </c>
      <c r="H27" s="240">
        <v>0</v>
      </c>
      <c r="I27" s="164">
        <f t="shared" si="9"/>
        <v>0</v>
      </c>
      <c r="J27" s="99" t="str">
        <f t="shared" si="5"/>
        <v>-</v>
      </c>
      <c r="K27" s="100">
        <f t="shared" si="6"/>
        <v>0</v>
      </c>
      <c r="L27" s="102" t="str">
        <f t="shared" si="7"/>
        <v>-</v>
      </c>
      <c r="O27" s="19" t="s">
        <v>74</v>
      </c>
    </row>
    <row r="28" spans="2:15" ht="21.2" customHeight="1">
      <c r="B28" s="285" t="s">
        <v>43</v>
      </c>
      <c r="C28" s="123" t="s">
        <v>44</v>
      </c>
      <c r="D28" s="236">
        <v>36</v>
      </c>
      <c r="E28" s="239">
        <v>0</v>
      </c>
      <c r="F28" s="239">
        <v>0</v>
      </c>
      <c r="G28" s="239">
        <v>0</v>
      </c>
      <c r="H28" s="239">
        <v>0</v>
      </c>
      <c r="I28" s="191">
        <f>IFERROR(G28-E28,"-")</f>
        <v>0</v>
      </c>
      <c r="J28" s="124" t="str">
        <f>IFERROR((#REF!/E28*100)-100,"-")</f>
        <v>-</v>
      </c>
      <c r="K28" s="125">
        <f t="shared" si="6"/>
        <v>0</v>
      </c>
      <c r="L28" s="126" t="str">
        <f>IFERROR((H28/F28*100)-100,"-")</f>
        <v>-</v>
      </c>
      <c r="O28" s="19" t="s">
        <v>62</v>
      </c>
    </row>
    <row r="29" spans="2:15" ht="21.2" customHeight="1">
      <c r="B29" s="285"/>
      <c r="C29" s="98" t="s">
        <v>45</v>
      </c>
      <c r="D29" s="233">
        <v>956</v>
      </c>
      <c r="E29" s="240">
        <v>0</v>
      </c>
      <c r="F29" s="240">
        <v>0</v>
      </c>
      <c r="G29" s="240">
        <v>0</v>
      </c>
      <c r="H29" s="240">
        <v>0</v>
      </c>
      <c r="I29" s="164">
        <f t="shared" si="9"/>
        <v>0</v>
      </c>
      <c r="J29" s="99" t="str">
        <f>IFERROR((#REF!/E29*100)-100,"-")</f>
        <v>-</v>
      </c>
      <c r="K29" s="100">
        <f t="shared" si="6"/>
        <v>0</v>
      </c>
      <c r="L29" s="102" t="str">
        <f t="shared" si="7"/>
        <v>-</v>
      </c>
      <c r="O29" s="19" t="s">
        <v>62</v>
      </c>
    </row>
    <row r="30" spans="2:15" ht="21.2" customHeight="1">
      <c r="B30" s="285" t="s">
        <v>38</v>
      </c>
      <c r="C30" s="123" t="s">
        <v>31</v>
      </c>
      <c r="D30" s="236">
        <v>0</v>
      </c>
      <c r="E30" s="239">
        <v>0</v>
      </c>
      <c r="F30" s="239">
        <v>0</v>
      </c>
      <c r="G30" s="239">
        <v>0</v>
      </c>
      <c r="H30" s="239">
        <v>0</v>
      </c>
      <c r="I30" s="191">
        <f t="shared" si="9"/>
        <v>0</v>
      </c>
      <c r="J30" s="124" t="str">
        <f>IFERROR((G28/E30*100)-100,"-")</f>
        <v>-</v>
      </c>
      <c r="K30" s="125">
        <f>IFERROR(H30-F30,"-")</f>
        <v>0</v>
      </c>
      <c r="L30" s="126" t="str">
        <f t="shared" si="7"/>
        <v>-</v>
      </c>
      <c r="O30" s="19" t="s">
        <v>63</v>
      </c>
    </row>
    <row r="31" spans="2:15" ht="21.2" customHeight="1">
      <c r="B31" s="285"/>
      <c r="C31" s="98" t="s">
        <v>32</v>
      </c>
      <c r="D31" s="233">
        <v>0</v>
      </c>
      <c r="E31" s="240">
        <v>0</v>
      </c>
      <c r="F31" s="240">
        <v>0</v>
      </c>
      <c r="G31" s="240">
        <v>0</v>
      </c>
      <c r="H31" s="240">
        <v>0</v>
      </c>
      <c r="I31" s="164">
        <f t="shared" si="9"/>
        <v>0</v>
      </c>
      <c r="J31" s="99" t="str">
        <f>IFERROR((G29/E31*100)-100,"-")</f>
        <v>-</v>
      </c>
      <c r="K31" s="100">
        <f t="shared" si="6"/>
        <v>0</v>
      </c>
      <c r="L31" s="102" t="str">
        <f t="shared" si="7"/>
        <v>-</v>
      </c>
      <c r="O31" s="19" t="s">
        <v>64</v>
      </c>
    </row>
    <row r="32" spans="2:15" ht="21.2" customHeight="1">
      <c r="B32" s="285" t="s">
        <v>39</v>
      </c>
      <c r="C32" s="123" t="s">
        <v>31</v>
      </c>
      <c r="D32" s="236">
        <v>78522</v>
      </c>
      <c r="E32" s="243">
        <v>5580</v>
      </c>
      <c r="F32" s="244">
        <v>13885</v>
      </c>
      <c r="G32" s="239">
        <v>9096</v>
      </c>
      <c r="H32" s="243">
        <v>19929</v>
      </c>
      <c r="I32" s="191">
        <f t="shared" si="9"/>
        <v>3516</v>
      </c>
      <c r="J32" s="124">
        <f t="shared" si="5"/>
        <v>63.010752688172033</v>
      </c>
      <c r="K32" s="125">
        <f t="shared" si="6"/>
        <v>6044</v>
      </c>
      <c r="L32" s="126">
        <f t="shared" si="7"/>
        <v>43.528988116672679</v>
      </c>
      <c r="O32" s="19" t="s">
        <v>65</v>
      </c>
    </row>
    <row r="33" spans="2:15" ht="21.2" customHeight="1">
      <c r="B33" s="285"/>
      <c r="C33" s="98" t="s">
        <v>32</v>
      </c>
      <c r="D33" s="233">
        <v>1262971</v>
      </c>
      <c r="E33" s="246">
        <v>88034</v>
      </c>
      <c r="F33" s="235">
        <v>219322</v>
      </c>
      <c r="G33" s="240">
        <v>141396</v>
      </c>
      <c r="H33" s="234">
        <v>305759</v>
      </c>
      <c r="I33" s="164">
        <f t="shared" si="9"/>
        <v>53362</v>
      </c>
      <c r="J33" s="99">
        <f t="shared" si="5"/>
        <v>60.615216848035999</v>
      </c>
      <c r="K33" s="100">
        <f t="shared" si="6"/>
        <v>86437</v>
      </c>
      <c r="L33" s="102">
        <f t="shared" si="7"/>
        <v>39.411003000155034</v>
      </c>
      <c r="O33" s="19" t="s">
        <v>66</v>
      </c>
    </row>
    <row r="34" spans="2:15" ht="21.2" customHeight="1">
      <c r="B34" s="285" t="s">
        <v>40</v>
      </c>
      <c r="C34" s="123" t="s">
        <v>31</v>
      </c>
      <c r="D34" s="236">
        <v>144194</v>
      </c>
      <c r="E34" s="243">
        <v>11975</v>
      </c>
      <c r="F34" s="244">
        <v>30555</v>
      </c>
      <c r="G34" s="239">
        <v>14138</v>
      </c>
      <c r="H34" s="243">
        <v>37640</v>
      </c>
      <c r="I34" s="191">
        <f t="shared" si="9"/>
        <v>2163</v>
      </c>
      <c r="J34" s="124">
        <f t="shared" si="5"/>
        <v>18.062630480167002</v>
      </c>
      <c r="K34" s="125">
        <f t="shared" si="6"/>
        <v>7085</v>
      </c>
      <c r="L34" s="126">
        <f t="shared" si="7"/>
        <v>23.187694321714943</v>
      </c>
      <c r="O34" s="19" t="s">
        <v>67</v>
      </c>
    </row>
    <row r="35" spans="2:15" ht="21.2" customHeight="1">
      <c r="B35" s="285"/>
      <c r="C35" s="98" t="s">
        <v>32</v>
      </c>
      <c r="D35" s="233">
        <v>2071805</v>
      </c>
      <c r="E35" s="246">
        <v>179697</v>
      </c>
      <c r="F35" s="235">
        <v>458145</v>
      </c>
      <c r="G35" s="240">
        <v>203981</v>
      </c>
      <c r="H35" s="234">
        <v>551259</v>
      </c>
      <c r="I35" s="164">
        <f t="shared" si="9"/>
        <v>24284</v>
      </c>
      <c r="J35" s="99">
        <f t="shared" si="5"/>
        <v>13.51385944117041</v>
      </c>
      <c r="K35" s="100">
        <f t="shared" si="6"/>
        <v>93114</v>
      </c>
      <c r="L35" s="102">
        <f t="shared" si="7"/>
        <v>20.324133189274136</v>
      </c>
      <c r="O35" s="19" t="s">
        <v>68</v>
      </c>
    </row>
    <row r="36" spans="2:15" ht="21.2" customHeight="1">
      <c r="B36" s="285" t="s">
        <v>41</v>
      </c>
      <c r="C36" s="123" t="s">
        <v>31</v>
      </c>
      <c r="D36" s="236">
        <v>51128</v>
      </c>
      <c r="E36" s="243">
        <v>3671</v>
      </c>
      <c r="F36" s="244">
        <v>8986</v>
      </c>
      <c r="G36" s="239">
        <v>3807</v>
      </c>
      <c r="H36" s="243">
        <v>13549</v>
      </c>
      <c r="I36" s="191">
        <f t="shared" si="9"/>
        <v>136</v>
      </c>
      <c r="J36" s="124">
        <f t="shared" si="5"/>
        <v>3.704712612367203</v>
      </c>
      <c r="K36" s="125">
        <f t="shared" si="6"/>
        <v>4563</v>
      </c>
      <c r="L36" s="126">
        <f t="shared" si="7"/>
        <v>50.778989539283316</v>
      </c>
      <c r="O36" s="19" t="s">
        <v>69</v>
      </c>
    </row>
    <row r="37" spans="2:15" ht="21.2" customHeight="1">
      <c r="B37" s="291"/>
      <c r="C37" s="103" t="s">
        <v>32</v>
      </c>
      <c r="D37" s="247">
        <v>747170</v>
      </c>
      <c r="E37" s="248">
        <v>60847</v>
      </c>
      <c r="F37" s="249">
        <v>148138</v>
      </c>
      <c r="G37" s="250">
        <v>60095</v>
      </c>
      <c r="H37" s="251">
        <v>185815</v>
      </c>
      <c r="I37" s="169">
        <f t="shared" si="9"/>
        <v>-752</v>
      </c>
      <c r="J37" s="104">
        <f t="shared" si="5"/>
        <v>-1.2358867322957536</v>
      </c>
      <c r="K37" s="105">
        <f t="shared" si="6"/>
        <v>37677</v>
      </c>
      <c r="L37" s="106">
        <f t="shared" si="7"/>
        <v>25.433717209628853</v>
      </c>
      <c r="O37" s="19" t="s">
        <v>70</v>
      </c>
    </row>
    <row r="38" spans="2:15" ht="21.2" customHeight="1">
      <c r="E38" s="19"/>
      <c r="H38" s="182"/>
    </row>
    <row r="39" spans="2:15" ht="21.2" customHeight="1">
      <c r="E39" s="19"/>
      <c r="H39" s="182"/>
    </row>
    <row r="40" spans="2:15">
      <c r="E40" s="19"/>
      <c r="H40" s="182"/>
    </row>
    <row r="41" spans="2:15">
      <c r="E41" s="19"/>
      <c r="H41" s="182"/>
    </row>
    <row r="42" spans="2:15">
      <c r="E42" s="19"/>
      <c r="H42" s="182"/>
    </row>
    <row r="43" spans="2:15">
      <c r="E43" s="19"/>
      <c r="H43" s="182"/>
    </row>
    <row r="44" spans="2:15">
      <c r="E44" s="19"/>
      <c r="H44" s="182"/>
    </row>
  </sheetData>
  <mergeCells count="21">
    <mergeCell ref="B22:B23"/>
    <mergeCell ref="B24:B25"/>
    <mergeCell ref="B26:B27"/>
    <mergeCell ref="B12:B13"/>
    <mergeCell ref="B14:B15"/>
    <mergeCell ref="B16:B17"/>
    <mergeCell ref="B18:B19"/>
    <mergeCell ref="B20:B21"/>
    <mergeCell ref="B28:B29"/>
    <mergeCell ref="B30:B31"/>
    <mergeCell ref="B32:B33"/>
    <mergeCell ref="B34:B35"/>
    <mergeCell ref="B36:B37"/>
    <mergeCell ref="B3:L3"/>
    <mergeCell ref="B6:B7"/>
    <mergeCell ref="B8:B9"/>
    <mergeCell ref="B10:B11"/>
    <mergeCell ref="I6:L6"/>
    <mergeCell ref="C6:C7"/>
    <mergeCell ref="G6:H6"/>
    <mergeCell ref="D6:F6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user</cp:lastModifiedBy>
  <cp:lastPrinted>2024-10-28T06:10:59Z</cp:lastPrinted>
  <dcterms:created xsi:type="dcterms:W3CDTF">1998-03-31T03:01:22Z</dcterms:created>
  <dcterms:modified xsi:type="dcterms:W3CDTF">2025-04-25T01:49:43Z</dcterms:modified>
</cp:coreProperties>
</file>