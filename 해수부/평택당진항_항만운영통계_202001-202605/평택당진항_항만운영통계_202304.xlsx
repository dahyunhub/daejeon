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C:\Users\MOF\Desktop\통계\2023\4월\"/>
    </mc:Choice>
  </mc:AlternateContent>
  <xr:revisionPtr revIDLastSave="0" documentId="13_ncr:1_{067EC2B6-5812-447A-A37F-1BA328DF26BF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91029"/>
</workbook>
</file>

<file path=xl/calcChain.xml><?xml version="1.0" encoding="utf-8"?>
<calcChain xmlns="http://schemas.openxmlformats.org/spreadsheetml/2006/main">
  <c r="N28" i="32" l="1"/>
  <c r="N14" i="32"/>
  <c r="N6" i="32"/>
  <c r="H14" i="21" l="1"/>
  <c r="I14" i="21"/>
  <c r="H24" i="21"/>
  <c r="I24" i="21"/>
  <c r="G14" i="21" l="1"/>
  <c r="F14" i="21"/>
  <c r="F24" i="21" l="1"/>
  <c r="G24" i="21"/>
  <c r="F5" i="32" l="1"/>
  <c r="F4" i="32"/>
  <c r="G5" i="32"/>
  <c r="G4" i="32"/>
  <c r="E5" i="32"/>
  <c r="E4" i="32"/>
  <c r="M35" i="32" l="1"/>
  <c r="L35" i="32"/>
  <c r="J35" i="32"/>
  <c r="M34" i="32"/>
  <c r="L34" i="32"/>
  <c r="J34" i="32"/>
  <c r="M33" i="32" l="1"/>
  <c r="H11" i="21" l="1"/>
  <c r="I15" i="21" l="1"/>
  <c r="I11" i="21"/>
  <c r="H15" i="21"/>
  <c r="H10" i="21" s="1"/>
  <c r="I10" i="21" l="1"/>
  <c r="N4" i="33" s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I4" i="32"/>
  <c r="H4" i="32"/>
  <c r="I5" i="32" l="1"/>
  <c r="H5" i="32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N6" i="33" l="1"/>
  <c r="G6" i="33"/>
  <c r="N3" i="33"/>
  <c r="I3" i="32" l="1"/>
  <c r="H3" i="32"/>
  <c r="G3" i="32"/>
  <c r="E7" i="21" l="1"/>
  <c r="L28" i="21" l="1"/>
  <c r="J28" i="21"/>
  <c r="K28" i="21"/>
  <c r="L26" i="21"/>
  <c r="L27" i="21"/>
  <c r="L18" i="21"/>
  <c r="J11" i="21" l="1"/>
  <c r="J22" i="21" l="1"/>
  <c r="J23" i="21"/>
  <c r="J24" i="21"/>
  <c r="J26" i="21"/>
  <c r="J27" i="21"/>
  <c r="J16" i="21"/>
  <c r="J18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F25" i="21" l="1"/>
  <c r="J25" i="21" s="1"/>
  <c r="G25" i="21"/>
  <c r="G20" i="21" s="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<sst xmlns="http://schemas.openxmlformats.org/spreadsheetml/2006/main" count="161" uniqueCount="108">
  <si>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</si>
  <si>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</si>
  <si>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</si>
  <si>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</si>
  <si>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</si>
  <si>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</si>
  <si>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</si>
  <si>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7" type="noConversion"/>
  </si>
  <si>
    <t xml:space="preserve"> 합  계</t>
    <phoneticPr fontId="7" type="noConversion"/>
  </si>
  <si>
    <t xml:space="preserve"> 외  항</t>
    <phoneticPr fontId="7" type="noConversion"/>
  </si>
  <si>
    <t xml:space="preserve"> 내  항</t>
    <phoneticPr fontId="7" type="noConversion"/>
  </si>
  <si>
    <t>연간누계</t>
    <phoneticPr fontId="7" type="noConversion"/>
  </si>
  <si>
    <t>계</t>
    <phoneticPr fontId="7" type="noConversion"/>
  </si>
  <si>
    <t>환적</t>
    <phoneticPr fontId="7" type="noConversion"/>
  </si>
  <si>
    <t>수출</t>
    <phoneticPr fontId="7" type="noConversion"/>
  </si>
  <si>
    <t>전년동기대비</t>
    <phoneticPr fontId="7" type="noConversion"/>
  </si>
  <si>
    <t>(%)</t>
    <phoneticPr fontId="7" type="noConversion"/>
  </si>
  <si>
    <t>환적</t>
    <phoneticPr fontId="7" type="noConversion"/>
  </si>
  <si>
    <t>D-B</t>
    <phoneticPr fontId="7" type="noConversion"/>
  </si>
  <si>
    <t>컨테</t>
    <phoneticPr fontId="7" type="noConversion"/>
  </si>
  <si>
    <t>이너</t>
    <phoneticPr fontId="7" type="noConversion"/>
  </si>
  <si>
    <t>선박</t>
    <phoneticPr fontId="7" type="noConversion"/>
  </si>
  <si>
    <t>화물</t>
    <phoneticPr fontId="7" type="noConversion"/>
  </si>
  <si>
    <t>(단위:TEU, 100% 기준)</t>
    <phoneticPr fontId="7" type="noConversion"/>
  </si>
  <si>
    <t>(화물)</t>
    <phoneticPr fontId="7" type="noConversion"/>
  </si>
  <si>
    <t xml:space="preserve">   (컨테이너)</t>
    <phoneticPr fontId="7" type="noConversion"/>
  </si>
  <si>
    <t>(평택·당진항)</t>
    <phoneticPr fontId="7" type="noConversion"/>
  </si>
  <si>
    <t xml:space="preserve">  □ 전년 동기대비 비교표</t>
    <phoneticPr fontId="7" type="noConversion"/>
  </si>
  <si>
    <t>■ 연도별 수송실적</t>
    <phoneticPr fontId="23" type="noConversion"/>
  </si>
  <si>
    <t>(단위 : 천톤)</t>
    <phoneticPr fontId="7" type="noConversion"/>
  </si>
  <si>
    <t xml:space="preserve">구분 </t>
    <phoneticPr fontId="7" type="noConversion"/>
  </si>
  <si>
    <t>선박입출항</t>
    <phoneticPr fontId="7" type="noConversion"/>
  </si>
  <si>
    <t>화물입출항</t>
    <phoneticPr fontId="7" type="noConversion"/>
  </si>
  <si>
    <t>(단위 : TEU)</t>
    <phoneticPr fontId="7" type="noConversion"/>
  </si>
  <si>
    <t>(단위 : 명)</t>
    <phoneticPr fontId="7" type="noConversion"/>
  </si>
  <si>
    <t>컨테이너</t>
    <phoneticPr fontId="7" type="noConversion"/>
  </si>
  <si>
    <t>여    객</t>
    <phoneticPr fontId="7" type="noConversion"/>
  </si>
  <si>
    <t xml:space="preserve">  □ 연도별 추이 </t>
  </si>
  <si>
    <t>□ 부두별 컨테이너 물동량</t>
    <phoneticPr fontId="7" type="noConversion"/>
  </si>
  <si>
    <t>구     분</t>
    <phoneticPr fontId="7" type="noConversion"/>
  </si>
  <si>
    <t>단위</t>
    <phoneticPr fontId="23" type="noConversion"/>
  </si>
  <si>
    <t>전년동기대비</t>
    <phoneticPr fontId="7" type="noConversion"/>
  </si>
  <si>
    <t>연간누계</t>
    <phoneticPr fontId="7" type="noConversion"/>
  </si>
  <si>
    <t>C-A</t>
    <phoneticPr fontId="7" type="noConversion"/>
  </si>
  <si>
    <t>(%)</t>
    <phoneticPr fontId="7" type="noConversion"/>
  </si>
  <si>
    <t>D-B</t>
    <phoneticPr fontId="7" type="noConversion"/>
  </si>
  <si>
    <t>합  계</t>
    <phoneticPr fontId="7" type="noConversion"/>
  </si>
  <si>
    <t>TEU</t>
    <phoneticPr fontId="23" type="noConversion"/>
  </si>
  <si>
    <t>톤</t>
    <phoneticPr fontId="23" type="noConversion"/>
  </si>
  <si>
    <t>선박입항 및 화물수송</t>
    <phoneticPr fontId="7" type="noConversion"/>
  </si>
  <si>
    <t xml:space="preserve">     (여객)</t>
    <phoneticPr fontId="7" type="noConversion"/>
  </si>
  <si>
    <t xml:space="preserve">     (화물입출항)</t>
    <phoneticPr fontId="7" type="noConversion"/>
  </si>
  <si>
    <t xml:space="preserve">   (선박입출항)</t>
    <phoneticPr fontId="7" type="noConversion"/>
  </si>
  <si>
    <t>국제여객부두1번</t>
  </si>
  <si>
    <t>국제여객부두2번</t>
  </si>
  <si>
    <t>동부두 6</t>
    <phoneticPr fontId="23" type="noConversion"/>
  </si>
  <si>
    <t>동부두 8</t>
    <phoneticPr fontId="23" type="noConversion"/>
  </si>
  <si>
    <t>C-A</t>
    <phoneticPr fontId="7" type="noConversion"/>
  </si>
  <si>
    <t>동부두 12</t>
    <phoneticPr fontId="23" type="noConversion"/>
  </si>
  <si>
    <t>동부두 14</t>
    <phoneticPr fontId="23" type="noConversion"/>
  </si>
  <si>
    <t>동부두 15</t>
    <phoneticPr fontId="23" type="noConversion"/>
  </si>
  <si>
    <t>동부두 16</t>
    <phoneticPr fontId="23" type="noConversion"/>
  </si>
  <si>
    <t>동부두 7</t>
    <phoneticPr fontId="23" type="noConversion"/>
  </si>
  <si>
    <t>동부두 11</t>
    <phoneticPr fontId="23" type="noConversion"/>
  </si>
  <si>
    <t>TEU</t>
    <phoneticPr fontId="23" type="noConversion"/>
  </si>
  <si>
    <t>톤</t>
    <phoneticPr fontId="23" type="noConversion"/>
  </si>
  <si>
    <t>동부두 5</t>
    <phoneticPr fontId="23" type="noConversion"/>
  </si>
  <si>
    <t>자동차(대)</t>
    <phoneticPr fontId="7" type="noConversion"/>
  </si>
  <si>
    <t>동부두 9</t>
    <phoneticPr fontId="23" type="noConversion"/>
  </si>
  <si>
    <t>소계</t>
    <phoneticPr fontId="7" type="noConversion"/>
  </si>
  <si>
    <t>(단위 : 척)</t>
    <phoneticPr fontId="7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</si>
  <si>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7" type="noConversion"/>
  </si>
  <si>
    <t>국제여객부두 1번선석</t>
  </si>
  <si>
    <t>국제여객부두 2번선석</t>
    <phoneticPr fontId="23" type="noConversion"/>
  </si>
  <si>
    <t>동부두 5번선석</t>
    <phoneticPr fontId="23" type="noConversion"/>
  </si>
  <si>
    <t>동부두 6번선석</t>
    <phoneticPr fontId="23" type="noConversion"/>
  </si>
  <si>
    <t>동부두 6번선석</t>
    <phoneticPr fontId="23" type="noConversion"/>
  </si>
  <si>
    <t>동부두 7번선석</t>
    <phoneticPr fontId="23" type="noConversion"/>
  </si>
  <si>
    <t>동부두 7번선석</t>
    <phoneticPr fontId="23" type="noConversion"/>
  </si>
  <si>
    <t>동부두 8번선석</t>
    <phoneticPr fontId="23" type="noConversion"/>
  </si>
  <si>
    <t>동부두 8번선석</t>
    <phoneticPr fontId="23" type="noConversion"/>
  </si>
  <si>
    <t>동부두 9번선석</t>
    <phoneticPr fontId="23" type="noConversion"/>
  </si>
  <si>
    <t>동부두 9번선석</t>
    <phoneticPr fontId="23" type="noConversion"/>
  </si>
  <si>
    <t>동부두 11번선석</t>
    <phoneticPr fontId="23" type="noConversion"/>
  </si>
  <si>
    <t>동부두 12번선석</t>
    <phoneticPr fontId="23" type="noConversion"/>
  </si>
  <si>
    <t>동부두 12번선석</t>
    <phoneticPr fontId="23" type="noConversion"/>
  </si>
  <si>
    <t>동부두 14번선석</t>
    <phoneticPr fontId="23" type="noConversion"/>
  </si>
  <si>
    <t>동부두 14번선석</t>
    <phoneticPr fontId="23" type="noConversion"/>
  </si>
  <si>
    <t>동부두 15번선석</t>
    <phoneticPr fontId="23" type="noConversion"/>
  </si>
  <si>
    <t>동부두 15번선석</t>
    <phoneticPr fontId="23" type="noConversion"/>
  </si>
  <si>
    <t>동부두 16번선석</t>
    <phoneticPr fontId="23" type="noConversion"/>
  </si>
  <si>
    <t>동부두 16번선석</t>
    <phoneticPr fontId="23" type="noConversion"/>
  </si>
  <si>
    <t>동부두 10</t>
    <phoneticPr fontId="23" type="noConversion"/>
  </si>
  <si>
    <t>동부두 1</t>
    <phoneticPr fontId="23" type="noConversion"/>
  </si>
  <si>
    <t>동부두 1번선석</t>
    <phoneticPr fontId="23" type="noConversion"/>
  </si>
  <si>
    <t>동부두 10번선석</t>
    <phoneticPr fontId="23" type="noConversion"/>
  </si>
  <si>
    <t>순증</t>
    <phoneticPr fontId="7" type="noConversion"/>
  </si>
  <si>
    <t>2022년도</t>
    <phoneticPr fontId="7" type="noConversion"/>
  </si>
  <si>
    <t>2023년도</t>
    <phoneticPr fontId="7" type="noConversion"/>
  </si>
  <si>
    <t>2023년도</t>
    <phoneticPr fontId="7" type="noConversion"/>
  </si>
  <si>
    <t>고대부두 8</t>
    <phoneticPr fontId="23" type="noConversion"/>
  </si>
  <si>
    <t>-</t>
    <phoneticPr fontId="23" type="noConversion"/>
  </si>
  <si>
    <t>4월(A)</t>
    <phoneticPr fontId="7" type="noConversion"/>
  </si>
  <si>
    <t>4월 누계(B)</t>
    <phoneticPr fontId="7" type="noConversion"/>
  </si>
  <si>
    <t>4월(C)</t>
    <phoneticPr fontId="7" type="noConversion"/>
  </si>
  <si>
    <t>4월 누계(D)</t>
    <phoneticPr fontId="7" type="noConversion"/>
  </si>
  <si>
    <t>(2023.4월분)</t>
    <phoneticPr fontId="7" type="noConversion"/>
  </si>
  <si>
    <t>23.04.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</si>
</sst>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</numFmts>
  <fonts count="40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4"/>
      </bottom>
      <diagonal/>
    </border>
  </borders>
  <cellStyleXfs count="57">
    <xf numFmtId="0" fontId="0" fillId="0" borderId="0"/>
    <xf numFmtId="38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11" fillId="2" borderId="0" applyNumberFormat="0" applyBorder="0" applyAlignment="0" applyProtection="0"/>
    <xf numFmtId="10" fontId="11" fillId="3" borderId="1" applyNumberFormat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9" fontId="9" fillId="0" borderId="0"/>
    <xf numFmtId="0" fontId="8" fillId="0" borderId="0"/>
    <xf numFmtId="10" fontId="9" fillId="0" borderId="0" applyFont="0" applyFill="0" applyBorder="0" applyAlignment="0" applyProtection="0"/>
    <xf numFmtId="9" fontId="10" fillId="0" borderId="2" applyNumberFormat="0" applyBorder="0"/>
    <xf numFmtId="176" fontId="5" fillId="0" borderId="0" applyFont="0" applyFill="0" applyBorder="0" applyAlignment="0" applyProtection="0"/>
    <xf numFmtId="0" fontId="5" fillId="0" borderId="0"/>
    <xf numFmtId="0" fontId="26" fillId="0" borderId="0">
      <alignment vertical="center"/>
    </xf>
    <xf numFmtId="0" fontId="3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2" fillId="0" borderId="0">
      <alignment vertical="center"/>
    </xf>
    <xf numFmtId="0" fontId="3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33">
    <xf numFmtId="0" fontId="0" fillId="0" borderId="0" xfId="0"/>
    <xf numFmtId="176" fontId="13" fillId="0" borderId="0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right" vertical="center"/>
    </xf>
    <xf numFmtId="176" fontId="15" fillId="5" borderId="4" xfId="0" applyNumberFormat="1" applyFont="1" applyFill="1" applyBorder="1" applyAlignment="1">
      <alignment horizontal="center" vertical="center"/>
    </xf>
    <xf numFmtId="176" fontId="15" fillId="5" borderId="1" xfId="0" applyNumberFormat="1" applyFont="1" applyFill="1" applyBorder="1" applyAlignment="1">
      <alignment horizontal="center" vertical="center"/>
    </xf>
    <xf numFmtId="176" fontId="13" fillId="5" borderId="0" xfId="0" applyNumberFormat="1" applyFont="1" applyFill="1" applyBorder="1" applyAlignment="1">
      <alignment horizontal="center" vertical="center"/>
    </xf>
    <xf numFmtId="0" fontId="16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76" fontId="14" fillId="4" borderId="3" xfId="0" applyNumberFormat="1" applyFont="1" applyFill="1" applyBorder="1" applyAlignment="1">
      <alignment horizontal="right" vertical="center"/>
    </xf>
    <xf numFmtId="176" fontId="17" fillId="4" borderId="1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horizontal="right" vertical="center"/>
    </xf>
    <xf numFmtId="9" fontId="14" fillId="4" borderId="5" xfId="0" quotePrefix="1" applyNumberFormat="1" applyFont="1" applyFill="1" applyBorder="1" applyAlignment="1">
      <alignment horizontal="right" vertical="center"/>
    </xf>
    <xf numFmtId="176" fontId="14" fillId="5" borderId="6" xfId="0" applyNumberFormat="1" applyFont="1" applyFill="1" applyBorder="1" applyAlignment="1">
      <alignment horizontal="right" vertical="center"/>
    </xf>
    <xf numFmtId="9" fontId="13" fillId="5" borderId="5" xfId="0" quotePrefix="1" applyNumberFormat="1" applyFon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13" fillId="0" borderId="3" xfId="0" applyNumberFormat="1" applyFont="1" applyBorder="1" applyAlignment="1">
      <alignment horizontal="right" vertical="center"/>
    </xf>
    <xf numFmtId="176" fontId="13" fillId="0" borderId="3" xfId="0" applyNumberFormat="1" applyFont="1" applyFill="1" applyBorder="1" applyAlignment="1">
      <alignment horizontal="right" vertical="center"/>
    </xf>
    <xf numFmtId="9" fontId="13" fillId="0" borderId="5" xfId="0" quotePrefix="1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9" fontId="17" fillId="4" borderId="7" xfId="0" applyNumberFormat="1" applyFont="1" applyFill="1" applyBorder="1" applyAlignment="1">
      <alignment horizontal="right" vertical="center"/>
    </xf>
    <xf numFmtId="9" fontId="6" fillId="5" borderId="7" xfId="0" applyNumberFormat="1" applyFont="1" applyFill="1" applyBorder="1" applyAlignment="1">
      <alignment horizontal="right" vertical="center"/>
    </xf>
    <xf numFmtId="9" fontId="6" fillId="0" borderId="7" xfId="0" applyNumberFormat="1" applyFont="1" applyFill="1" applyBorder="1" applyAlignment="1">
      <alignment horizontal="right" vertical="center"/>
    </xf>
    <xf numFmtId="0" fontId="14" fillId="5" borderId="10" xfId="0" applyFont="1" applyFill="1" applyBorder="1" applyAlignment="1">
      <alignment horizontal="left"/>
    </xf>
    <xf numFmtId="0" fontId="13" fillId="5" borderId="0" xfId="0" applyFont="1" applyFill="1" applyBorder="1" applyAlignment="1">
      <alignment horizont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176" fontId="14" fillId="6" borderId="15" xfId="0" quotePrefix="1" applyNumberFormat="1" applyFont="1" applyFill="1" applyBorder="1" applyAlignment="1">
      <alignment horizontal="center" vertical="center"/>
    </xf>
    <xf numFmtId="176" fontId="14" fillId="6" borderId="16" xfId="0" applyNumberFormat="1" applyFont="1" applyFill="1" applyBorder="1" applyAlignment="1">
      <alignment horizontal="center" vertical="center"/>
    </xf>
    <xf numFmtId="176" fontId="14" fillId="6" borderId="1" xfId="0" applyNumberFormat="1" applyFont="1" applyFill="1" applyBorder="1" applyAlignment="1">
      <alignment horizontal="center" vertical="center"/>
    </xf>
    <xf numFmtId="9" fontId="14" fillId="6" borderId="5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80" fontId="14" fillId="6" borderId="7" xfId="0" applyNumberFormat="1" applyFont="1" applyFill="1" applyBorder="1" applyAlignment="1">
      <alignment horizontal="center" vertical="center"/>
    </xf>
    <xf numFmtId="182" fontId="14" fillId="4" borderId="3" xfId="0" applyNumberFormat="1" applyFont="1" applyFill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2" fontId="13" fillId="0" borderId="1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9" fontId="6" fillId="5" borderId="1" xfId="0" applyNumberFormat="1" applyFont="1" applyFill="1" applyBorder="1" applyAlignment="1">
      <alignment horizontal="right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76" fontId="13" fillId="0" borderId="4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41" fontId="13" fillId="0" borderId="1" xfId="0" applyNumberFormat="1" applyFont="1" applyFill="1" applyBorder="1" applyAlignment="1">
      <alignment horizontal="center" vertical="center"/>
    </xf>
    <xf numFmtId="0" fontId="21" fillId="0" borderId="0" xfId="0" applyFont="1"/>
    <xf numFmtId="0" fontId="5" fillId="0" borderId="0" xfId="16"/>
    <xf numFmtId="0" fontId="24" fillId="6" borderId="19" xfId="0" applyFont="1" applyFill="1" applyBorder="1" applyAlignment="1">
      <alignment horizontal="center" vertical="center"/>
    </xf>
    <xf numFmtId="180" fontId="24" fillId="6" borderId="20" xfId="0" quotePrefix="1" applyNumberFormat="1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83" fontId="25" fillId="0" borderId="0" xfId="0" applyNumberFormat="1" applyFont="1" applyBorder="1" applyAlignment="1">
      <alignment vertical="center"/>
    </xf>
    <xf numFmtId="0" fontId="5" fillId="0" borderId="0" xfId="16" applyAlignment="1">
      <alignment horizontal="right"/>
    </xf>
    <xf numFmtId="180" fontId="5" fillId="0" borderId="0" xfId="16" applyNumberFormat="1" applyAlignment="1">
      <alignment horizontal="right"/>
    </xf>
    <xf numFmtId="0" fontId="6" fillId="0" borderId="0" xfId="16" applyFont="1" applyAlignment="1">
      <alignment horizontal="right" vertical="center"/>
    </xf>
    <xf numFmtId="180" fontId="6" fillId="0" borderId="0" xfId="16" applyNumberFormat="1" applyFont="1" applyAlignment="1">
      <alignment horizontal="right" vertical="center"/>
    </xf>
    <xf numFmtId="0" fontId="18" fillId="0" borderId="0" xfId="16" applyFont="1" applyAlignment="1">
      <alignment vertical="center"/>
    </xf>
    <xf numFmtId="0" fontId="16" fillId="0" borderId="0" xfId="16" applyFont="1" applyAlignment="1">
      <alignment vertical="center"/>
    </xf>
    <xf numFmtId="0" fontId="26" fillId="0" borderId="0" xfId="17">
      <alignment vertical="center"/>
    </xf>
    <xf numFmtId="0" fontId="26" fillId="0" borderId="0" xfId="17" applyAlignment="1">
      <alignment horizontal="right"/>
    </xf>
    <xf numFmtId="180" fontId="26" fillId="0" borderId="0" xfId="17" applyNumberFormat="1" applyAlignment="1">
      <alignment horizontal="right"/>
    </xf>
    <xf numFmtId="0" fontId="6" fillId="0" borderId="0" xfId="17" applyFont="1" applyAlignment="1">
      <alignment horizontal="right" vertical="center"/>
    </xf>
    <xf numFmtId="180" fontId="6" fillId="0" borderId="0" xfId="17" applyNumberFormat="1" applyFont="1" applyAlignment="1">
      <alignment horizontal="right" vertical="center"/>
    </xf>
    <xf numFmtId="0" fontId="28" fillId="0" borderId="22" xfId="0" applyFont="1" applyBorder="1" applyAlignment="1">
      <alignment horizontal="center" vertical="center"/>
    </xf>
    <xf numFmtId="0" fontId="29" fillId="0" borderId="0" xfId="17" applyFont="1">
      <alignment vertical="center"/>
    </xf>
    <xf numFmtId="182" fontId="30" fillId="0" borderId="4" xfId="0" applyNumberFormat="1" applyFont="1" applyFill="1" applyBorder="1" applyAlignment="1">
      <alignment horizontal="right" vertical="center"/>
    </xf>
    <xf numFmtId="9" fontId="30" fillId="0" borderId="5" xfId="0" quotePrefix="1" applyNumberFormat="1" applyFont="1" applyFill="1" applyBorder="1" applyAlignment="1">
      <alignment horizontal="right" vertical="center"/>
    </xf>
    <xf numFmtId="9" fontId="31" fillId="0" borderId="7" xfId="0" applyNumberFormat="1" applyFont="1" applyFill="1" applyBorder="1" applyAlignment="1">
      <alignment horizontal="right" vertical="center"/>
    </xf>
    <xf numFmtId="182" fontId="30" fillId="5" borderId="4" xfId="0" applyNumberFormat="1" applyFont="1" applyFill="1" applyBorder="1" applyAlignment="1">
      <alignment horizontal="right" vertical="center"/>
    </xf>
    <xf numFmtId="9" fontId="30" fillId="5" borderId="5" xfId="0" quotePrefix="1" applyNumberFormat="1" applyFont="1" applyFill="1" applyBorder="1" applyAlignment="1">
      <alignment horizontal="right" vertical="center"/>
    </xf>
    <xf numFmtId="9" fontId="31" fillId="5" borderId="7" xfId="0" applyNumberFormat="1" applyFont="1" applyFill="1" applyBorder="1" applyAlignment="1">
      <alignment horizontal="right" vertical="center"/>
    </xf>
    <xf numFmtId="176" fontId="32" fillId="0" borderId="4" xfId="0" applyNumberFormat="1" applyFont="1" applyFill="1" applyBorder="1" applyAlignment="1">
      <alignment horizontal="center" vertical="center"/>
    </xf>
    <xf numFmtId="176" fontId="32" fillId="5" borderId="4" xfId="0" applyNumberFormat="1" applyFont="1" applyFill="1" applyBorder="1" applyAlignment="1">
      <alignment horizontal="center" vertical="center"/>
    </xf>
    <xf numFmtId="176" fontId="32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right" vertical="center"/>
    </xf>
    <xf numFmtId="9" fontId="31" fillId="5" borderId="1" xfId="0" applyNumberFormat="1" applyFont="1" applyFill="1" applyBorder="1" applyAlignment="1">
      <alignment horizontal="right" vertical="center"/>
    </xf>
    <xf numFmtId="176" fontId="31" fillId="5" borderId="1" xfId="0" applyNumberFormat="1" applyFont="1" applyFill="1" applyBorder="1" applyAlignment="1">
      <alignment horizontal="right" vertical="center"/>
    </xf>
    <xf numFmtId="176" fontId="14" fillId="4" borderId="3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right" vertical="center" shrinkToFit="1"/>
    </xf>
    <xf numFmtId="9" fontId="14" fillId="4" borderId="5" xfId="0" quotePrefix="1" applyNumberFormat="1" applyFont="1" applyFill="1" applyBorder="1" applyAlignment="1">
      <alignment horizontal="right" vertical="center" shrinkToFit="1"/>
    </xf>
    <xf numFmtId="176" fontId="17" fillId="4" borderId="1" xfId="0" applyNumberFormat="1" applyFont="1" applyFill="1" applyBorder="1" applyAlignment="1">
      <alignment horizontal="right" vertical="center" shrinkToFit="1"/>
    </xf>
    <xf numFmtId="0" fontId="18" fillId="0" borderId="0" xfId="16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4" fillId="4" borderId="12" xfId="0" applyNumberFormat="1" applyFont="1" applyFill="1" applyBorder="1" applyAlignment="1">
      <alignment horizontal="right" vertical="center"/>
    </xf>
    <xf numFmtId="176" fontId="14" fillId="4" borderId="24" xfId="0" applyNumberFormat="1" applyFont="1" applyFill="1" applyBorder="1" applyAlignment="1">
      <alignment horizontal="right" vertical="center" shrinkToFit="1"/>
    </xf>
    <xf numFmtId="9" fontId="14" fillId="4" borderId="13" xfId="0" quotePrefix="1" applyNumberFormat="1" applyFont="1" applyFill="1" applyBorder="1" applyAlignment="1">
      <alignment horizontal="right" vertical="center"/>
    </xf>
    <xf numFmtId="176" fontId="17" fillId="4" borderId="12" xfId="0" applyNumberFormat="1" applyFont="1" applyFill="1" applyBorder="1" applyAlignment="1">
      <alignment horizontal="right" vertical="center"/>
    </xf>
    <xf numFmtId="9" fontId="17" fillId="4" borderId="14" xfId="0" applyNumberFormat="1" applyFont="1" applyFill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76" fontId="36" fillId="6" borderId="1" xfId="17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5" xfId="0" applyNumberFormat="1" applyFont="1" applyFill="1" applyBorder="1" applyAlignment="1">
      <alignment horizontal="center" vertical="center"/>
    </xf>
    <xf numFmtId="0" fontId="26" fillId="0" borderId="0" xfId="17" applyFont="1">
      <alignment vertical="center"/>
    </xf>
    <xf numFmtId="186" fontId="24" fillId="6" borderId="21" xfId="0" applyNumberFormat="1" applyFont="1" applyFill="1" applyBorder="1" applyAlignment="1">
      <alignment horizontal="center" vertical="center"/>
    </xf>
    <xf numFmtId="187" fontId="24" fillId="6" borderId="21" xfId="0" quotePrefix="1" applyNumberFormat="1" applyFont="1" applyFill="1" applyBorder="1" applyAlignment="1">
      <alignment horizontal="center" vertical="center"/>
    </xf>
    <xf numFmtId="184" fontId="14" fillId="5" borderId="12" xfId="17" quotePrefix="1" applyNumberFormat="1" applyFont="1" applyFill="1" applyBorder="1" applyAlignment="1">
      <alignment horizontal="right" vertical="center" shrinkToFit="1"/>
    </xf>
    <xf numFmtId="184" fontId="14" fillId="5" borderId="14" xfId="17" quotePrefix="1" applyNumberFormat="1" applyFont="1" applyFill="1" applyBorder="1" applyAlignment="1">
      <alignment horizontal="right" vertical="center" shrinkToFit="1"/>
    </xf>
    <xf numFmtId="176" fontId="13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8" fontId="13" fillId="0" borderId="4" xfId="0" applyNumberFormat="1" applyFont="1" applyBorder="1" applyAlignment="1">
      <alignment horizontal="right" vertical="center"/>
    </xf>
    <xf numFmtId="182" fontId="13" fillId="5" borderId="3" xfId="0" applyNumberFormat="1" applyFont="1" applyFill="1" applyBorder="1" applyAlignment="1">
      <alignment horizontal="right" vertical="center"/>
    </xf>
    <xf numFmtId="182" fontId="13" fillId="0" borderId="3" xfId="0" applyNumberFormat="1" applyFont="1" applyFill="1" applyBorder="1" applyAlignment="1">
      <alignment horizontal="right" vertical="center"/>
    </xf>
    <xf numFmtId="182" fontId="30" fillId="5" borderId="3" xfId="0" applyNumberFormat="1" applyFont="1" applyFill="1" applyBorder="1" applyAlignment="1">
      <alignment horizontal="right" vertical="center"/>
    </xf>
    <xf numFmtId="182" fontId="30" fillId="0" borderId="3" xfId="0" applyNumberFormat="1" applyFont="1" applyFill="1" applyBorder="1" applyAlignment="1">
      <alignment horizontal="right" vertical="center"/>
    </xf>
    <xf numFmtId="182" fontId="31" fillId="5" borderId="1" xfId="0" applyNumberFormat="1" applyFont="1" applyFill="1" applyBorder="1" applyAlignment="1">
      <alignment horizontal="right" vertical="center"/>
    </xf>
    <xf numFmtId="182" fontId="6" fillId="5" borderId="1" xfId="0" applyNumberFormat="1" applyFont="1" applyFill="1" applyBorder="1" applyAlignment="1">
      <alignment horizontal="right" vertical="center"/>
    </xf>
    <xf numFmtId="182" fontId="31" fillId="0" borderId="1" xfId="0" applyNumberFormat="1" applyFont="1" applyFill="1" applyBorder="1" applyAlignment="1">
      <alignment horizontal="right" vertical="center"/>
    </xf>
    <xf numFmtId="182" fontId="17" fillId="4" borderId="1" xfId="0" applyNumberFormat="1" applyFont="1" applyFill="1" applyBorder="1" applyAlignment="1">
      <alignment horizontal="right" vertical="center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left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3" fillId="7" borderId="11" xfId="0" applyNumberFormat="1" applyFont="1" applyFill="1" applyBorder="1" applyAlignment="1">
      <alignment vertical="center"/>
    </xf>
    <xf numFmtId="176" fontId="14" fillId="6" borderId="20" xfId="17" quotePrefix="1" applyNumberFormat="1" applyFont="1" applyFill="1" applyBorder="1" applyAlignment="1">
      <alignment horizontal="center" vertical="center"/>
    </xf>
    <xf numFmtId="176" fontId="14" fillId="6" borderId="1" xfId="17" applyNumberFormat="1" applyFont="1" applyFill="1" applyBorder="1" applyAlignment="1">
      <alignment horizontal="center" vertical="center"/>
    </xf>
    <xf numFmtId="9" fontId="14" fillId="6" borderId="1" xfId="17" applyNumberFormat="1" applyFont="1" applyFill="1" applyBorder="1" applyAlignment="1">
      <alignment horizontal="center" vertical="center"/>
    </xf>
    <xf numFmtId="0" fontId="17" fillId="6" borderId="1" xfId="17" applyFont="1" applyFill="1" applyBorder="1" applyAlignment="1">
      <alignment horizontal="center" vertical="center"/>
    </xf>
    <xf numFmtId="0" fontId="24" fillId="5" borderId="1" xfId="17" applyFont="1" applyFill="1" applyBorder="1" applyAlignment="1">
      <alignment horizontal="center" vertical="center"/>
    </xf>
    <xf numFmtId="185" fontId="14" fillId="4" borderId="1" xfId="17" applyNumberFormat="1" applyFont="1" applyFill="1" applyBorder="1" applyAlignment="1">
      <alignment horizontal="right" vertical="center" shrinkToFit="1"/>
    </xf>
    <xf numFmtId="184" fontId="14" fillId="4" borderId="1" xfId="17" quotePrefix="1" applyNumberFormat="1" applyFont="1" applyFill="1" applyBorder="1" applyAlignment="1">
      <alignment horizontal="right" vertical="center" shrinkToFit="1"/>
    </xf>
    <xf numFmtId="176" fontId="17" fillId="4" borderId="1" xfId="17" applyNumberFormat="1" applyFont="1" applyFill="1" applyBorder="1" applyAlignment="1">
      <alignment horizontal="right" vertical="center" shrinkToFit="1"/>
    </xf>
    <xf numFmtId="185" fontId="14" fillId="5" borderId="1" xfId="17" applyNumberFormat="1" applyFont="1" applyFill="1" applyBorder="1" applyAlignment="1">
      <alignment horizontal="right" vertical="center" shrinkToFit="1"/>
    </xf>
    <xf numFmtId="184" fontId="14" fillId="5" borderId="1" xfId="17" quotePrefix="1" applyNumberFormat="1" applyFont="1" applyFill="1" applyBorder="1" applyAlignment="1">
      <alignment horizontal="right" vertical="center" shrinkToFit="1"/>
    </xf>
    <xf numFmtId="176" fontId="17" fillId="5" borderId="1" xfId="17" applyNumberFormat="1" applyFont="1" applyFill="1" applyBorder="1" applyAlignment="1">
      <alignment horizontal="right" vertical="center" shrinkToFit="1"/>
    </xf>
    <xf numFmtId="183" fontId="24" fillId="4" borderId="1" xfId="17" applyNumberFormat="1" applyFont="1" applyFill="1" applyBorder="1" applyAlignment="1">
      <alignment vertical="center" shrinkToFit="1"/>
    </xf>
    <xf numFmtId="0" fontId="24" fillId="0" borderId="1" xfId="17" applyFont="1" applyFill="1" applyBorder="1" applyAlignment="1">
      <alignment horizontal="center" vertical="center"/>
    </xf>
    <xf numFmtId="185" fontId="14" fillId="0" borderId="1" xfId="17" applyNumberFormat="1" applyFont="1" applyFill="1" applyBorder="1" applyAlignment="1">
      <alignment horizontal="right" vertical="center" shrinkToFit="1"/>
    </xf>
    <xf numFmtId="41" fontId="25" fillId="0" borderId="1" xfId="17" applyNumberFormat="1" applyFont="1" applyBorder="1" applyAlignment="1">
      <alignment vertical="center" shrinkToFit="1"/>
    </xf>
    <xf numFmtId="180" fontId="14" fillId="6" borderId="7" xfId="17" applyNumberFormat="1" applyFont="1" applyFill="1" applyBorder="1" applyAlignment="1">
      <alignment horizontal="center" vertical="center"/>
    </xf>
    <xf numFmtId="184" fontId="14" fillId="4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/>
    </xf>
    <xf numFmtId="0" fontId="24" fillId="5" borderId="12" xfId="17" applyFont="1" applyFill="1" applyBorder="1" applyAlignment="1">
      <alignment horizontal="center" vertical="center"/>
    </xf>
    <xf numFmtId="185" fontId="14" fillId="5" borderId="12" xfId="17" applyNumberFormat="1" applyFont="1" applyFill="1" applyBorder="1" applyAlignment="1">
      <alignment horizontal="right" vertical="center" shrinkToFit="1"/>
    </xf>
    <xf numFmtId="176" fontId="17" fillId="5" borderId="12" xfId="17" applyNumberFormat="1" applyFont="1" applyFill="1" applyBorder="1" applyAlignment="1">
      <alignment horizontal="right" vertical="center" shrinkToFit="1"/>
    </xf>
    <xf numFmtId="41" fontId="25" fillId="0" borderId="7" xfId="17" applyNumberFormat="1" applyFont="1" applyBorder="1" applyAlignment="1">
      <alignment vertical="center" shrinkToFit="1"/>
    </xf>
    <xf numFmtId="189" fontId="38" fillId="8" borderId="1" xfId="39" applyNumberFormat="1" applyFont="1" applyFill="1" applyBorder="1" applyAlignment="1">
      <alignment horizontal="right" vertical="center"/>
    </xf>
    <xf numFmtId="182" fontId="39" fillId="8" borderId="1" xfId="41" applyNumberFormat="1" applyFont="1" applyFill="1" applyBorder="1" applyAlignment="1">
      <alignment horizontal="right" vertical="center"/>
    </xf>
    <xf numFmtId="182" fontId="39" fillId="8" borderId="1" xfId="55" applyNumberFormat="1" applyFont="1" applyFill="1" applyBorder="1" applyAlignment="1">
      <alignment horizontal="right" vertical="center"/>
    </xf>
    <xf numFmtId="189" fontId="25" fillId="8" borderId="1" xfId="39" applyNumberFormat="1" applyFont="1" applyFill="1" applyBorder="1" applyAlignment="1">
      <alignment horizontal="right" vertical="center"/>
    </xf>
    <xf numFmtId="176" fontId="13" fillId="0" borderId="4" xfId="15" applyFont="1" applyFill="1" applyBorder="1" applyAlignment="1">
      <alignment horizontal="center" vertical="center"/>
    </xf>
    <xf numFmtId="176" fontId="25" fillId="0" borderId="1" xfId="15" applyFont="1" applyBorder="1" applyAlignment="1">
      <alignment vertical="center" shrinkToFit="1"/>
    </xf>
    <xf numFmtId="176" fontId="14" fillId="4" borderId="3" xfId="0" applyNumberFormat="1" applyFont="1" applyFill="1" applyBorder="1" applyAlignment="1">
      <alignment horizontal="center" vertical="center"/>
    </xf>
    <xf numFmtId="176" fontId="30" fillId="5" borderId="7" xfId="0" applyNumberFormat="1" applyFont="1" applyFill="1" applyBorder="1" applyAlignment="1">
      <alignment horizontal="center" vertical="center"/>
    </xf>
    <xf numFmtId="41" fontId="25" fillId="8" borderId="1" xfId="40" applyFont="1" applyFill="1" applyBorder="1" applyAlignment="1">
      <alignment horizontal="center" vertical="center"/>
    </xf>
    <xf numFmtId="41" fontId="25" fillId="8" borderId="1" xfId="23" applyFont="1" applyFill="1" applyBorder="1" applyAlignment="1">
      <alignment vertical="center"/>
    </xf>
    <xf numFmtId="41" fontId="25" fillId="8" borderId="12" xfId="40" applyFont="1" applyFill="1" applyBorder="1" applyAlignment="1">
      <alignment horizontal="center" vertical="center"/>
    </xf>
    <xf numFmtId="41" fontId="25" fillId="8" borderId="12" xfId="23" applyFont="1" applyFill="1" applyBorder="1" applyAlignment="1">
      <alignment vertical="center"/>
    </xf>
    <xf numFmtId="41" fontId="25" fillId="8" borderId="39" xfId="23" applyFont="1" applyFill="1" applyBorder="1" applyAlignment="1">
      <alignment horizontal="center" vertical="center"/>
    </xf>
    <xf numFmtId="0" fontId="24" fillId="4" borderId="1" xfId="17" applyFont="1" applyFill="1" applyBorder="1" applyAlignment="1">
      <alignment horizontal="center" vertical="center"/>
    </xf>
    <xf numFmtId="188" fontId="25" fillId="0" borderId="12" xfId="0" applyNumberFormat="1" applyFont="1" applyBorder="1" applyAlignment="1">
      <alignment horizontal="center" vertical="center"/>
    </xf>
    <xf numFmtId="176" fontId="25" fillId="0" borderId="12" xfId="15" applyFont="1" applyBorder="1" applyAlignment="1">
      <alignment horizontal="center" vertical="center"/>
    </xf>
    <xf numFmtId="176" fontId="33" fillId="0" borderId="23" xfId="15" applyFont="1" applyBorder="1" applyAlignment="1">
      <alignment horizontal="center" vertical="center"/>
    </xf>
    <xf numFmtId="176" fontId="25" fillId="0" borderId="12" xfId="15" applyFont="1" applyBorder="1" applyAlignment="1">
      <alignment horizontal="center" vertical="center" shrinkToFit="1"/>
    </xf>
    <xf numFmtId="176" fontId="33" fillId="0" borderId="23" xfId="15" applyFont="1" applyBorder="1" applyAlignment="1">
      <alignment horizontal="center" vertical="center" shrinkToFit="1"/>
    </xf>
    <xf numFmtId="188" fontId="33" fillId="0" borderId="23" xfId="0" applyNumberFormat="1" applyFont="1" applyBorder="1" applyAlignment="1">
      <alignment horizontal="center" vertical="center"/>
    </xf>
    <xf numFmtId="176" fontId="35" fillId="0" borderId="23" xfId="15" applyFont="1" applyBorder="1" applyAlignment="1">
      <alignment horizontal="center" vertical="center" shrinkToFit="1"/>
    </xf>
    <xf numFmtId="41" fontId="25" fillId="8" borderId="39" xfId="23" applyFont="1" applyFill="1" applyBorder="1" applyAlignment="1">
      <alignment horizontal="right" vertical="center"/>
    </xf>
    <xf numFmtId="41" fontId="25" fillId="8" borderId="1" xfId="23" applyFont="1" applyFill="1" applyBorder="1" applyAlignment="1">
      <alignment horizontal="right" vertical="center"/>
    </xf>
    <xf numFmtId="41" fontId="25" fillId="8" borderId="12" xfId="23" applyFont="1" applyFill="1" applyBorder="1" applyAlignment="1">
      <alignment horizontal="right" vertical="center"/>
    </xf>
    <xf numFmtId="41" fontId="25" fillId="8" borderId="40" xfId="23" applyFont="1" applyFill="1" applyBorder="1" applyAlignment="1">
      <alignment horizontal="right" vertical="center"/>
    </xf>
    <xf numFmtId="43" fontId="26" fillId="0" borderId="0" xfId="17" applyNumberFormat="1">
      <alignment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5" borderId="5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center" vertical="center"/>
    </xf>
    <xf numFmtId="176" fontId="13" fillId="0" borderId="5" xfId="0" applyNumberFormat="1" applyFont="1" applyFill="1" applyBorder="1" applyAlignment="1">
      <alignment horizontal="center" vertical="center"/>
    </xf>
    <xf numFmtId="176" fontId="13" fillId="0" borderId="3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25" xfId="0" applyNumberFormat="1" applyFont="1" applyFill="1" applyBorder="1" applyAlignment="1">
      <alignment horizontal="center" vertical="center"/>
    </xf>
    <xf numFmtId="176" fontId="13" fillId="5" borderId="16" xfId="0" applyNumberFormat="1" applyFont="1" applyFill="1" applyBorder="1" applyAlignment="1">
      <alignment horizontal="center" vertical="center"/>
    </xf>
    <xf numFmtId="176" fontId="14" fillId="7" borderId="9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center" vertical="center"/>
    </xf>
    <xf numFmtId="176" fontId="14" fillId="7" borderId="11" xfId="0" applyNumberFormat="1" applyFont="1" applyFill="1" applyBorder="1" applyAlignment="1">
      <alignment horizontal="center" vertical="center"/>
    </xf>
    <xf numFmtId="176" fontId="14" fillId="4" borderId="5" xfId="0" applyNumberFormat="1" applyFont="1" applyFill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9" fontId="14" fillId="5" borderId="6" xfId="0" applyNumberFormat="1" applyFont="1" applyFill="1" applyBorder="1" applyAlignment="1">
      <alignment horizontal="right"/>
    </xf>
    <xf numFmtId="9" fontId="14" fillId="5" borderId="6" xfId="0" quotePrefix="1" applyNumberFormat="1" applyFont="1" applyFill="1" applyBorder="1" applyAlignment="1">
      <alignment horizontal="right"/>
    </xf>
    <xf numFmtId="9" fontId="14" fillId="5" borderId="26" xfId="0" quotePrefix="1" applyNumberFormat="1" applyFont="1" applyFill="1" applyBorder="1" applyAlignment="1">
      <alignment horizontal="right"/>
    </xf>
    <xf numFmtId="176" fontId="14" fillId="6" borderId="20" xfId="0" applyNumberFormat="1" applyFont="1" applyFill="1" applyBorder="1" applyAlignment="1">
      <alignment horizontal="center" vertical="center"/>
    </xf>
    <xf numFmtId="176" fontId="13" fillId="2" borderId="4" xfId="0" applyNumberFormat="1" applyFont="1" applyFill="1" applyBorder="1" applyAlignment="1">
      <alignment horizontal="center" vertical="center"/>
    </xf>
    <xf numFmtId="176" fontId="13" fillId="2" borderId="25" xfId="0" applyNumberFormat="1" applyFont="1" applyFill="1" applyBorder="1" applyAlignment="1">
      <alignment horizontal="center" vertical="center"/>
    </xf>
    <xf numFmtId="176" fontId="13" fillId="2" borderId="16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76" fontId="14" fillId="6" borderId="27" xfId="0" applyNumberFormat="1" applyFont="1" applyFill="1" applyBorder="1" applyAlignment="1">
      <alignment horizontal="center" vertical="center"/>
    </xf>
    <xf numFmtId="176" fontId="14" fillId="6" borderId="15" xfId="0" applyNumberFormat="1" applyFont="1" applyFill="1" applyBorder="1" applyAlignment="1">
      <alignment horizontal="center" vertical="center"/>
    </xf>
    <xf numFmtId="176" fontId="14" fillId="6" borderId="21" xfId="0" applyNumberFormat="1" applyFont="1" applyFill="1" applyBorder="1" applyAlignment="1">
      <alignment horizontal="center" vertical="center"/>
    </xf>
    <xf numFmtId="176" fontId="14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2" fillId="0" borderId="0" xfId="0" applyNumberFormat="1" applyFont="1" applyAlignment="1">
      <alignment horizontal="center" wrapText="1"/>
    </xf>
    <xf numFmtId="176" fontId="12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 vertical="top" wrapText="1"/>
    </xf>
    <xf numFmtId="176" fontId="14" fillId="6" borderId="37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4" fillId="6" borderId="33" xfId="0" applyNumberFormat="1" applyFont="1" applyFill="1" applyBorder="1" applyAlignment="1">
      <alignment horizontal="center" vertical="center"/>
    </xf>
    <xf numFmtId="176" fontId="14" fillId="6" borderId="34" xfId="0" applyNumberFormat="1" applyFont="1" applyFill="1" applyBorder="1" applyAlignment="1">
      <alignment horizontal="center" vertical="center"/>
    </xf>
    <xf numFmtId="176" fontId="14" fillId="6" borderId="24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176" fontId="14" fillId="6" borderId="20" xfId="17" applyNumberFormat="1" applyFont="1" applyFill="1" applyBorder="1" applyAlignment="1">
      <alignment horizontal="center" vertical="center"/>
    </xf>
    <xf numFmtId="176" fontId="14" fillId="6" borderId="38" xfId="17" applyNumberFormat="1" applyFont="1" applyFill="1" applyBorder="1" applyAlignment="1">
      <alignment horizontal="center" vertical="center"/>
    </xf>
    <xf numFmtId="0" fontId="24" fillId="4" borderId="36" xfId="17" applyFont="1" applyFill="1" applyBorder="1" applyAlignment="1">
      <alignment horizontal="center" vertical="center"/>
    </xf>
    <xf numFmtId="0" fontId="24" fillId="4" borderId="1" xfId="17" applyFont="1" applyFill="1" applyBorder="1" applyAlignment="1">
      <alignment horizontal="center" vertical="center"/>
    </xf>
    <xf numFmtId="0" fontId="25" fillId="0" borderId="36" xfId="17" applyFont="1" applyBorder="1" applyAlignment="1">
      <alignment horizontal="center" vertical="center"/>
    </xf>
    <xf numFmtId="0" fontId="25" fillId="0" borderId="1" xfId="17" applyFont="1" applyBorder="1" applyAlignment="1">
      <alignment horizontal="center" vertical="center"/>
    </xf>
    <xf numFmtId="176" fontId="14" fillId="6" borderId="19" xfId="17" applyNumberFormat="1" applyFont="1" applyFill="1" applyBorder="1" applyAlignment="1">
      <alignment horizontal="center" vertical="center"/>
    </xf>
    <xf numFmtId="0" fontId="26" fillId="6" borderId="20" xfId="17" applyFill="1" applyBorder="1">
      <alignment vertical="center"/>
    </xf>
    <xf numFmtId="0" fontId="26" fillId="6" borderId="36" xfId="17" applyFill="1" applyBorder="1">
      <alignment vertical="center"/>
    </xf>
    <xf numFmtId="0" fontId="26" fillId="6" borderId="1" xfId="17" applyFill="1" applyBorder="1">
      <alignment vertical="center"/>
    </xf>
    <xf numFmtId="0" fontId="27" fillId="6" borderId="20" xfId="17" applyFont="1" applyFill="1" applyBorder="1" applyAlignment="1">
      <alignment horizontal="center" vertical="center"/>
    </xf>
    <xf numFmtId="0" fontId="27" fillId="6" borderId="1" xfId="17" applyFont="1" applyFill="1" applyBorder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5" fillId="0" borderId="12" xfId="17" applyFont="1" applyBorder="1" applyAlignment="1">
      <alignment horizontal="center" vertical="center"/>
    </xf>
    <xf numFmtId="0" fontId="25" fillId="0" borderId="36" xfId="17" applyFont="1" applyFill="1" applyBorder="1" applyAlignment="1">
      <alignment horizontal="center" vertical="center"/>
    </xf>
    <xf numFmtId="0" fontId="25" fillId="0" borderId="1" xfId="17" applyFont="1" applyFill="1" applyBorder="1" applyAlignment="1">
      <alignment horizontal="center" vertical="center"/>
    </xf>
  </cellXfs>
  <cellStyles count="57"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쉼표 [0]" xfId="15" builtinId="6"/>
    <cellStyle name="쉼표 [0] 2" xfId="20" xr:uid="{00000000-0005-0000-0000-00000F000000}"/>
    <cellStyle name="쉼표 [0] 3" xfId="23" xr:uid="{00000000-0005-0000-0000-000010000000}"/>
    <cellStyle name="쉼표 [0] 3 2" xfId="33" xr:uid="{00000000-0005-0000-0000-000011000000}"/>
    <cellStyle name="쉼표 [0] 4" xfId="40" xr:uid="{00000000-0005-0000-0000-000012000000}"/>
    <cellStyle name="쉼표 [0] 5" xfId="56" xr:uid="{00000000-0005-0000-0000-000013000000}"/>
    <cellStyle name="표준" xfId="0" builtinId="0"/>
    <cellStyle name="표준 2" xfId="19" xr:uid="{00000000-0005-0000-0000-000015000000}"/>
    <cellStyle name="표준 3" xfId="18" xr:uid="{00000000-0005-0000-0000-000016000000}"/>
    <cellStyle name="표준 3 2" xfId="21" xr:uid="{00000000-0005-0000-0000-000017000000}"/>
    <cellStyle name="표준 3 2 2" xfId="29" xr:uid="{00000000-0005-0000-0000-000018000000}"/>
    <cellStyle name="표준 3 2 2 2" xfId="39" xr:uid="{00000000-0005-0000-0000-000019000000}"/>
    <cellStyle name="표준 3 2 2 2 2" xfId="55" xr:uid="{00000000-0005-0000-0000-00001A000000}"/>
    <cellStyle name="표준 3 2 2 3" xfId="47" xr:uid="{00000000-0005-0000-0000-00001B000000}"/>
    <cellStyle name="표준 3 2 3" xfId="27" xr:uid="{00000000-0005-0000-0000-00001C000000}"/>
    <cellStyle name="표준 3 2 3 2" xfId="37" xr:uid="{00000000-0005-0000-0000-00001D000000}"/>
    <cellStyle name="표준 3 2 3 2 2" xfId="53" xr:uid="{00000000-0005-0000-0000-00001E000000}"/>
    <cellStyle name="표준 3 2 3 3" xfId="45" xr:uid="{00000000-0005-0000-0000-00001F000000}"/>
    <cellStyle name="표준 3 2 4" xfId="35" xr:uid="{00000000-0005-0000-0000-000020000000}"/>
    <cellStyle name="표준 3 2 4 2" xfId="51" xr:uid="{00000000-0005-0000-0000-000021000000}"/>
    <cellStyle name="표준 3 2 5" xfId="43" xr:uid="{00000000-0005-0000-0000-000022000000}"/>
    <cellStyle name="표준 3 2 6" xfId="25" xr:uid="{00000000-0005-0000-0000-000023000000}"/>
    <cellStyle name="표준 3 3" xfId="28" xr:uid="{00000000-0005-0000-0000-000024000000}"/>
    <cellStyle name="표준 3 3 2" xfId="38" xr:uid="{00000000-0005-0000-0000-000025000000}"/>
    <cellStyle name="표준 3 3 2 2" xfId="54" xr:uid="{00000000-0005-0000-0000-000026000000}"/>
    <cellStyle name="표준 3 3 3" xfId="46" xr:uid="{00000000-0005-0000-0000-000027000000}"/>
    <cellStyle name="표준 3 4" xfId="26" xr:uid="{00000000-0005-0000-0000-000028000000}"/>
    <cellStyle name="표준 3 4 2" xfId="36" xr:uid="{00000000-0005-0000-0000-000029000000}"/>
    <cellStyle name="표준 3 4 2 2" xfId="52" xr:uid="{00000000-0005-0000-0000-00002A000000}"/>
    <cellStyle name="표준 3 4 3" xfId="44" xr:uid="{00000000-0005-0000-0000-00002B000000}"/>
    <cellStyle name="표준 3 5" xfId="30" xr:uid="{00000000-0005-0000-0000-00002C000000}"/>
    <cellStyle name="표준 3 5 2" xfId="48" xr:uid="{00000000-0005-0000-0000-00002D000000}"/>
    <cellStyle name="표준 3 6" xfId="34" xr:uid="{00000000-0005-0000-0000-00002E000000}"/>
    <cellStyle name="표준 3 6 2" xfId="50" xr:uid="{00000000-0005-0000-0000-00002F000000}"/>
    <cellStyle name="표준 3 7" xfId="42" xr:uid="{00000000-0005-0000-0000-000030000000}"/>
    <cellStyle name="표준 3 8" xfId="24" xr:uid="{00000000-0005-0000-0000-000031000000}"/>
    <cellStyle name="표준 4" xfId="22" xr:uid="{00000000-0005-0000-0000-000032000000}"/>
    <cellStyle name="표준 5" xfId="32" xr:uid="{00000000-0005-0000-0000-000033000000}"/>
    <cellStyle name="표준 6" xfId="31" xr:uid="{00000000-0005-0000-0000-000034000000}"/>
    <cellStyle name="표준 6 2" xfId="49" xr:uid="{00000000-0005-0000-0000-000035000000}"/>
    <cellStyle name="표준 7" xfId="41" xr:uid="{00000000-0005-0000-0000-000036000000}"/>
    <cellStyle name="표준_2008년 03월 평택.당진항 항만운영통계" xfId="16" xr:uid="{00000000-0005-0000-0000-000037000000}"/>
    <cellStyle name="표준_부두별입출항 실적(03)" xfId="17" xr:uid="{00000000-0005-0000-0000-000038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39283098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41194607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42048896"/>
        <c:axId val="42062976"/>
        <c:axId val="0"/>
      </c:bar3DChart>
      <c:catAx>
        <c:axId val="42048896"/>
        <c:scaling>
          <c:orientation val="minMax"/>
        </c:scaling>
        <c:delete val="1"/>
        <c:axPos val="b"/>
        <c:majorTickMark val="out"/>
        <c:minorTickMark val="none"/>
        <c:tickLblPos val="none"/>
        <c:crossAx val="42062976"/>
        <c:crosses val="autoZero"/>
        <c:auto val="1"/>
        <c:lblAlgn val="ctr"/>
        <c:lblOffset val="100"/>
        <c:noMultiLvlLbl val="0"/>
      </c:catAx>
      <c:valAx>
        <c:axId val="42062976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048896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279329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262166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42165760"/>
        <c:axId val="42167296"/>
        <c:axId val="0"/>
      </c:bar3DChart>
      <c:catAx>
        <c:axId val="42165760"/>
        <c:scaling>
          <c:orientation val="minMax"/>
        </c:scaling>
        <c:delete val="1"/>
        <c:axPos val="b"/>
        <c:majorTickMark val="out"/>
        <c:minorTickMark val="none"/>
        <c:tickLblPos val="none"/>
        <c:crossAx val="42167296"/>
        <c:crosses val="autoZero"/>
        <c:auto val="1"/>
        <c:lblAlgn val="ctr"/>
        <c:lblOffset val="100"/>
        <c:noMultiLvlLbl val="0"/>
      </c:catAx>
      <c:valAx>
        <c:axId val="42167296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165760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수송실적'!$I$3:$N$3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23.04.</c:v>
                </c:pt>
              </c:strCache>
            </c:strRef>
          </c:cat>
          <c:val>
            <c:numRef>
              <c:f>'연도별 수송실적'!$I$4:$N$4</c:f>
              <c:numCache>
                <c:formatCode>#,##0,</c:formatCode>
                <c:ptCount val="6"/>
                <c:pt idx="0">
                  <c:v>115146882</c:v>
                </c:pt>
                <c:pt idx="1">
                  <c:v>113201331</c:v>
                </c:pt>
                <c:pt idx="2">
                  <c:v>106847350</c:v>
                </c:pt>
                <c:pt idx="3">
                  <c:v>116876152</c:v>
                </c:pt>
                <c:pt idx="4">
                  <c:v>116171568</c:v>
                </c:pt>
                <c:pt idx="5">
                  <c:v>41194607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46848"/>
        <c:axId val="42448768"/>
      </c:lineChart>
      <c:catAx>
        <c:axId val="42446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448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4487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4468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수송실적'!$B$6:$G$6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23.04.</c:v>
                </c:pt>
              </c:strCache>
            </c:strRef>
          </c:cat>
          <c:val>
            <c:numRef>
              <c:f>'연도별 수송실적'!$B$7:$G$7</c:f>
              <c:numCache>
                <c:formatCode>_ * #,##0_ ;_ * \-#,##0_ ;_ * "-"_ ;_ @_ </c:formatCode>
                <c:ptCount val="6"/>
                <c:pt idx="0">
                  <c:v>689852</c:v>
                </c:pt>
                <c:pt idx="1">
                  <c:v>725047</c:v>
                </c:pt>
                <c:pt idx="2">
                  <c:v>792643</c:v>
                </c:pt>
                <c:pt idx="3">
                  <c:v>936246</c:v>
                </c:pt>
                <c:pt idx="4">
                  <c:v>851953</c:v>
                </c:pt>
                <c:pt idx="5">
                  <c:v>262166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69952"/>
        <c:axId val="42684416"/>
      </c:lineChart>
      <c:catAx>
        <c:axId val="4266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684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6844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66995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수송실적'!$I$6:$N$6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23.04.</c:v>
                </c:pt>
              </c:strCache>
            </c:strRef>
          </c:cat>
          <c:val>
            <c:numRef>
              <c:f>'연도별 수송실적'!$I$7:$N$7</c:f>
              <c:numCache>
                <c:formatCode>_ * #,##0_ ;_ * \-#,##0_ ;_ * "-"_ ;_ @_ </c:formatCode>
                <c:ptCount val="6"/>
                <c:pt idx="0">
                  <c:v>452480</c:v>
                </c:pt>
                <c:pt idx="1">
                  <c:v>623733</c:v>
                </c:pt>
                <c:pt idx="2">
                  <c:v>40267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02720"/>
        <c:axId val="42721280"/>
      </c:lineChart>
      <c:catAx>
        <c:axId val="4270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721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7212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270272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23.04.</c:v>
                </c:pt>
              </c:strCache>
            </c:strRef>
          </c:cat>
          <c:val>
            <c:numRef>
              <c:f>'연도별 수송실적'!$B$4:$G$4</c:f>
              <c:numCache>
                <c:formatCode>_ * #,##0_ ;_ * \-#,##0_ ;_ * "-"_ ;_ @_ 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5743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35104"/>
        <c:axId val="197937024"/>
      </c:lineChart>
      <c:catAx>
        <c:axId val="19793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37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9370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351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수송실적'!$B$3:$G$3</c:f>
              <c:strCache>
                <c:ptCount val="6"/>
                <c:pt idx="0">
                  <c:v>18 </c:v>
                </c:pt>
                <c:pt idx="1">
                  <c:v>19 </c:v>
                </c:pt>
                <c:pt idx="2">
                  <c:v>20 </c:v>
                </c:pt>
                <c:pt idx="3">
                  <c:v>21 </c:v>
                </c:pt>
                <c:pt idx="4">
                  <c:v>22 </c:v>
                </c:pt>
                <c:pt idx="5">
                  <c:v>23.04.</c:v>
                </c:pt>
              </c:strCache>
            </c:strRef>
          </c:cat>
          <c:val>
            <c:numRef>
              <c:f>'연도별 수송실적'!$B$4:$G$4</c:f>
              <c:numCache>
                <c:formatCode>_ * #,##0_ ;_ * \-#,##0_ ;_ * "-"_ ;_ @_ 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5743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76448"/>
        <c:axId val="197978368"/>
      </c:lineChart>
      <c:catAx>
        <c:axId val="19797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78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79783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9764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:a16="http://schemas.microsoft.com/office/drawing/2014/main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:a16="http://schemas.microsoft.com/office/drawing/2014/main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9" bestFit="1" customWidth="1"/>
    <col min="11" max="11" width="7.75" style="8" customWidth="1"/>
    <col min="12" max="12" width="13.75" style="10" bestFit="1" customWidth="1"/>
    <col min="13" max="13" width="7.75" style="11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7" t="s">
        <v>26</v>
      </c>
      <c r="L1" s="192"/>
      <c r="M1" s="192"/>
    </row>
    <row r="2" spans="2:15" ht="33" customHeight="1">
      <c r="B2" s="202" t="s">
        <v>49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</row>
    <row r="3" spans="2:15" ht="27.75" customHeight="1">
      <c r="B3" s="204" t="s">
        <v>106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</row>
    <row r="4" spans="2:15" ht="21.2" customHeight="1" thickBot="1">
      <c r="B4" s="175" t="s">
        <v>71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</row>
    <row r="5" spans="2:15" ht="21.2" customHeight="1">
      <c r="B5" s="196" t="s">
        <v>7</v>
      </c>
      <c r="C5" s="197"/>
      <c r="D5" s="198"/>
      <c r="E5" s="34"/>
      <c r="F5" s="194" t="s">
        <v>97</v>
      </c>
      <c r="G5" s="205"/>
      <c r="H5" s="188" t="s">
        <v>98</v>
      </c>
      <c r="I5" s="188"/>
      <c r="J5" s="193" t="s">
        <v>15</v>
      </c>
      <c r="K5" s="194"/>
      <c r="L5" s="194"/>
      <c r="M5" s="195"/>
    </row>
    <row r="6" spans="2:15" ht="20.25" customHeight="1">
      <c r="B6" s="199"/>
      <c r="C6" s="200"/>
      <c r="D6" s="201"/>
      <c r="E6" s="35" t="s">
        <v>11</v>
      </c>
      <c r="F6" s="98" t="s">
        <v>102</v>
      </c>
      <c r="G6" s="36" t="s">
        <v>103</v>
      </c>
      <c r="H6" s="98" t="s">
        <v>104</v>
      </c>
      <c r="I6" s="99" t="s">
        <v>105</v>
      </c>
      <c r="J6" s="36" t="s">
        <v>57</v>
      </c>
      <c r="K6" s="37" t="s">
        <v>16</v>
      </c>
      <c r="L6" s="38" t="s">
        <v>18</v>
      </c>
      <c r="M6" s="39" t="s">
        <v>16</v>
      </c>
    </row>
    <row r="7" spans="2:15" ht="21.2" customHeight="1">
      <c r="B7" s="180" t="s">
        <v>21</v>
      </c>
      <c r="C7" s="183" t="s">
        <v>12</v>
      </c>
      <c r="D7" s="184"/>
      <c r="E7" s="12">
        <f>SUM(E8:E9)</f>
        <v>16626</v>
      </c>
      <c r="F7" s="12">
        <f>SUM(F8:F9)</f>
        <v>1416</v>
      </c>
      <c r="G7" s="12">
        <f>SUM(G8:G9)</f>
        <v>5681</v>
      </c>
      <c r="H7" s="12">
        <f>SUM(H8:H9)</f>
        <v>1416</v>
      </c>
      <c r="I7" s="12">
        <f>SUM(I8:I9)</f>
        <v>5743</v>
      </c>
      <c r="J7" s="12">
        <f>H7-F7</f>
        <v>0</v>
      </c>
      <c r="K7" s="15">
        <f>H7/F7</f>
        <v>1</v>
      </c>
      <c r="L7" s="13">
        <f>I7-G7</f>
        <v>62</v>
      </c>
      <c r="M7" s="23">
        <f>I7/G7</f>
        <v>1.0109135715543038</v>
      </c>
    </row>
    <row r="8" spans="2:15" ht="19.5" customHeight="1">
      <c r="B8" s="181"/>
      <c r="C8" s="171" t="s">
        <v>9</v>
      </c>
      <c r="D8" s="172"/>
      <c r="E8" s="144">
        <v>10009</v>
      </c>
      <c r="F8" s="19">
        <v>839</v>
      </c>
      <c r="G8" s="19">
        <v>3337</v>
      </c>
      <c r="H8" s="19">
        <v>843</v>
      </c>
      <c r="I8" s="19">
        <v>3522</v>
      </c>
      <c r="J8" s="3">
        <f t="shared" ref="J8:J28" si="0">H8-F8</f>
        <v>4</v>
      </c>
      <c r="K8" s="17">
        <f t="shared" ref="K8:K28" si="1">H8/F8</f>
        <v>1.0047675804529201</v>
      </c>
      <c r="L8" s="18">
        <f t="shared" ref="L8:L28" si="2">I8-G8</f>
        <v>185</v>
      </c>
      <c r="M8" s="24">
        <f t="shared" ref="M8:M28" si="3">I8/G8</f>
        <v>1.0554390170812107</v>
      </c>
    </row>
    <row r="9" spans="2:15" ht="19.5" customHeight="1">
      <c r="B9" s="182"/>
      <c r="C9" s="173" t="s">
        <v>10</v>
      </c>
      <c r="D9" s="174"/>
      <c r="E9" s="144">
        <v>6617</v>
      </c>
      <c r="F9" s="20">
        <v>577</v>
      </c>
      <c r="G9" s="20">
        <v>2344</v>
      </c>
      <c r="H9" s="20">
        <v>573</v>
      </c>
      <c r="I9" s="20">
        <v>2221</v>
      </c>
      <c r="J9" s="20">
        <f t="shared" si="0"/>
        <v>-4</v>
      </c>
      <c r="K9" s="21">
        <f t="shared" si="1"/>
        <v>0.99306759098786823</v>
      </c>
      <c r="L9" s="22">
        <f t="shared" si="2"/>
        <v>-123</v>
      </c>
      <c r="M9" s="25">
        <f t="shared" si="3"/>
        <v>0.9475255972696246</v>
      </c>
    </row>
    <row r="10" spans="2:15" ht="21.2" customHeight="1">
      <c r="B10" s="180" t="s">
        <v>22</v>
      </c>
      <c r="C10" s="183" t="s">
        <v>8</v>
      </c>
      <c r="D10" s="184"/>
      <c r="E10" s="40">
        <f>E11+E15</f>
        <v>116137277</v>
      </c>
      <c r="F10" s="40">
        <f>F11+F15</f>
        <v>9411823</v>
      </c>
      <c r="G10" s="40">
        <f>G11+G15</f>
        <v>39283098</v>
      </c>
      <c r="H10" s="40">
        <f>H11+H15</f>
        <v>9233222</v>
      </c>
      <c r="I10" s="40">
        <f>I11+I15</f>
        <v>41194607</v>
      </c>
      <c r="J10" s="40">
        <f t="shared" si="0"/>
        <v>-178601</v>
      </c>
      <c r="K10" s="15">
        <f t="shared" si="1"/>
        <v>0.98102376128407853</v>
      </c>
      <c r="L10" s="115">
        <f>I10-G10</f>
        <v>1911509</v>
      </c>
      <c r="M10" s="23">
        <f t="shared" si="3"/>
        <v>1.0486598332952253</v>
      </c>
    </row>
    <row r="11" spans="2:15" ht="19.5" customHeight="1">
      <c r="B11" s="181"/>
      <c r="C11" s="177" t="s">
        <v>1</v>
      </c>
      <c r="D11" s="77" t="s">
        <v>0</v>
      </c>
      <c r="E11" s="73">
        <f>SUM(E12:E14)</f>
        <v>104335502</v>
      </c>
      <c r="F11" s="73">
        <f>SUM(F12:F14)</f>
        <v>8408170</v>
      </c>
      <c r="G11" s="73">
        <f>SUM(G12:G14)</f>
        <v>35089550</v>
      </c>
      <c r="H11" s="73">
        <f>SUM(H12:H14)</f>
        <v>8301895</v>
      </c>
      <c r="I11" s="73">
        <f>SUM(I12:I14)</f>
        <v>37541887</v>
      </c>
      <c r="J11" s="110">
        <f>H11-F11</f>
        <v>-106275</v>
      </c>
      <c r="K11" s="74">
        <f t="shared" si="1"/>
        <v>0.98736050769668071</v>
      </c>
      <c r="L11" s="112">
        <f>I11-G11</f>
        <v>2452337</v>
      </c>
      <c r="M11" s="75">
        <f t="shared" si="3"/>
        <v>1.0698879580957863</v>
      </c>
    </row>
    <row r="12" spans="2:15" ht="19.5" customHeight="1">
      <c r="B12" s="181"/>
      <c r="C12" s="178"/>
      <c r="D12" s="4" t="s">
        <v>5</v>
      </c>
      <c r="E12" s="145">
        <v>85021042</v>
      </c>
      <c r="F12" s="41">
        <v>6714057</v>
      </c>
      <c r="G12" s="41">
        <v>28472167</v>
      </c>
      <c r="H12" s="41">
        <v>6578764</v>
      </c>
      <c r="I12" s="41">
        <v>30177430</v>
      </c>
      <c r="J12" s="108">
        <f t="shared" si="0"/>
        <v>-135293</v>
      </c>
      <c r="K12" s="17">
        <f t="shared" si="1"/>
        <v>0.97984929231312756</v>
      </c>
      <c r="L12" s="113">
        <f t="shared" si="2"/>
        <v>1705263</v>
      </c>
      <c r="M12" s="24">
        <f t="shared" si="3"/>
        <v>1.0598922800642465</v>
      </c>
      <c r="O12" s="106"/>
    </row>
    <row r="13" spans="2:15" ht="19.5" customHeight="1">
      <c r="B13" s="181"/>
      <c r="C13" s="178"/>
      <c r="D13" s="4" t="s">
        <v>6</v>
      </c>
      <c r="E13" s="146">
        <v>15759226</v>
      </c>
      <c r="F13" s="41">
        <v>1394522</v>
      </c>
      <c r="G13" s="41">
        <v>5398817</v>
      </c>
      <c r="H13" s="41">
        <v>1466854</v>
      </c>
      <c r="I13" s="41">
        <v>6180827</v>
      </c>
      <c r="J13" s="108">
        <f t="shared" si="0"/>
        <v>72332</v>
      </c>
      <c r="K13" s="17">
        <f t="shared" si="1"/>
        <v>1.0518686689776138</v>
      </c>
      <c r="L13" s="113">
        <f t="shared" si="2"/>
        <v>782010</v>
      </c>
      <c r="M13" s="24">
        <f t="shared" si="3"/>
        <v>1.1448483991956016</v>
      </c>
    </row>
    <row r="14" spans="2:15" ht="19.5" customHeight="1">
      <c r="B14" s="181"/>
      <c r="C14" s="179"/>
      <c r="D14" s="4" t="s">
        <v>13</v>
      </c>
      <c r="E14" s="146">
        <v>3555234</v>
      </c>
      <c r="F14" s="41">
        <f>147992+151599</f>
        <v>299591</v>
      </c>
      <c r="G14" s="41">
        <f>591451+627115</f>
        <v>1218566</v>
      </c>
      <c r="H14" s="107">
        <f>128578+127699</f>
        <v>256277</v>
      </c>
      <c r="I14" s="107">
        <f>610117+573513</f>
        <v>1183630</v>
      </c>
      <c r="J14" s="108">
        <f t="shared" si="0"/>
        <v>-43314</v>
      </c>
      <c r="K14" s="17">
        <f>H14/F14</f>
        <v>0.85542289321107778</v>
      </c>
      <c r="L14" s="113">
        <f t="shared" si="2"/>
        <v>-34936</v>
      </c>
      <c r="M14" s="24">
        <f t="shared" si="3"/>
        <v>0.97133023570327748</v>
      </c>
    </row>
    <row r="15" spans="2:15" ht="19.5" customHeight="1">
      <c r="B15" s="181"/>
      <c r="C15" s="189" t="s">
        <v>2</v>
      </c>
      <c r="D15" s="76" t="s">
        <v>0</v>
      </c>
      <c r="E15" s="70">
        <f>SUM(E16:E18)</f>
        <v>11801775</v>
      </c>
      <c r="F15" s="70">
        <f>SUM(F16:F18)</f>
        <v>1003653</v>
      </c>
      <c r="G15" s="70">
        <f>SUM(G16:G18)</f>
        <v>4193548</v>
      </c>
      <c r="H15" s="70">
        <f>SUM(H16:H18)</f>
        <v>931327</v>
      </c>
      <c r="I15" s="70">
        <f>SUM(I16:I18)</f>
        <v>3652720</v>
      </c>
      <c r="J15" s="111">
        <f t="shared" si="0"/>
        <v>-72326</v>
      </c>
      <c r="K15" s="71">
        <f t="shared" si="1"/>
        <v>0.92793724524312682</v>
      </c>
      <c r="L15" s="114">
        <f t="shared" si="2"/>
        <v>-540828</v>
      </c>
      <c r="M15" s="72">
        <f t="shared" si="3"/>
        <v>0.87103331117230565</v>
      </c>
    </row>
    <row r="16" spans="2:15" ht="19.5" customHeight="1">
      <c r="B16" s="181"/>
      <c r="C16" s="190"/>
      <c r="D16" s="4" t="s">
        <v>3</v>
      </c>
      <c r="E16" s="146">
        <v>8295705</v>
      </c>
      <c r="F16" s="41">
        <v>741454</v>
      </c>
      <c r="G16" s="41">
        <v>2863279</v>
      </c>
      <c r="H16" s="41">
        <v>702013</v>
      </c>
      <c r="I16" s="41">
        <v>2524521</v>
      </c>
      <c r="J16" s="109">
        <f t="shared" si="0"/>
        <v>-39441</v>
      </c>
      <c r="K16" s="17">
        <f t="shared" si="1"/>
        <v>0.94680587062717314</v>
      </c>
      <c r="L16" s="113">
        <f t="shared" si="2"/>
        <v>-338758</v>
      </c>
      <c r="M16" s="24">
        <f t="shared" si="3"/>
        <v>0.88168879106786313</v>
      </c>
    </row>
    <row r="17" spans="1:13" ht="19.5" customHeight="1">
      <c r="B17" s="181"/>
      <c r="C17" s="190"/>
      <c r="D17" s="5" t="s">
        <v>4</v>
      </c>
      <c r="E17" s="146">
        <v>3506070</v>
      </c>
      <c r="F17" s="42">
        <v>262199</v>
      </c>
      <c r="G17" s="42">
        <v>1330269</v>
      </c>
      <c r="H17" s="42">
        <v>229314</v>
      </c>
      <c r="I17" s="42">
        <v>1128199</v>
      </c>
      <c r="J17" s="109">
        <f t="shared" si="0"/>
        <v>-32885</v>
      </c>
      <c r="K17" s="17">
        <f t="shared" si="1"/>
        <v>0.87457999458426616</v>
      </c>
      <c r="L17" s="113">
        <f t="shared" si="2"/>
        <v>-202070</v>
      </c>
      <c r="M17" s="24">
        <f t="shared" si="3"/>
        <v>0.84809839212971216</v>
      </c>
    </row>
    <row r="18" spans="1:13" ht="19.5" customHeight="1">
      <c r="B18" s="182"/>
      <c r="C18" s="191"/>
      <c r="D18" s="5" t="s">
        <v>17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109">
        <f t="shared" si="0"/>
        <v>0</v>
      </c>
      <c r="K18" s="79">
        <v>0</v>
      </c>
      <c r="L18" s="113">
        <f t="shared" si="2"/>
        <v>0</v>
      </c>
      <c r="M18" s="24" t="s">
        <v>96</v>
      </c>
    </row>
    <row r="19" spans="1:13" ht="20.100000000000001" customHeight="1">
      <c r="B19" s="26"/>
      <c r="C19" s="27"/>
      <c r="D19" s="6"/>
      <c r="E19" s="14"/>
      <c r="F19" s="1"/>
      <c r="G19" s="1"/>
      <c r="H19" s="1"/>
      <c r="I19" s="14"/>
      <c r="J19" s="16"/>
      <c r="K19" s="185" t="s">
        <v>23</v>
      </c>
      <c r="L19" s="186"/>
      <c r="M19" s="187"/>
    </row>
    <row r="20" spans="1:13" ht="21.2" customHeight="1">
      <c r="B20" s="116"/>
      <c r="C20" s="183" t="s">
        <v>8</v>
      </c>
      <c r="D20" s="184"/>
      <c r="E20" s="83">
        <f>SUM(E21,E25)</f>
        <v>851953</v>
      </c>
      <c r="F20" s="150">
        <f>SUM(F21,F25)</f>
        <v>69681</v>
      </c>
      <c r="G20" s="150">
        <f>SUM(G21,G25)</f>
        <v>279329</v>
      </c>
      <c r="H20" s="83">
        <f>SUM(H21,H25)</f>
        <v>66519</v>
      </c>
      <c r="I20" s="83">
        <f>SUM(I21,I25)</f>
        <v>262166</v>
      </c>
      <c r="J20" s="84">
        <f t="shared" si="0"/>
        <v>-3162</v>
      </c>
      <c r="K20" s="85">
        <f t="shared" si="1"/>
        <v>0.95462177638093593</v>
      </c>
      <c r="L20" s="86">
        <f t="shared" si="2"/>
        <v>-17163</v>
      </c>
      <c r="M20" s="23">
        <f>I20/G20</f>
        <v>0.93855632605279082</v>
      </c>
    </row>
    <row r="21" spans="1:13" ht="19.5" customHeight="1">
      <c r="B21" s="117"/>
      <c r="C21" s="170" t="s">
        <v>1</v>
      </c>
      <c r="D21" s="78" t="s">
        <v>0</v>
      </c>
      <c r="E21" s="79">
        <f>SUM(E22:E24)</f>
        <v>851953</v>
      </c>
      <c r="F21" s="79">
        <f>SUM(F22:F24)</f>
        <v>69681</v>
      </c>
      <c r="G21" s="79">
        <f>SUM(G22:G24)</f>
        <v>279329</v>
      </c>
      <c r="H21" s="79">
        <f>SUM(H22:H24)</f>
        <v>66519</v>
      </c>
      <c r="I21" s="79">
        <f>SUM(I22:I24)</f>
        <v>262166</v>
      </c>
      <c r="J21" s="80">
        <f t="shared" si="0"/>
        <v>-3162</v>
      </c>
      <c r="K21" s="81">
        <f t="shared" si="1"/>
        <v>0.95462177638093593</v>
      </c>
      <c r="L21" s="82">
        <f t="shared" si="2"/>
        <v>-17163</v>
      </c>
      <c r="M21" s="75">
        <f t="shared" si="3"/>
        <v>0.93855632605279082</v>
      </c>
    </row>
    <row r="22" spans="1:13" ht="19.5" customHeight="1">
      <c r="B22" s="118" t="s">
        <v>19</v>
      </c>
      <c r="C22" s="170"/>
      <c r="D22" s="45" t="s">
        <v>5</v>
      </c>
      <c r="E22" s="147">
        <v>416040.5</v>
      </c>
      <c r="F22" s="47">
        <v>34947.5</v>
      </c>
      <c r="G22" s="148">
        <v>135738.5</v>
      </c>
      <c r="H22" s="47">
        <v>34320</v>
      </c>
      <c r="I22" s="47">
        <v>130751.5</v>
      </c>
      <c r="J22" s="105">
        <f t="shared" si="0"/>
        <v>-627.5</v>
      </c>
      <c r="K22" s="44">
        <f t="shared" si="1"/>
        <v>0.98204449531440019</v>
      </c>
      <c r="L22" s="22">
        <f t="shared" si="2"/>
        <v>-4987</v>
      </c>
      <c r="M22" s="24">
        <f t="shared" si="3"/>
        <v>0.96326023935729366</v>
      </c>
    </row>
    <row r="23" spans="1:13" ht="19.5" customHeight="1">
      <c r="B23" s="118" t="s">
        <v>20</v>
      </c>
      <c r="C23" s="170"/>
      <c r="D23" s="2" t="s">
        <v>14</v>
      </c>
      <c r="E23" s="147">
        <v>418271.5</v>
      </c>
      <c r="F23" s="47">
        <v>32459.5</v>
      </c>
      <c r="G23" s="148">
        <v>136232.5</v>
      </c>
      <c r="H23" s="47">
        <v>31642</v>
      </c>
      <c r="I23" s="47">
        <v>128389.5</v>
      </c>
      <c r="J23" s="105">
        <f t="shared" si="0"/>
        <v>-817.5</v>
      </c>
      <c r="K23" s="44">
        <f t="shared" si="1"/>
        <v>0.97481476917389365</v>
      </c>
      <c r="L23" s="18">
        <f t="shared" si="2"/>
        <v>-7843</v>
      </c>
      <c r="M23" s="24">
        <f t="shared" si="3"/>
        <v>0.94242930284623716</v>
      </c>
    </row>
    <row r="24" spans="1:13" ht="19.5" customHeight="1">
      <c r="B24" s="119"/>
      <c r="C24" s="170"/>
      <c r="D24" s="2" t="s">
        <v>13</v>
      </c>
      <c r="E24" s="147">
        <v>17641</v>
      </c>
      <c r="F24" s="47">
        <f>1101+1173</f>
        <v>2274</v>
      </c>
      <c r="G24" s="148">
        <f>3697+3661</f>
        <v>7358</v>
      </c>
      <c r="H24" s="47">
        <f>312+245</f>
        <v>557</v>
      </c>
      <c r="I24" s="47">
        <f>1239+1786</f>
        <v>3025</v>
      </c>
      <c r="J24" s="105">
        <f t="shared" si="0"/>
        <v>-1717</v>
      </c>
      <c r="K24" s="44">
        <f t="shared" si="1"/>
        <v>0.24494283201407213</v>
      </c>
      <c r="L24" s="18">
        <f t="shared" si="2"/>
        <v>-4333</v>
      </c>
      <c r="M24" s="24">
        <f t="shared" si="3"/>
        <v>0.4111171513998369</v>
      </c>
    </row>
    <row r="25" spans="1:13" ht="19.5" customHeight="1">
      <c r="B25" s="117"/>
      <c r="C25" s="208" t="s">
        <v>2</v>
      </c>
      <c r="D25" s="78" t="s">
        <v>69</v>
      </c>
      <c r="E25" s="79">
        <f>SUM(E26:E27)</f>
        <v>0</v>
      </c>
      <c r="F25" s="79">
        <f>SUM(F26:F27)</f>
        <v>0</v>
      </c>
      <c r="G25" s="79">
        <f>SUM(G26:G27)</f>
        <v>0</v>
      </c>
      <c r="H25" s="79">
        <v>0</v>
      </c>
      <c r="I25" s="79">
        <f>SUM(I26:I27)</f>
        <v>0</v>
      </c>
      <c r="J25" s="80">
        <f t="shared" si="0"/>
        <v>0</v>
      </c>
      <c r="K25" s="79">
        <v>0</v>
      </c>
      <c r="L25" s="18">
        <f t="shared" si="2"/>
        <v>0</v>
      </c>
      <c r="M25" s="151">
        <v>0</v>
      </c>
    </row>
    <row r="26" spans="1:13" ht="19.5" customHeight="1">
      <c r="B26" s="117"/>
      <c r="C26" s="208"/>
      <c r="D26" s="78" t="s">
        <v>69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80">
        <f t="shared" si="0"/>
        <v>0</v>
      </c>
      <c r="K26" s="79">
        <v>0</v>
      </c>
      <c r="L26" s="18">
        <f t="shared" si="2"/>
        <v>0</v>
      </c>
      <c r="M26" s="151">
        <v>0</v>
      </c>
    </row>
    <row r="27" spans="1:13" ht="19.5" customHeight="1">
      <c r="B27" s="120"/>
      <c r="C27" s="208"/>
      <c r="D27" s="78" t="s">
        <v>69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80">
        <f t="shared" si="0"/>
        <v>0</v>
      </c>
      <c r="K27" s="79">
        <v>0</v>
      </c>
      <c r="L27" s="18">
        <f t="shared" si="2"/>
        <v>0</v>
      </c>
      <c r="M27" s="151">
        <v>0</v>
      </c>
    </row>
    <row r="28" spans="1:13" s="90" customFormat="1" ht="21.2" customHeight="1" thickBot="1">
      <c r="B28" s="209" t="s">
        <v>67</v>
      </c>
      <c r="C28" s="210"/>
      <c r="D28" s="211"/>
      <c r="E28" s="91">
        <v>1635790</v>
      </c>
      <c r="F28" s="91">
        <v>132600</v>
      </c>
      <c r="G28" s="91">
        <v>525512</v>
      </c>
      <c r="H28" s="91">
        <v>145176</v>
      </c>
      <c r="I28" s="91">
        <v>601904</v>
      </c>
      <c r="J28" s="92">
        <f t="shared" si="0"/>
        <v>12576</v>
      </c>
      <c r="K28" s="93">
        <f t="shared" si="1"/>
        <v>1.0948416289592759</v>
      </c>
      <c r="L28" s="94">
        <f t="shared" si="2"/>
        <v>76392</v>
      </c>
      <c r="M28" s="95">
        <f t="shared" si="3"/>
        <v>1.1453668041833489</v>
      </c>
    </row>
    <row r="29" spans="1:13" ht="12.75" customHeight="1">
      <c r="B29" s="28"/>
      <c r="C29" s="28"/>
      <c r="D29" s="28"/>
      <c r="E29" s="29"/>
      <c r="F29" s="30"/>
      <c r="G29" s="30"/>
      <c r="H29" s="30"/>
      <c r="I29" s="30"/>
      <c r="J29" s="29"/>
      <c r="K29" s="31"/>
      <c r="L29" s="32"/>
      <c r="M29" s="33"/>
    </row>
    <row r="30" spans="1:13" s="214" customFormat="1" ht="18.75" customHeight="1">
      <c r="A30" s="214" t="s">
        <v>27</v>
      </c>
    </row>
    <row r="31" spans="1:13" s="46" customFormat="1" ht="21.2" customHeight="1">
      <c r="B31" s="213" t="s">
        <v>24</v>
      </c>
      <c r="C31" s="213"/>
      <c r="D31" s="88"/>
      <c r="E31" s="88"/>
      <c r="F31" s="88"/>
      <c r="G31" s="88"/>
      <c r="H31" s="213" t="s">
        <v>25</v>
      </c>
      <c r="I31" s="213"/>
    </row>
    <row r="32" spans="1:13" s="43" customFormat="1" ht="24" customHeight="1">
      <c r="B32"/>
      <c r="C32"/>
      <c r="D32"/>
      <c r="E32"/>
      <c r="F32"/>
      <c r="G32"/>
      <c r="H32"/>
      <c r="I32"/>
      <c r="J32" s="9"/>
      <c r="K32" s="8"/>
      <c r="L32" s="10"/>
      <c r="M32" s="11"/>
    </row>
    <row r="33" spans="2:13" s="43" customFormat="1" ht="30.2" customHeight="1">
      <c r="B33"/>
      <c r="C33"/>
      <c r="D33"/>
      <c r="E33"/>
      <c r="F33"/>
      <c r="G33"/>
      <c r="H33"/>
      <c r="I33"/>
      <c r="J33" s="9"/>
      <c r="K33" s="8"/>
      <c r="L33" s="10"/>
      <c r="M33" s="11"/>
    </row>
    <row r="34" spans="2:13" s="43" customFormat="1" ht="37.15" customHeight="1">
      <c r="B34"/>
      <c r="C34"/>
      <c r="D34"/>
      <c r="E34"/>
      <c r="F34"/>
      <c r="G34"/>
      <c r="H34"/>
      <c r="I34"/>
      <c r="J34" s="9"/>
      <c r="K34" s="8"/>
      <c r="L34" s="10"/>
      <c r="M34" s="11"/>
    </row>
    <row r="35" spans="2:13" s="43" customFormat="1" ht="37.15" customHeight="1">
      <c r="B35"/>
      <c r="C35"/>
      <c r="D35"/>
      <c r="E35"/>
      <c r="F35"/>
      <c r="G35"/>
      <c r="H35"/>
      <c r="I35"/>
      <c r="J35" s="9"/>
      <c r="K35" s="8"/>
      <c r="L35" s="10"/>
      <c r="M35" s="11"/>
    </row>
    <row r="40" spans="2:13" s="212" customFormat="1" ht="24" customHeight="1"/>
    <row r="41" spans="2:13" ht="19.5" customHeight="1">
      <c r="B41" s="206"/>
      <c r="C41" s="207"/>
      <c r="D41" s="207"/>
      <c r="E41" s="207"/>
      <c r="F41" s="207"/>
      <c r="G41" s="207"/>
      <c r="H41" s="207"/>
      <c r="I41" s="207"/>
      <c r="J41" s="207"/>
      <c r="K41" s="207"/>
      <c r="L41" s="207"/>
      <c r="M41" s="207"/>
    </row>
    <row r="42" spans="2:13" ht="19.5" customHeight="1">
      <c r="B42" s="206"/>
      <c r="C42" s="207"/>
      <c r="D42" s="207"/>
      <c r="E42" s="207"/>
      <c r="F42" s="207"/>
      <c r="G42" s="207"/>
      <c r="H42" s="207"/>
      <c r="I42" s="207"/>
      <c r="J42" s="207"/>
      <c r="K42" s="207"/>
      <c r="L42" s="207"/>
      <c r="M42" s="207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7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"/>
  <sheetViews>
    <sheetView zoomScale="85" zoomScaleNormal="85" workbookViewId="0"/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8.5" customWidth="1"/>
    <col min="17" max="17" width="10.75" bestFit="1" customWidth="1"/>
  </cols>
  <sheetData>
    <row r="1" spans="1:27" s="51" customFormat="1" ht="18.75">
      <c r="A1" s="50" t="s">
        <v>28</v>
      </c>
    </row>
    <row r="2" spans="1:27" s="51" customFormat="1" ht="15" thickBot="1">
      <c r="A2"/>
      <c r="B2"/>
      <c r="C2"/>
      <c r="D2" s="96"/>
      <c r="E2" s="96"/>
      <c r="F2" s="215" t="s">
        <v>70</v>
      </c>
      <c r="G2" s="215"/>
      <c r="H2"/>
      <c r="I2"/>
      <c r="J2"/>
      <c r="K2" s="96"/>
      <c r="L2" s="96"/>
      <c r="M2" s="215" t="s">
        <v>29</v>
      </c>
      <c r="N2" s="215"/>
    </row>
    <row r="3" spans="1:27" s="51" customFormat="1" ht="32.25" customHeight="1">
      <c r="A3" s="52" t="s">
        <v>30</v>
      </c>
      <c r="B3" s="53">
        <v>18</v>
      </c>
      <c r="C3" s="53">
        <v>19</v>
      </c>
      <c r="D3" s="53">
        <v>20</v>
      </c>
      <c r="E3" s="53">
        <v>21</v>
      </c>
      <c r="F3" s="53">
        <v>22</v>
      </c>
      <c r="G3" s="101" t="s">
        <v>107</v>
      </c>
      <c r="H3" s="54" t="s">
        <v>30</v>
      </c>
      <c r="I3" s="53">
        <v>18</v>
      </c>
      <c r="J3" s="53">
        <v>19</v>
      </c>
      <c r="K3" s="53">
        <v>20</v>
      </c>
      <c r="L3" s="53">
        <v>21</v>
      </c>
      <c r="M3" s="53">
        <v>22</v>
      </c>
      <c r="N3" s="102" t="str">
        <f>$G$3</f>
        <v>23.04.</v>
      </c>
    </row>
    <row r="4" spans="1:27" s="51" customFormat="1" ht="39.200000000000003" customHeight="1" thickBot="1">
      <c r="A4" s="68" t="s">
        <v>31</v>
      </c>
      <c r="B4" s="159">
        <v>18829</v>
      </c>
      <c r="C4" s="159">
        <v>18416</v>
      </c>
      <c r="D4" s="159">
        <v>17409</v>
      </c>
      <c r="E4" s="159">
        <v>16473</v>
      </c>
      <c r="F4" s="159">
        <v>16626</v>
      </c>
      <c r="G4" s="160">
        <f>통계요약!I7</f>
        <v>5743</v>
      </c>
      <c r="H4" s="68" t="s">
        <v>32</v>
      </c>
      <c r="I4" s="158">
        <v>115146882</v>
      </c>
      <c r="J4" s="158">
        <v>113201331</v>
      </c>
      <c r="K4" s="158">
        <v>106847350</v>
      </c>
      <c r="L4" s="158">
        <v>116876152</v>
      </c>
      <c r="M4" s="158">
        <v>116171568</v>
      </c>
      <c r="N4" s="163">
        <f>통계요약!I10</f>
        <v>41194607</v>
      </c>
    </row>
    <row r="5" spans="1:27" s="51" customFormat="1" ht="30.2" customHeight="1" thickBot="1">
      <c r="A5"/>
      <c r="B5"/>
      <c r="C5"/>
      <c r="D5" s="96"/>
      <c r="E5" s="96"/>
      <c r="F5" s="216" t="s">
        <v>33</v>
      </c>
      <c r="G5" s="216"/>
      <c r="H5" s="55"/>
      <c r="I5" s="56"/>
      <c r="J5" s="56"/>
      <c r="K5" s="96"/>
      <c r="L5" s="96"/>
      <c r="M5" s="216" t="s">
        <v>34</v>
      </c>
      <c r="N5" s="216"/>
    </row>
    <row r="6" spans="1:27" s="51" customFormat="1" ht="32.25" customHeight="1">
      <c r="A6" s="52" t="s">
        <v>30</v>
      </c>
      <c r="B6" s="53">
        <v>18</v>
      </c>
      <c r="C6" s="53">
        <v>19</v>
      </c>
      <c r="D6" s="53">
        <v>20</v>
      </c>
      <c r="E6" s="53">
        <v>21</v>
      </c>
      <c r="F6" s="53">
        <v>22</v>
      </c>
      <c r="G6" s="102" t="str">
        <f>$G$3</f>
        <v>23.04.</v>
      </c>
      <c r="H6" s="54" t="s">
        <v>30</v>
      </c>
      <c r="I6" s="53">
        <v>18</v>
      </c>
      <c r="J6" s="53">
        <v>19</v>
      </c>
      <c r="K6" s="53">
        <v>20</v>
      </c>
      <c r="L6" s="53">
        <v>21</v>
      </c>
      <c r="M6" s="53">
        <v>22</v>
      </c>
      <c r="N6" s="102" t="str">
        <f>$G$3</f>
        <v>23.04.</v>
      </c>
    </row>
    <row r="7" spans="1:27" s="51" customFormat="1" ht="37.5" customHeight="1" thickBot="1">
      <c r="A7" s="68" t="s">
        <v>35</v>
      </c>
      <c r="B7" s="161">
        <v>689852</v>
      </c>
      <c r="C7" s="161">
        <v>725047</v>
      </c>
      <c r="D7" s="161">
        <v>792643</v>
      </c>
      <c r="E7" s="161">
        <v>936246</v>
      </c>
      <c r="F7" s="161">
        <v>851953</v>
      </c>
      <c r="G7" s="162">
        <f>통계요약!I20</f>
        <v>262166</v>
      </c>
      <c r="H7" s="68" t="s">
        <v>36</v>
      </c>
      <c r="I7" s="159">
        <v>452480</v>
      </c>
      <c r="J7" s="159">
        <v>623733</v>
      </c>
      <c r="K7" s="159">
        <v>40267</v>
      </c>
      <c r="L7" s="159">
        <v>0</v>
      </c>
      <c r="M7" s="159">
        <v>0</v>
      </c>
      <c r="N7" s="164">
        <v>0</v>
      </c>
      <c r="AA7" s="89"/>
    </row>
    <row r="12" spans="1:27" s="62" customFormat="1" ht="25.5" customHeight="1">
      <c r="A12" s="62" t="s">
        <v>37</v>
      </c>
    </row>
    <row r="13" spans="1:27" s="51" customFormat="1" ht="21.2" customHeight="1">
      <c r="A13" s="87" t="s">
        <v>52</v>
      </c>
      <c r="H13" s="87" t="s">
        <v>51</v>
      </c>
      <c r="I13" s="57"/>
      <c r="J13" s="58"/>
      <c r="K13" s="59"/>
      <c r="L13" s="60"/>
      <c r="M13" s="60"/>
      <c r="N13" s="60"/>
    </row>
    <row r="14" spans="1:27" s="51" customFormat="1" ht="24" customHeight="1">
      <c r="I14" s="57"/>
      <c r="J14" s="58"/>
      <c r="K14" s="59"/>
      <c r="L14" s="60"/>
      <c r="M14" s="60"/>
      <c r="N14" s="60"/>
    </row>
    <row r="15" spans="1:27" s="51" customFormat="1" ht="24" customHeight="1">
      <c r="I15" s="57"/>
      <c r="J15" s="58"/>
      <c r="K15" s="59"/>
      <c r="L15" s="60"/>
      <c r="M15" s="60"/>
      <c r="N15" s="60"/>
    </row>
    <row r="16" spans="1:27" s="51" customFormat="1" ht="24" customHeight="1">
      <c r="I16" s="57"/>
      <c r="J16" s="58"/>
      <c r="K16" s="59"/>
      <c r="L16" s="60"/>
      <c r="M16" s="60"/>
      <c r="N16" s="60"/>
    </row>
    <row r="17" spans="1:14" s="51" customFormat="1" ht="24" customHeight="1">
      <c r="I17" s="57"/>
      <c r="J17" s="58"/>
      <c r="K17" s="59"/>
      <c r="L17" s="60"/>
      <c r="M17" s="60"/>
      <c r="N17" s="60"/>
    </row>
    <row r="18" spans="1:14" s="51" customFormat="1" ht="24" customHeight="1">
      <c r="I18" s="57"/>
      <c r="J18" s="58"/>
      <c r="K18" s="59"/>
      <c r="L18" s="60"/>
      <c r="M18" s="60"/>
      <c r="N18" s="60"/>
    </row>
    <row r="19" spans="1:14" s="51" customFormat="1" ht="24" customHeight="1">
      <c r="I19" s="57"/>
      <c r="J19" s="58"/>
      <c r="K19" s="59"/>
      <c r="L19" s="60"/>
      <c r="M19" s="60"/>
      <c r="N19" s="60"/>
    </row>
    <row r="20" spans="1:14" s="51" customFormat="1" ht="24" customHeight="1">
      <c r="I20" s="57"/>
      <c r="J20" s="58"/>
      <c r="K20" s="59"/>
      <c r="L20" s="60"/>
      <c r="M20" s="60"/>
      <c r="N20" s="60"/>
    </row>
    <row r="21" spans="1:14" s="51" customFormat="1" ht="24" customHeight="1">
      <c r="I21" s="57"/>
      <c r="J21" s="58"/>
      <c r="K21" s="59"/>
      <c r="L21" s="60"/>
      <c r="M21" s="60"/>
      <c r="N21" s="60"/>
    </row>
    <row r="22" spans="1:14" s="51" customFormat="1" ht="36" customHeight="1">
      <c r="I22" s="57"/>
      <c r="J22" s="58"/>
      <c r="K22" s="59"/>
      <c r="L22" s="60"/>
      <c r="M22" s="60"/>
      <c r="N22" s="60"/>
    </row>
    <row r="23" spans="1:14" s="51" customFormat="1" ht="27.75" customHeight="1">
      <c r="A23" s="61" t="s">
        <v>25</v>
      </c>
      <c r="H23" s="87" t="s">
        <v>50</v>
      </c>
      <c r="I23" s="57"/>
      <c r="J23" s="58"/>
      <c r="K23" s="59"/>
      <c r="L23" s="60"/>
      <c r="M23" s="60"/>
      <c r="N23" s="60"/>
    </row>
    <row r="24" spans="1:14" s="51" customFormat="1" ht="24" customHeight="1">
      <c r="I24" s="57"/>
      <c r="J24" s="58"/>
      <c r="K24" s="59"/>
      <c r="L24" s="60"/>
      <c r="M24" s="60"/>
      <c r="N24" s="60"/>
    </row>
    <row r="25" spans="1:14" s="51" customFormat="1" ht="24" customHeight="1">
      <c r="I25" s="57"/>
      <c r="J25" s="58"/>
      <c r="K25" s="59"/>
      <c r="L25" s="60"/>
      <c r="M25" s="60"/>
      <c r="N25" s="60"/>
    </row>
    <row r="26" spans="1:14" s="51" customFormat="1" ht="24" customHeight="1">
      <c r="I26" s="57"/>
      <c r="J26" s="58"/>
      <c r="K26" s="59"/>
      <c r="L26" s="60"/>
      <c r="M26" s="60"/>
      <c r="N26" s="60"/>
    </row>
    <row r="27" spans="1:14" s="51" customFormat="1" ht="24" customHeight="1">
      <c r="I27" s="57"/>
      <c r="J27" s="58"/>
      <c r="K27" s="59"/>
      <c r="L27" s="60"/>
      <c r="M27" s="60"/>
      <c r="N27" s="60"/>
    </row>
    <row r="28" spans="1:14" s="51" customFormat="1" ht="24" customHeight="1">
      <c r="I28" s="57"/>
      <c r="J28" s="58"/>
      <c r="K28" s="59"/>
      <c r="L28" s="60"/>
      <c r="M28" s="60"/>
      <c r="N28" s="60"/>
    </row>
    <row r="29" spans="1:14" s="51" customFormat="1" ht="24" customHeight="1">
      <c r="I29" s="57"/>
      <c r="J29" s="58"/>
      <c r="K29" s="59"/>
      <c r="L29" s="60"/>
      <c r="M29" s="60"/>
      <c r="N29" s="60"/>
    </row>
    <row r="30" spans="1:14" s="51" customFormat="1" ht="24" customHeight="1">
      <c r="I30" s="57"/>
      <c r="J30" s="58"/>
      <c r="K30" s="59"/>
      <c r="L30" s="60"/>
      <c r="M30" s="60"/>
      <c r="N30" s="60"/>
    </row>
    <row r="31" spans="1:14" s="51" customFormat="1" ht="24" customHeight="1">
      <c r="I31" s="57"/>
      <c r="J31" s="58"/>
      <c r="K31" s="59"/>
      <c r="L31" s="60"/>
      <c r="M31" s="60"/>
      <c r="N31" s="60"/>
    </row>
  </sheetData>
  <mergeCells count="4">
    <mergeCell ref="F2:G2"/>
    <mergeCell ref="M2:N2"/>
    <mergeCell ref="F5:G5"/>
    <mergeCell ref="M5:N5"/>
  </mergeCells>
  <phoneticPr fontId="22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5"/>
  <sheetViews>
    <sheetView zoomScale="90" zoomScaleNormal="90" workbookViewId="0">
      <pane xSplit="5" ySplit="5" topLeftCell="F21" activePane="bottomRight" state="frozen"/>
      <selection pane="topRight" activeCell="F1" sqref="F1"/>
      <selection pane="bottomLeft" activeCell="A6" sqref="A6"/>
      <selection pane="bottomRight"/>
    </sheetView>
  </sheetViews>
  <sheetFormatPr defaultColWidth="10" defaultRowHeight="13.5"/>
  <cols>
    <col min="1" max="1" width="10" style="63" customWidth="1"/>
    <col min="2" max="2" width="5.75" style="63" customWidth="1"/>
    <col min="3" max="3" width="1" style="63" customWidth="1"/>
    <col min="4" max="4" width="8" style="63" customWidth="1"/>
    <col min="5" max="5" width="14.875" style="63" bestFit="1" customWidth="1"/>
    <col min="6" max="6" width="11" style="63" customWidth="1"/>
    <col min="7" max="7" width="13.25" style="63" customWidth="1"/>
    <col min="8" max="8" width="11" style="63" customWidth="1"/>
    <col min="9" max="9" width="13.25" style="63" customWidth="1"/>
    <col min="10" max="10" width="12.25" style="63" customWidth="1"/>
    <col min="11" max="11" width="11" style="63" customWidth="1"/>
    <col min="12" max="12" width="12.75" style="63" customWidth="1"/>
    <col min="13" max="13" width="11" style="63" customWidth="1"/>
    <col min="14" max="14" width="14.375" style="63" bestFit="1" customWidth="1"/>
    <col min="15" max="16384" width="10" style="63"/>
  </cols>
  <sheetData>
    <row r="1" spans="1:16" ht="50.25" customHeight="1" thickBot="1">
      <c r="A1" s="69" t="s">
        <v>38</v>
      </c>
      <c r="F1" s="100"/>
      <c r="G1" s="100"/>
      <c r="H1" s="100"/>
      <c r="I1" s="100"/>
      <c r="J1" s="64"/>
      <c r="K1" s="65"/>
      <c r="L1" s="66"/>
      <c r="M1" s="67"/>
    </row>
    <row r="2" spans="1:16" ht="21.95" customHeight="1">
      <c r="A2" s="223" t="s">
        <v>39</v>
      </c>
      <c r="B2" s="224"/>
      <c r="C2" s="224"/>
      <c r="D2" s="227" t="s">
        <v>40</v>
      </c>
      <c r="E2" s="121"/>
      <c r="F2" s="217" t="s">
        <v>97</v>
      </c>
      <c r="G2" s="217"/>
      <c r="H2" s="217" t="s">
        <v>99</v>
      </c>
      <c r="I2" s="217"/>
      <c r="J2" s="217" t="s">
        <v>41</v>
      </c>
      <c r="K2" s="217"/>
      <c r="L2" s="217"/>
      <c r="M2" s="218"/>
    </row>
    <row r="3" spans="1:16" ht="21.95" customHeight="1">
      <c r="A3" s="225"/>
      <c r="B3" s="226"/>
      <c r="C3" s="226"/>
      <c r="D3" s="228"/>
      <c r="E3" s="122" t="s">
        <v>42</v>
      </c>
      <c r="F3" s="122" t="str">
        <f>통계요약!F6</f>
        <v>4월(A)</v>
      </c>
      <c r="G3" s="122" t="str">
        <f>통계요약!G6</f>
        <v>4월 누계(B)</v>
      </c>
      <c r="H3" s="97" t="str">
        <f>통계요약!H6</f>
        <v>4월(C)</v>
      </c>
      <c r="I3" s="122" t="str">
        <f>통계요약!I6</f>
        <v>4월 누계(D)</v>
      </c>
      <c r="J3" s="122" t="s">
        <v>43</v>
      </c>
      <c r="K3" s="123" t="s">
        <v>44</v>
      </c>
      <c r="L3" s="124" t="s">
        <v>45</v>
      </c>
      <c r="M3" s="136" t="s">
        <v>44</v>
      </c>
    </row>
    <row r="4" spans="1:16" ht="21.95" customHeight="1">
      <c r="A4" s="219" t="s">
        <v>46</v>
      </c>
      <c r="B4" s="220"/>
      <c r="C4" s="220"/>
      <c r="D4" s="157" t="s">
        <v>47</v>
      </c>
      <c r="E4" s="132">
        <f>SUM(E6,E8,E10,E12,E14,E16,E18,E22,E20,E26,E28,E30,E32,E24,E34)</f>
        <v>851953</v>
      </c>
      <c r="F4" s="132">
        <f>SUM(F6,F8,F10,F12,F14,F16,F18,F22,F20,F26,F28,F30,F32,F24,F34)</f>
        <v>69681.25</v>
      </c>
      <c r="G4" s="132">
        <f>SUM(G6,G8,G10,G12,G14,G16,G18,G22,G20,G26,G28,G30,G32,G24,G34)</f>
        <v>279329.25</v>
      </c>
      <c r="H4" s="132">
        <f>SUM(H6,H8,H10,H12,H14,H16,H18,H22,H20,H26,H28,H30,H32,H24,)</f>
        <v>66519</v>
      </c>
      <c r="I4" s="132">
        <f>SUM(I6,I8,I10,I12,I14,I16,I18,I22,I20,I26,I28,I30,I32,I24,)</f>
        <v>262165.75</v>
      </c>
      <c r="J4" s="126">
        <f t="shared" ref="J4:J31" si="0">H4-F4</f>
        <v>-3162.25</v>
      </c>
      <c r="K4" s="127">
        <f t="shared" ref="K4:K33" si="1">(H4/F4*100)-100</f>
        <v>-4.5381648578347864</v>
      </c>
      <c r="L4" s="128">
        <f t="shared" ref="L4:L31" si="2">I4-G4</f>
        <v>-17163.5</v>
      </c>
      <c r="M4" s="137">
        <f t="shared" ref="M4:M33" si="3">(I4/G4*100)-100</f>
        <v>-6.144540895735048</v>
      </c>
    </row>
    <row r="5" spans="1:16" ht="21.95" customHeight="1">
      <c r="A5" s="219"/>
      <c r="B5" s="220"/>
      <c r="C5" s="220"/>
      <c r="D5" s="157" t="s">
        <v>48</v>
      </c>
      <c r="E5" s="132">
        <f>SUM(E7,E9,E11,E13,E15,E17,E19,E21,E23,E27,E29,E31,E33,E25,E35)</f>
        <v>13134878</v>
      </c>
      <c r="F5" s="132">
        <f>SUM(F7,F9,F11,F13,F15,F17,F19,F21,F23,F27,F29,F31,F33,F25,F35)</f>
        <v>1123944</v>
      </c>
      <c r="G5" s="132">
        <f>SUM(G7,G9,G11,G13,G15,G17,G19,G21,G23,G27,G29,G31,G33,G25,G35)</f>
        <v>4374133</v>
      </c>
      <c r="H5" s="132">
        <f>SUM(H7,H9,H11,H13,H15,H17,H19,H21,H23,H27,H29,H31,H33,H25)</f>
        <v>1031593</v>
      </c>
      <c r="I5" s="132">
        <f>SUM(I7,I9,I11,I13,I15,I17,I19,I21,I23,I27,I29,I31,I33,I25)</f>
        <v>3967477</v>
      </c>
      <c r="J5" s="126">
        <f t="shared" si="0"/>
        <v>-92351</v>
      </c>
      <c r="K5" s="127">
        <f t="shared" si="1"/>
        <v>-8.2166905112710253</v>
      </c>
      <c r="L5" s="128">
        <f t="shared" si="2"/>
        <v>-406656</v>
      </c>
      <c r="M5" s="137">
        <f t="shared" si="3"/>
        <v>-9.2968366531150224</v>
      </c>
    </row>
    <row r="6" spans="1:16" ht="21.2" customHeight="1">
      <c r="A6" s="221" t="s">
        <v>53</v>
      </c>
      <c r="B6" s="222"/>
      <c r="C6" s="222"/>
      <c r="D6" s="125" t="s">
        <v>47</v>
      </c>
      <c r="E6" s="152">
        <v>56152</v>
      </c>
      <c r="F6" s="156">
        <v>5079</v>
      </c>
      <c r="G6" s="165">
        <v>18685</v>
      </c>
      <c r="H6" s="165">
        <v>5147</v>
      </c>
      <c r="I6" s="165">
        <v>18877</v>
      </c>
      <c r="J6" s="129">
        <f t="shared" ref="J6:J20" si="4">H6-F6</f>
        <v>68</v>
      </c>
      <c r="K6" s="130">
        <f t="shared" ref="K6:K19" si="5">(H6/F6*100)-100</f>
        <v>1.3388462295727379</v>
      </c>
      <c r="L6" s="131">
        <f>I6-G6</f>
        <v>192</v>
      </c>
      <c r="M6" s="138">
        <f>(I6/G6*100)-100</f>
        <v>1.02756221568103</v>
      </c>
      <c r="N6" s="169">
        <f>((I6+I8)/(G6+G8)*100)-100</f>
        <v>-13.58811807273888</v>
      </c>
      <c r="P6" s="63" t="s">
        <v>72</v>
      </c>
    </row>
    <row r="7" spans="1:16" ht="21.2" customHeight="1">
      <c r="A7" s="221"/>
      <c r="B7" s="222"/>
      <c r="C7" s="222"/>
      <c r="D7" s="125" t="s">
        <v>48</v>
      </c>
      <c r="E7" s="152">
        <v>1063612</v>
      </c>
      <c r="F7" s="156">
        <v>97335</v>
      </c>
      <c r="G7" s="165">
        <v>352758</v>
      </c>
      <c r="H7" s="165">
        <v>98913</v>
      </c>
      <c r="I7" s="165">
        <v>357401</v>
      </c>
      <c r="J7" s="129">
        <f t="shared" si="4"/>
        <v>1578</v>
      </c>
      <c r="K7" s="130">
        <f t="shared" si="5"/>
        <v>1.621205116350751</v>
      </c>
      <c r="L7" s="131">
        <f t="shared" si="2"/>
        <v>4643</v>
      </c>
      <c r="M7" s="138">
        <f t="shared" si="3"/>
        <v>1.3161997743495562</v>
      </c>
      <c r="P7" s="63" t="s">
        <v>72</v>
      </c>
    </row>
    <row r="8" spans="1:16" ht="21.2" customHeight="1">
      <c r="A8" s="221" t="s">
        <v>54</v>
      </c>
      <c r="B8" s="222"/>
      <c r="C8" s="222"/>
      <c r="D8" s="125" t="s">
        <v>47</v>
      </c>
      <c r="E8" s="152">
        <v>70330.75</v>
      </c>
      <c r="F8" s="156">
        <v>5935.25</v>
      </c>
      <c r="G8" s="165">
        <v>22840.25</v>
      </c>
      <c r="H8" s="165">
        <v>4002.5</v>
      </c>
      <c r="I8" s="165">
        <v>17005.75</v>
      </c>
      <c r="J8" s="129">
        <f t="shared" si="4"/>
        <v>-1932.75</v>
      </c>
      <c r="K8" s="130">
        <f t="shared" si="5"/>
        <v>-32.56391895876331</v>
      </c>
      <c r="L8" s="131">
        <f>I8-G8</f>
        <v>-5834.5</v>
      </c>
      <c r="M8" s="138">
        <f>(I8/G8*100)-100</f>
        <v>-25.544816716104251</v>
      </c>
      <c r="P8" s="63" t="s">
        <v>73</v>
      </c>
    </row>
    <row r="9" spans="1:16" ht="21.2" customHeight="1">
      <c r="A9" s="221"/>
      <c r="B9" s="222"/>
      <c r="C9" s="222"/>
      <c r="D9" s="125" t="s">
        <v>48</v>
      </c>
      <c r="E9" s="152">
        <v>1023659</v>
      </c>
      <c r="F9" s="156">
        <v>93201</v>
      </c>
      <c r="G9" s="165">
        <v>351706</v>
      </c>
      <c r="H9" s="165">
        <v>54341</v>
      </c>
      <c r="I9" s="165">
        <v>239949</v>
      </c>
      <c r="J9" s="129">
        <f t="shared" si="4"/>
        <v>-38860</v>
      </c>
      <c r="K9" s="130">
        <f t="shared" si="5"/>
        <v>-41.694831600519308</v>
      </c>
      <c r="L9" s="131">
        <f t="shared" si="2"/>
        <v>-111757</v>
      </c>
      <c r="M9" s="138">
        <f t="shared" si="3"/>
        <v>-31.775687648206173</v>
      </c>
      <c r="P9" s="63" t="s">
        <v>73</v>
      </c>
    </row>
    <row r="10" spans="1:16" ht="21.2" customHeight="1">
      <c r="A10" s="221" t="s">
        <v>93</v>
      </c>
      <c r="B10" s="222"/>
      <c r="C10" s="222"/>
      <c r="D10" s="125" t="s">
        <v>47</v>
      </c>
      <c r="E10" s="152">
        <v>11</v>
      </c>
      <c r="F10" s="165">
        <v>0</v>
      </c>
      <c r="G10" s="165">
        <v>11</v>
      </c>
      <c r="H10" s="135">
        <v>0</v>
      </c>
      <c r="I10" s="135">
        <v>0</v>
      </c>
      <c r="J10" s="129">
        <f t="shared" si="4"/>
        <v>0</v>
      </c>
      <c r="K10" s="135">
        <v>0</v>
      </c>
      <c r="L10" s="131">
        <f t="shared" si="2"/>
        <v>-11</v>
      </c>
      <c r="M10" s="143">
        <v>0</v>
      </c>
      <c r="P10" s="63" t="s">
        <v>94</v>
      </c>
    </row>
    <row r="11" spans="1:16" ht="21.2" customHeight="1">
      <c r="A11" s="221"/>
      <c r="B11" s="222"/>
      <c r="C11" s="222"/>
      <c r="D11" s="125" t="s">
        <v>48</v>
      </c>
      <c r="E11" s="152">
        <v>39</v>
      </c>
      <c r="F11" s="165">
        <v>0</v>
      </c>
      <c r="G11" s="165">
        <v>39</v>
      </c>
      <c r="H11" s="135">
        <v>0</v>
      </c>
      <c r="I11" s="135">
        <v>0</v>
      </c>
      <c r="J11" s="129">
        <f t="shared" si="4"/>
        <v>0</v>
      </c>
      <c r="K11" s="135">
        <v>0</v>
      </c>
      <c r="L11" s="131">
        <f t="shared" si="2"/>
        <v>-39</v>
      </c>
      <c r="M11" s="143">
        <v>0</v>
      </c>
      <c r="P11" s="63" t="s">
        <v>94</v>
      </c>
    </row>
    <row r="12" spans="1:16" ht="21.2" customHeight="1">
      <c r="A12" s="221" t="s">
        <v>66</v>
      </c>
      <c r="B12" s="222"/>
      <c r="C12" s="222"/>
      <c r="D12" s="125" t="s">
        <v>47</v>
      </c>
      <c r="E12" s="135">
        <v>0</v>
      </c>
      <c r="F12" s="135">
        <v>0</v>
      </c>
      <c r="G12" s="135">
        <v>0</v>
      </c>
      <c r="H12" s="135">
        <v>0</v>
      </c>
      <c r="I12" s="135">
        <v>0</v>
      </c>
      <c r="J12" s="129">
        <f t="shared" si="4"/>
        <v>0</v>
      </c>
      <c r="K12" s="135">
        <v>0</v>
      </c>
      <c r="L12" s="131">
        <f t="shared" si="2"/>
        <v>0</v>
      </c>
      <c r="M12" s="143">
        <v>0</v>
      </c>
      <c r="P12" s="63" t="s">
        <v>74</v>
      </c>
    </row>
    <row r="13" spans="1:16" ht="21.2" customHeight="1">
      <c r="A13" s="221"/>
      <c r="B13" s="222"/>
      <c r="C13" s="222"/>
      <c r="D13" s="125" t="s">
        <v>65</v>
      </c>
      <c r="E13" s="135">
        <v>0</v>
      </c>
      <c r="F13" s="135">
        <v>0</v>
      </c>
      <c r="G13" s="135">
        <v>0</v>
      </c>
      <c r="H13" s="135">
        <v>0</v>
      </c>
      <c r="I13" s="135">
        <v>0</v>
      </c>
      <c r="J13" s="129">
        <f t="shared" si="4"/>
        <v>0</v>
      </c>
      <c r="K13" s="135">
        <v>0</v>
      </c>
      <c r="L13" s="131">
        <f t="shared" si="2"/>
        <v>0</v>
      </c>
      <c r="M13" s="143">
        <v>0</v>
      </c>
      <c r="P13" s="63" t="s">
        <v>74</v>
      </c>
    </row>
    <row r="14" spans="1:16" ht="21.2" customHeight="1">
      <c r="A14" s="221" t="s">
        <v>55</v>
      </c>
      <c r="B14" s="222"/>
      <c r="C14" s="222"/>
      <c r="D14" s="125" t="s">
        <v>47</v>
      </c>
      <c r="E14" s="152">
        <v>127735.25</v>
      </c>
      <c r="F14" s="156">
        <v>7360</v>
      </c>
      <c r="G14" s="165">
        <v>41146</v>
      </c>
      <c r="H14" s="165">
        <v>8499</v>
      </c>
      <c r="I14" s="165">
        <v>37755.5</v>
      </c>
      <c r="J14" s="129">
        <f t="shared" si="4"/>
        <v>1139</v>
      </c>
      <c r="K14" s="130">
        <f t="shared" si="5"/>
        <v>15.475543478260875</v>
      </c>
      <c r="L14" s="131">
        <f t="shared" si="2"/>
        <v>-3390.5</v>
      </c>
      <c r="M14" s="138">
        <f>(I14/G14*100)-100</f>
        <v>-8.2401691537451995</v>
      </c>
      <c r="N14" s="169">
        <f>((I14+I16+I18)/(G14+G16+G18)*100)-100</f>
        <v>2.5192550250919226</v>
      </c>
      <c r="P14" s="63" t="s">
        <v>75</v>
      </c>
    </row>
    <row r="15" spans="1:16" ht="21.2" customHeight="1">
      <c r="A15" s="221"/>
      <c r="B15" s="222"/>
      <c r="C15" s="222"/>
      <c r="D15" s="125" t="s">
        <v>48</v>
      </c>
      <c r="E15" s="152">
        <v>2021215</v>
      </c>
      <c r="F15" s="156">
        <v>121922</v>
      </c>
      <c r="G15" s="165">
        <v>632474</v>
      </c>
      <c r="H15" s="165">
        <v>152072</v>
      </c>
      <c r="I15" s="165">
        <v>630500</v>
      </c>
      <c r="J15" s="129">
        <f t="shared" si="4"/>
        <v>30150</v>
      </c>
      <c r="K15" s="130">
        <f t="shared" si="5"/>
        <v>24.728925050442086</v>
      </c>
      <c r="L15" s="131">
        <f t="shared" si="2"/>
        <v>-1974</v>
      </c>
      <c r="M15" s="138">
        <f t="shared" si="3"/>
        <v>-0.31210769138336047</v>
      </c>
      <c r="P15" s="63" t="s">
        <v>76</v>
      </c>
    </row>
    <row r="16" spans="1:16" ht="21.2" customHeight="1">
      <c r="A16" s="221" t="s">
        <v>62</v>
      </c>
      <c r="B16" s="222"/>
      <c r="C16" s="222"/>
      <c r="D16" s="125" t="s">
        <v>47</v>
      </c>
      <c r="E16" s="152">
        <v>206399</v>
      </c>
      <c r="F16" s="156">
        <v>17413</v>
      </c>
      <c r="G16" s="165">
        <v>67227</v>
      </c>
      <c r="H16" s="165">
        <v>18562</v>
      </c>
      <c r="I16" s="165">
        <v>66646.5</v>
      </c>
      <c r="J16" s="129">
        <f t="shared" si="4"/>
        <v>1149</v>
      </c>
      <c r="K16" s="130">
        <f t="shared" si="5"/>
        <v>6.5985183483604288</v>
      </c>
      <c r="L16" s="131">
        <f t="shared" si="2"/>
        <v>-580.5</v>
      </c>
      <c r="M16" s="138">
        <f t="shared" si="3"/>
        <v>-0.86349234682494114</v>
      </c>
      <c r="P16" s="63" t="s">
        <v>77</v>
      </c>
    </row>
    <row r="17" spans="1:16" ht="21.2" customHeight="1">
      <c r="A17" s="221"/>
      <c r="B17" s="222"/>
      <c r="C17" s="222"/>
      <c r="D17" s="125" t="s">
        <v>48</v>
      </c>
      <c r="E17" s="152">
        <v>2900266</v>
      </c>
      <c r="F17" s="156">
        <v>259857</v>
      </c>
      <c r="G17" s="165">
        <v>945443</v>
      </c>
      <c r="H17" s="165">
        <v>260369</v>
      </c>
      <c r="I17" s="165">
        <v>900184</v>
      </c>
      <c r="J17" s="129">
        <f t="shared" si="4"/>
        <v>512</v>
      </c>
      <c r="K17" s="130">
        <f t="shared" si="5"/>
        <v>0.19703144421738727</v>
      </c>
      <c r="L17" s="131">
        <f t="shared" si="2"/>
        <v>-45259</v>
      </c>
      <c r="M17" s="138">
        <f t="shared" si="3"/>
        <v>-4.7870680728505022</v>
      </c>
      <c r="P17" s="63" t="s">
        <v>78</v>
      </c>
    </row>
    <row r="18" spans="1:16" ht="21.2" customHeight="1">
      <c r="A18" s="221" t="s">
        <v>56</v>
      </c>
      <c r="B18" s="222"/>
      <c r="C18" s="222"/>
      <c r="D18" s="125" t="s">
        <v>47</v>
      </c>
      <c r="E18" s="152">
        <v>120730</v>
      </c>
      <c r="F18" s="156">
        <v>9525</v>
      </c>
      <c r="G18" s="165">
        <v>40679</v>
      </c>
      <c r="H18" s="165">
        <v>12775.5</v>
      </c>
      <c r="I18" s="165">
        <v>48405</v>
      </c>
      <c r="J18" s="129">
        <f t="shared" si="4"/>
        <v>3250.5</v>
      </c>
      <c r="K18" s="130">
        <f t="shared" si="5"/>
        <v>34.125984251968504</v>
      </c>
      <c r="L18" s="131">
        <f t="shared" si="2"/>
        <v>7726</v>
      </c>
      <c r="M18" s="139">
        <f t="shared" si="3"/>
        <v>18.992600604734619</v>
      </c>
      <c r="P18" s="63" t="s">
        <v>79</v>
      </c>
    </row>
    <row r="19" spans="1:16" ht="21.2" customHeight="1">
      <c r="A19" s="221"/>
      <c r="B19" s="222"/>
      <c r="C19" s="222"/>
      <c r="D19" s="125" t="s">
        <v>48</v>
      </c>
      <c r="E19" s="152">
        <v>1935255</v>
      </c>
      <c r="F19" s="156">
        <v>149976</v>
      </c>
      <c r="G19" s="165">
        <v>658174</v>
      </c>
      <c r="H19" s="165">
        <v>198937</v>
      </c>
      <c r="I19" s="165">
        <v>757842</v>
      </c>
      <c r="J19" s="129">
        <f t="shared" si="4"/>
        <v>48961</v>
      </c>
      <c r="K19" s="130">
        <f t="shared" si="5"/>
        <v>32.645890009068125</v>
      </c>
      <c r="L19" s="131">
        <f t="shared" si="2"/>
        <v>99668</v>
      </c>
      <c r="M19" s="139">
        <f t="shared" si="3"/>
        <v>15.143108053493464</v>
      </c>
      <c r="P19" s="63" t="s">
        <v>80</v>
      </c>
    </row>
    <row r="20" spans="1:16" ht="21.2" customHeight="1">
      <c r="A20" s="231" t="s">
        <v>68</v>
      </c>
      <c r="B20" s="232"/>
      <c r="C20" s="232"/>
      <c r="D20" s="133" t="s">
        <v>47</v>
      </c>
      <c r="E20" s="135">
        <v>0</v>
      </c>
      <c r="F20" s="135">
        <v>0</v>
      </c>
      <c r="G20" s="135">
        <v>0</v>
      </c>
      <c r="H20" s="135">
        <v>0</v>
      </c>
      <c r="I20" s="135">
        <v>0</v>
      </c>
      <c r="J20" s="134">
        <f t="shared" si="4"/>
        <v>0</v>
      </c>
      <c r="K20" s="135">
        <v>0</v>
      </c>
      <c r="L20" s="131">
        <f t="shared" si="2"/>
        <v>0</v>
      </c>
      <c r="M20" s="143">
        <v>0</v>
      </c>
      <c r="P20" s="63" t="s">
        <v>81</v>
      </c>
    </row>
    <row r="21" spans="1:16" ht="21.2" customHeight="1">
      <c r="A21" s="231"/>
      <c r="B21" s="232"/>
      <c r="C21" s="232"/>
      <c r="D21" s="133" t="s">
        <v>48</v>
      </c>
      <c r="E21" s="135">
        <v>0</v>
      </c>
      <c r="F21" s="135">
        <v>0</v>
      </c>
      <c r="G21" s="135">
        <v>0</v>
      </c>
      <c r="H21" s="135">
        <v>0</v>
      </c>
      <c r="I21" s="135">
        <v>0</v>
      </c>
      <c r="J21" s="134">
        <f t="shared" si="0"/>
        <v>0</v>
      </c>
      <c r="K21" s="135">
        <v>0</v>
      </c>
      <c r="L21" s="131">
        <f t="shared" si="2"/>
        <v>0</v>
      </c>
      <c r="M21" s="143">
        <v>0</v>
      </c>
      <c r="P21" s="63" t="s">
        <v>82</v>
      </c>
    </row>
    <row r="22" spans="1:16" ht="21.2" customHeight="1">
      <c r="A22" s="221" t="s">
        <v>92</v>
      </c>
      <c r="B22" s="222"/>
      <c r="C22" s="222"/>
      <c r="D22" s="125" t="s">
        <v>47</v>
      </c>
      <c r="E22" s="135">
        <v>0</v>
      </c>
      <c r="F22" s="135">
        <v>0</v>
      </c>
      <c r="G22" s="135">
        <v>0</v>
      </c>
      <c r="H22" s="135">
        <v>0</v>
      </c>
      <c r="I22" s="135">
        <v>0</v>
      </c>
      <c r="J22" s="134">
        <f t="shared" si="0"/>
        <v>0</v>
      </c>
      <c r="K22" s="135">
        <v>0</v>
      </c>
      <c r="L22" s="131">
        <f t="shared" si="2"/>
        <v>0</v>
      </c>
      <c r="M22" s="143">
        <v>0</v>
      </c>
      <c r="P22" s="63" t="s">
        <v>95</v>
      </c>
    </row>
    <row r="23" spans="1:16" ht="21.2" customHeight="1">
      <c r="A23" s="221"/>
      <c r="B23" s="222"/>
      <c r="C23" s="222"/>
      <c r="D23" s="125" t="s">
        <v>48</v>
      </c>
      <c r="E23" s="135">
        <v>0</v>
      </c>
      <c r="F23" s="135">
        <v>0</v>
      </c>
      <c r="G23" s="135">
        <v>0</v>
      </c>
      <c r="H23" s="135">
        <v>0</v>
      </c>
      <c r="I23" s="135">
        <v>0</v>
      </c>
      <c r="J23" s="134">
        <f t="shared" si="0"/>
        <v>0</v>
      </c>
      <c r="K23" s="135">
        <v>0</v>
      </c>
      <c r="L23" s="131">
        <f t="shared" si="2"/>
        <v>0</v>
      </c>
      <c r="M23" s="143">
        <v>0</v>
      </c>
      <c r="P23" s="63" t="s">
        <v>95</v>
      </c>
    </row>
    <row r="24" spans="1:16" ht="21.2" customHeight="1">
      <c r="A24" s="221" t="s">
        <v>63</v>
      </c>
      <c r="B24" s="222"/>
      <c r="C24" s="222"/>
      <c r="D24" s="125" t="s">
        <v>64</v>
      </c>
      <c r="E24" s="152">
        <v>107</v>
      </c>
      <c r="F24" s="165">
        <v>0</v>
      </c>
      <c r="G24" s="165">
        <v>34</v>
      </c>
      <c r="H24" s="135">
        <v>0</v>
      </c>
      <c r="I24" s="135">
        <v>0</v>
      </c>
      <c r="J24" s="134">
        <f t="shared" si="0"/>
        <v>0</v>
      </c>
      <c r="K24" s="135">
        <v>0</v>
      </c>
      <c r="L24" s="131">
        <f t="shared" si="2"/>
        <v>-34</v>
      </c>
      <c r="M24" s="143">
        <v>0</v>
      </c>
      <c r="P24" s="63" t="s">
        <v>83</v>
      </c>
    </row>
    <row r="25" spans="1:16" ht="21.2" customHeight="1">
      <c r="A25" s="221"/>
      <c r="B25" s="222"/>
      <c r="C25" s="222"/>
      <c r="D25" s="125" t="s">
        <v>65</v>
      </c>
      <c r="E25" s="152">
        <v>244</v>
      </c>
      <c r="F25" s="165">
        <v>0</v>
      </c>
      <c r="G25" s="165">
        <v>244</v>
      </c>
      <c r="H25" s="135">
        <v>0</v>
      </c>
      <c r="I25" s="135">
        <v>0</v>
      </c>
      <c r="J25" s="134">
        <f t="shared" si="0"/>
        <v>0</v>
      </c>
      <c r="K25" s="135">
        <v>0</v>
      </c>
      <c r="L25" s="131">
        <f t="shared" si="2"/>
        <v>-244</v>
      </c>
      <c r="M25" s="143">
        <v>0</v>
      </c>
      <c r="P25" s="63" t="s">
        <v>83</v>
      </c>
    </row>
    <row r="26" spans="1:16" ht="21.2" customHeight="1">
      <c r="A26" s="221" t="s">
        <v>58</v>
      </c>
      <c r="B26" s="222"/>
      <c r="C26" s="222"/>
      <c r="D26" s="125" t="s">
        <v>47</v>
      </c>
      <c r="E26" s="152">
        <v>212</v>
      </c>
      <c r="F26" s="156">
        <v>48</v>
      </c>
      <c r="G26" s="165">
        <v>212</v>
      </c>
      <c r="H26" s="149">
        <v>0</v>
      </c>
      <c r="I26" s="149">
        <v>0</v>
      </c>
      <c r="J26" s="134">
        <f t="shared" si="0"/>
        <v>-48</v>
      </c>
      <c r="K26" s="130" t="s">
        <v>101</v>
      </c>
      <c r="L26" s="131">
        <f t="shared" si="2"/>
        <v>-212</v>
      </c>
      <c r="M26" s="138"/>
      <c r="P26" s="63" t="s">
        <v>84</v>
      </c>
    </row>
    <row r="27" spans="1:16" ht="21.2" customHeight="1">
      <c r="A27" s="221"/>
      <c r="B27" s="222"/>
      <c r="C27" s="222"/>
      <c r="D27" s="125" t="s">
        <v>48</v>
      </c>
      <c r="E27" s="152">
        <v>1888</v>
      </c>
      <c r="F27" s="156">
        <v>463</v>
      </c>
      <c r="G27" s="165">
        <v>1888</v>
      </c>
      <c r="H27" s="149">
        <v>0</v>
      </c>
      <c r="I27" s="149">
        <v>0</v>
      </c>
      <c r="J27" s="134">
        <f t="shared" si="0"/>
        <v>-463</v>
      </c>
      <c r="K27" s="130" t="s">
        <v>101</v>
      </c>
      <c r="L27" s="131">
        <f t="shared" si="2"/>
        <v>-1888</v>
      </c>
      <c r="M27" s="138"/>
      <c r="P27" s="63" t="s">
        <v>85</v>
      </c>
    </row>
    <row r="28" spans="1:16" ht="21.2" customHeight="1">
      <c r="A28" s="221" t="s">
        <v>59</v>
      </c>
      <c r="B28" s="222"/>
      <c r="C28" s="222"/>
      <c r="D28" s="125" t="s">
        <v>47</v>
      </c>
      <c r="E28" s="152">
        <v>87855</v>
      </c>
      <c r="F28" s="156">
        <v>8812</v>
      </c>
      <c r="G28" s="165">
        <v>29486</v>
      </c>
      <c r="H28" s="165">
        <v>4205</v>
      </c>
      <c r="I28" s="165">
        <v>17332</v>
      </c>
      <c r="J28" s="134">
        <f t="shared" si="0"/>
        <v>-4607</v>
      </c>
      <c r="K28" s="130">
        <f t="shared" si="1"/>
        <v>-52.280980481162054</v>
      </c>
      <c r="L28" s="131">
        <f t="shared" si="2"/>
        <v>-12154</v>
      </c>
      <c r="M28" s="138">
        <f t="shared" si="3"/>
        <v>-41.219561825951303</v>
      </c>
      <c r="N28" s="63">
        <f>((I28+I30+I32)/(G28+G30+G32)*100)-100</f>
        <v>-16.896454221568732</v>
      </c>
      <c r="P28" s="63" t="s">
        <v>86</v>
      </c>
    </row>
    <row r="29" spans="1:16" ht="21.2" customHeight="1">
      <c r="A29" s="221"/>
      <c r="B29" s="222"/>
      <c r="C29" s="222"/>
      <c r="D29" s="125" t="s">
        <v>48</v>
      </c>
      <c r="E29" s="152">
        <v>1481921</v>
      </c>
      <c r="F29" s="156">
        <v>158037</v>
      </c>
      <c r="G29" s="165">
        <v>528627</v>
      </c>
      <c r="H29" s="165">
        <v>75864</v>
      </c>
      <c r="I29" s="165">
        <v>285821</v>
      </c>
      <c r="J29" s="134">
        <f t="shared" si="0"/>
        <v>-82173</v>
      </c>
      <c r="K29" s="130">
        <f t="shared" si="1"/>
        <v>-51.99605155754665</v>
      </c>
      <c r="L29" s="131">
        <f t="shared" si="2"/>
        <v>-242806</v>
      </c>
      <c r="M29" s="138">
        <f t="shared" si="3"/>
        <v>-45.931441261986237</v>
      </c>
      <c r="P29" s="63" t="s">
        <v>87</v>
      </c>
    </row>
    <row r="30" spans="1:16" ht="21.2" customHeight="1">
      <c r="A30" s="221" t="s">
        <v>60</v>
      </c>
      <c r="B30" s="222"/>
      <c r="C30" s="222"/>
      <c r="D30" s="125" t="s">
        <v>47</v>
      </c>
      <c r="E30" s="152">
        <v>136389</v>
      </c>
      <c r="F30" s="156">
        <v>11850</v>
      </c>
      <c r="G30" s="165">
        <v>43247</v>
      </c>
      <c r="H30" s="165">
        <v>9145</v>
      </c>
      <c r="I30" s="165">
        <v>39687</v>
      </c>
      <c r="J30" s="129">
        <f t="shared" si="0"/>
        <v>-2705</v>
      </c>
      <c r="K30" s="130">
        <f t="shared" si="1"/>
        <v>-22.827004219409289</v>
      </c>
      <c r="L30" s="131">
        <f t="shared" si="2"/>
        <v>-3560</v>
      </c>
      <c r="M30" s="138">
        <f t="shared" si="3"/>
        <v>-8.2317848636899669</v>
      </c>
      <c r="P30" s="63" t="s">
        <v>88</v>
      </c>
    </row>
    <row r="31" spans="1:16" ht="21.2" customHeight="1">
      <c r="A31" s="221"/>
      <c r="B31" s="222"/>
      <c r="C31" s="222"/>
      <c r="D31" s="125" t="s">
        <v>48</v>
      </c>
      <c r="E31" s="152">
        <v>1982852</v>
      </c>
      <c r="F31" s="156">
        <v>183611</v>
      </c>
      <c r="G31" s="165">
        <v>636638</v>
      </c>
      <c r="H31" s="165">
        <v>131661</v>
      </c>
      <c r="I31" s="165">
        <v>547979</v>
      </c>
      <c r="J31" s="129">
        <f t="shared" si="0"/>
        <v>-51950</v>
      </c>
      <c r="K31" s="130">
        <f t="shared" si="1"/>
        <v>-28.293511826633477</v>
      </c>
      <c r="L31" s="131">
        <f t="shared" si="2"/>
        <v>-88659</v>
      </c>
      <c r="M31" s="138">
        <f t="shared" si="3"/>
        <v>-13.926124422356196</v>
      </c>
      <c r="P31" s="63" t="s">
        <v>89</v>
      </c>
    </row>
    <row r="32" spans="1:16" ht="21.2" customHeight="1">
      <c r="A32" s="221" t="s">
        <v>61</v>
      </c>
      <c r="B32" s="222"/>
      <c r="C32" s="222"/>
      <c r="D32" s="125" t="s">
        <v>47</v>
      </c>
      <c r="E32" s="152">
        <v>45952</v>
      </c>
      <c r="F32" s="156">
        <v>3659</v>
      </c>
      <c r="G32" s="165">
        <v>15682</v>
      </c>
      <c r="H32" s="165">
        <v>4183</v>
      </c>
      <c r="I32" s="165">
        <v>16457</v>
      </c>
      <c r="J32" s="129">
        <f>H32-F32</f>
        <v>524</v>
      </c>
      <c r="K32" s="130">
        <f t="shared" si="1"/>
        <v>14.320852691992343</v>
      </c>
      <c r="L32" s="131">
        <f>I32-G32</f>
        <v>775</v>
      </c>
      <c r="M32" s="138">
        <f t="shared" si="3"/>
        <v>4.9419716872847914</v>
      </c>
      <c r="P32" s="63" t="s">
        <v>90</v>
      </c>
    </row>
    <row r="33" spans="1:16" ht="21.2" customHeight="1">
      <c r="A33" s="221"/>
      <c r="B33" s="222"/>
      <c r="C33" s="222"/>
      <c r="D33" s="125" t="s">
        <v>48</v>
      </c>
      <c r="E33" s="152">
        <v>722543</v>
      </c>
      <c r="F33" s="156">
        <v>59542</v>
      </c>
      <c r="G33" s="165">
        <v>264758</v>
      </c>
      <c r="H33" s="165">
        <v>59436</v>
      </c>
      <c r="I33" s="165">
        <v>247801</v>
      </c>
      <c r="J33" s="129">
        <f>H33-F33</f>
        <v>-106</v>
      </c>
      <c r="K33" s="130">
        <f t="shared" si="1"/>
        <v>-0.17802559537804541</v>
      </c>
      <c r="L33" s="131">
        <f>I33-G33</f>
        <v>-16957</v>
      </c>
      <c r="M33" s="138">
        <f t="shared" si="3"/>
        <v>-6.4047167602112154</v>
      </c>
      <c r="P33" s="63" t="s">
        <v>91</v>
      </c>
    </row>
    <row r="34" spans="1:16" ht="21.2" customHeight="1">
      <c r="A34" s="221" t="s">
        <v>100</v>
      </c>
      <c r="B34" s="222"/>
      <c r="C34" s="222"/>
      <c r="D34" s="125" t="s">
        <v>47</v>
      </c>
      <c r="E34" s="152">
        <v>80</v>
      </c>
      <c r="F34" s="153">
        <v>0</v>
      </c>
      <c r="G34" s="165">
        <v>80</v>
      </c>
      <c r="H34" s="166">
        <v>0</v>
      </c>
      <c r="I34" s="166">
        <v>0</v>
      </c>
      <c r="J34" s="129">
        <f>H34-F34</f>
        <v>0</v>
      </c>
      <c r="K34" s="130" t="s">
        <v>101</v>
      </c>
      <c r="L34" s="131">
        <f>I34-G34</f>
        <v>-80</v>
      </c>
      <c r="M34" s="138">
        <f t="shared" ref="M34:M35" si="6">(I34/G34*100)-100</f>
        <v>-100</v>
      </c>
    </row>
    <row r="35" spans="1:16" ht="21.2" customHeight="1" thickBot="1">
      <c r="A35" s="229"/>
      <c r="B35" s="230"/>
      <c r="C35" s="230"/>
      <c r="D35" s="140" t="s">
        <v>48</v>
      </c>
      <c r="E35" s="154">
        <v>1384</v>
      </c>
      <c r="F35" s="155">
        <v>0</v>
      </c>
      <c r="G35" s="168">
        <v>1384</v>
      </c>
      <c r="H35" s="167">
        <v>0</v>
      </c>
      <c r="I35" s="167">
        <v>0</v>
      </c>
      <c r="J35" s="141">
        <f>H35-F35</f>
        <v>0</v>
      </c>
      <c r="K35" s="103" t="s">
        <v>101</v>
      </c>
      <c r="L35" s="142">
        <f>I35-G35</f>
        <v>-1384</v>
      </c>
      <c r="M35" s="104">
        <f t="shared" si="6"/>
        <v>-100</v>
      </c>
    </row>
  </sheetData>
  <mergeCells count="21">
    <mergeCell ref="A34:C35"/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  <mergeCell ref="J2:M2"/>
    <mergeCell ref="A4:C5"/>
    <mergeCell ref="A6:C7"/>
    <mergeCell ref="A8:C9"/>
    <mergeCell ref="A2:C3"/>
    <mergeCell ref="D2:D3"/>
    <mergeCell ref="F2:G2"/>
    <mergeCell ref="H2:I2"/>
  </mergeCells>
  <phoneticPr fontId="23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2023-07-28T07:59:26Z</dcterms:modified>
</cp:coreProperties>
</file>