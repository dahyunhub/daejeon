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I7" i="21" l="1"/>
  <c r="H7" i="21" l="1"/>
  <c r="AA7" i="33" l="1"/>
  <c r="N6" i="33"/>
  <c r="G6" i="33"/>
  <c r="N3" i="33"/>
  <c r="I15" i="21" l="1"/>
  <c r="F15" i="21" l="1"/>
  <c r="G21" i="21" l="1"/>
  <c r="I3" i="32" l="1"/>
  <c r="H3" i="32"/>
  <c r="G3" i="32"/>
  <c r="F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I4" i="32"/>
  <c r="H4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11" i="21"/>
  <c r="F11" i="21"/>
  <c r="G4" i="33"/>
  <c r="G7" i="21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L6" i="32"/>
  <c r="M6" i="32"/>
  <c r="J7" i="32"/>
  <c r="K7" i="32"/>
  <c r="L7" i="32"/>
  <c r="M7" i="32"/>
  <c r="J8" i="32"/>
  <c r="K8" i="32"/>
  <c r="L8" i="32"/>
  <c r="M8" i="32"/>
  <c r="J9" i="32"/>
  <c r="K9" i="32"/>
  <c r="L9" i="32"/>
  <c r="M9" i="32"/>
  <c r="J12" i="32"/>
  <c r="K12" i="32"/>
  <c r="L12" i="32"/>
  <c r="M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<sst xmlns="http://schemas.openxmlformats.org/spreadsheetml/2006/main" count="126" uniqueCount="82">
  <si>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</si>
  <si>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</si>
  <si>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</si>
  <si>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</si>
  <si>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</si>
  <si>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</si>
  <si>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</si>
  <si>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</si>
  <si>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</si>
  <si>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</si>
  <si>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</si>
  <si>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</si>
  <si>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</si>
  <si>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</si>
  <si>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</si>
  <si>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</si>
  <si>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</si>
  <si>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</si>
  <si>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</si>
  <si>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</si>
  <si>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</si>
  <si>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</si>
  <si>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</si>
  <si>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</si>
  <si>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</si>
  <si>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</si>
  <si>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</si>
  <si>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</si>
  <si>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</si>
  <si>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</si>
  <si>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</si>
  <si>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</si>
  <si>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</si>
  <si>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</si>
  <si>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</si>
  <si>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</si>
  <si>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</si>
  <si>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</si>
  <si>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</si>
  <si>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</si>
  <si>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</si>
  <si>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</si>
  <si>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</si>
  <si>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</si>
  <si>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</si>
  <si>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</si>
  <si>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</si>
  <si>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</si>
  <si>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</si>
  <si>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</si>
  <si>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</si>
  <si>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</si>
  <si>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</si>
  <si>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</si>
  <si>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</si>
  <si>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</si>
  <si>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</si>
  <si>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</si>
  <si>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</si>
  <si>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</si>
  <si>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</si>
  <si>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</si>
  <si>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</si>
  <si>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</si>
  <si>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</si>
  <si>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</si>
  <si>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</si>
  <si>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</si>
  <si>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</si>
  <si>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</si>
  <si>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</si>
  <si>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t>소계</t>
    <phoneticPr fontId="5" type="noConversion"/>
  </si>
  <si>
    <t>2019년도</t>
    <phoneticPr fontId="5" type="noConversion"/>
  </si>
  <si>
    <t>2020년도</t>
    <phoneticPr fontId="5" type="noConversion"/>
  </si>
  <si>
    <t>(단위 : 척)</t>
    <phoneticPr fontId="5" type="noConversion"/>
  </si>
  <si>
    <t>2020년도</t>
    <phoneticPr fontId="5" type="noConversion"/>
  </si>
  <si>
    <t>(2020. 12월분)</t>
    <phoneticPr fontId="5" type="noConversion"/>
  </si>
  <si>
    <t>12월(A)</t>
    <phoneticPr fontId="5" type="noConversion"/>
  </si>
  <si>
    <t>12월누계(B)</t>
    <phoneticPr fontId="5" type="noConversion"/>
  </si>
  <si>
    <t>12월(C)</t>
    <phoneticPr fontId="5" type="noConversion"/>
  </si>
  <si>
    <t>12월누계(D)</t>
    <phoneticPr fontId="5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</si>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</sst>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9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vertical="center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76" fontId="31" fillId="0" borderId="23" xfId="15" applyFont="1" applyBorder="1" applyAlignment="1">
      <alignment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3" fontId="23" fillId="0" borderId="12" xfId="0" applyNumberFormat="1" applyFont="1" applyBorder="1" applyAlignment="1">
      <alignment vertical="center" shrinkToFit="1"/>
    </xf>
    <xf numFmtId="183" fontId="31" fillId="0" borderId="23" xfId="0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1" xfId="17" applyNumberFormat="1" applyFont="1" applyFill="1" applyBorder="1" applyAlignment="1">
      <alignment horizontal="right" vertical="center" shrinkToFit="1"/>
    </xf>
    <xf numFmtId="184" fontId="12" fillId="5" borderId="28" xfId="17" applyNumberFormat="1" applyFont="1" applyFill="1" applyBorder="1" applyAlignment="1">
      <alignment horizontal="right" vertical="center" shrinkToFit="1"/>
    </xf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76" fontId="33" fillId="0" borderId="23" xfId="15" applyFont="1" applyBorder="1" applyAlignment="1">
      <alignment vertical="center" shrinkToFit="1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12" fillId="6" borderId="8" xfId="0" applyNumberFormat="1" applyFont="1" applyFill="1" applyBorder="1" applyAlignment="1">
      <alignment horizontal="left" vertical="center"/>
    </xf>
    <xf numFmtId="176" fontId="34" fillId="6" borderId="5" xfId="0" applyNumberFormat="1" applyFont="1" applyFill="1" applyBorder="1" applyAlignment="1">
      <alignment horizontal="center" vertical="center"/>
    </xf>
    <xf numFmtId="41" fontId="28" fillId="0" borderId="3" xfId="0" applyNumberFormat="1" applyFont="1" applyFill="1" applyBorder="1" applyAlignment="1">
      <alignment horizontal="right" vertical="center"/>
    </xf>
    <xf numFmtId="176" fontId="12" fillId="6" borderId="17" xfId="0" applyNumberFormat="1" applyFont="1" applyFill="1" applyBorder="1" applyAlignment="1">
      <alignment horizontal="center" vertical="center"/>
    </xf>
    <xf numFmtId="176" fontId="34" fillId="6" borderId="1" xfId="17" applyNumberFormat="1" applyFont="1" applyFill="1" applyBorder="1" applyAlignment="1">
      <alignment horizontal="center" vertical="center"/>
    </xf>
    <xf numFmtId="186" fontId="22" fillId="6" borderId="21" xfId="0" applyNumberFormat="1" applyFont="1" applyFill="1" applyBorder="1" applyAlignment="1">
      <alignment horizontal="center" vertical="center"/>
    </xf>
    <xf numFmtId="187" fontId="22" fillId="6" borderId="21" xfId="0" quotePrefix="1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43" xfId="0" applyNumberFormat="1" applyFont="1" applyFill="1" applyBorder="1" applyAlignment="1">
      <alignment horizontal="center" vertical="center"/>
    </xf>
    <xf numFmtId="176" fontId="12" fillId="6" borderId="20" xfId="0" applyNumberFormat="1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12월 누계</c:v>
          </c:tx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113201331</c:v>
                </c:pt>
              </c:numCache>
            </c:numRef>
          </c:val>
        </c:ser>
        <c:ser>
          <c:idx val="1"/>
          <c:order val="1"/>
          <c:tx>
            <c:v>'20년 12월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106845294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1729664"/>
        <c:axId val="191731200"/>
        <c:axId val="0"/>
      </c:bar3DChart>
      <c:catAx>
        <c:axId val="191729664"/>
        <c:scaling>
          <c:orientation val="minMax"/>
        </c:scaling>
        <c:delete val="1"/>
        <c:axPos val="b"/>
        <c:majorTickMark val="out"/>
        <c:minorTickMark val="none"/>
        <c:tickLblPos val="none"/>
        <c:crossAx val="191731200"/>
        <c:crosses val="autoZero"/>
        <c:auto val="1"/>
        <c:lblAlgn val="ctr"/>
        <c:lblOffset val="100"/>
        <c:noMultiLvlLbl val="0"/>
      </c:catAx>
      <c:valAx>
        <c:axId val="191731200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1729664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12월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725047</c:v>
                </c:pt>
              </c:numCache>
            </c:numRef>
          </c:val>
        </c:ser>
        <c:ser>
          <c:idx val="1"/>
          <c:order val="1"/>
          <c:tx>
            <c:v>'20년 12월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792643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1574400"/>
        <c:axId val="191575936"/>
        <c:axId val="0"/>
      </c:bar3DChart>
      <c:catAx>
        <c:axId val="191574400"/>
        <c:scaling>
          <c:orientation val="minMax"/>
        </c:scaling>
        <c:delete val="1"/>
        <c:axPos val="b"/>
        <c:majorTickMark val="out"/>
        <c:minorTickMark val="none"/>
        <c:tickLblPos val="none"/>
        <c:crossAx val="191575936"/>
        <c:crosses val="autoZero"/>
        <c:auto val="1"/>
        <c:lblAlgn val="ctr"/>
        <c:lblOffset val="100"/>
        <c:noMultiLvlLbl val="0"/>
      </c:catAx>
      <c:valAx>
        <c:axId val="191575936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1574400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[Red]\(0.00\)">
                  <c:v>20.12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106845.29399999999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641856"/>
        <c:axId val="191672704"/>
      </c:lineChart>
      <c:catAx>
        <c:axId val="19164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1672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16727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164185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[Red]\(0.00\)">
                  <c:v>20.12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792643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35648"/>
        <c:axId val="199837568"/>
      </c:lineChart>
      <c:catAx>
        <c:axId val="199835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9837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98375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98356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[Red]\(0.00\)">
                  <c:v>20.12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61760"/>
        <c:axId val="199863680"/>
      </c:lineChart>
      <c:catAx>
        <c:axId val="199861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9863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98636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986176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\(0.00\)">
                  <c:v>20.12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17326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79680"/>
        <c:axId val="199574656"/>
      </c:lineChart>
      <c:catAx>
        <c:axId val="199879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95746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957465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987968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\(0.00\)">
                  <c:v>20.12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17326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94752"/>
        <c:axId val="199596672"/>
      </c:lineChart>
      <c:catAx>
        <c:axId val="199594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95966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95966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95947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4" sqref="B4:M4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83"/>
      <c r="M1" s="183"/>
    </row>
    <row r="2" spans="2:13" ht="33" customHeight="1">
      <c r="B2" s="195" t="s">
        <v>49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</row>
    <row r="3" spans="2:13" ht="27.75" customHeight="1">
      <c r="B3" s="197" t="s">
        <v>76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</row>
    <row r="4" spans="2:13" ht="21.2" customHeight="1" thickBot="1">
      <c r="B4" s="203" t="s">
        <v>81</v>
      </c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</row>
    <row r="5" spans="2:13" ht="21.2" customHeight="1">
      <c r="B5" s="189" t="s">
        <v>7</v>
      </c>
      <c r="C5" s="190"/>
      <c r="D5" s="191"/>
      <c r="E5" s="39"/>
      <c r="F5" s="187" t="s">
        <v>72</v>
      </c>
      <c r="G5" s="245"/>
      <c r="H5" s="246" t="s">
        <v>75</v>
      </c>
      <c r="I5" s="246"/>
      <c r="J5" s="186" t="s">
        <v>15</v>
      </c>
      <c r="K5" s="187"/>
      <c r="L5" s="187"/>
      <c r="M5" s="188"/>
    </row>
    <row r="6" spans="2:13" ht="20.25" customHeight="1">
      <c r="B6" s="192"/>
      <c r="C6" s="193"/>
      <c r="D6" s="194"/>
      <c r="E6" s="40" t="s">
        <v>11</v>
      </c>
      <c r="F6" s="170" t="s">
        <v>77</v>
      </c>
      <c r="G6" s="41" t="s">
        <v>78</v>
      </c>
      <c r="H6" s="170" t="s">
        <v>79</v>
      </c>
      <c r="I6" s="168" t="s">
        <v>80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208" t="s">
        <v>21</v>
      </c>
      <c r="C7" s="184" t="s">
        <v>12</v>
      </c>
      <c r="D7" s="185"/>
      <c r="E7" s="13">
        <f>SUM(E8:E9)</f>
        <v>18416</v>
      </c>
      <c r="F7" s="13">
        <f>SUM(F8:F9)</f>
        <v>1510</v>
      </c>
      <c r="G7" s="13">
        <f>SUM(G8:G9)</f>
        <v>18416</v>
      </c>
      <c r="H7" s="13">
        <f>SUM(H8:H9)</f>
        <v>1467</v>
      </c>
      <c r="I7" s="13">
        <f>SUM(I8:I9)</f>
        <v>17326</v>
      </c>
      <c r="J7" s="13">
        <f>H7-F7</f>
        <v>-43</v>
      </c>
      <c r="K7" s="16">
        <f>H7/F7</f>
        <v>0.97152317880794703</v>
      </c>
      <c r="L7" s="14">
        <f>I7-G7</f>
        <v>-1090</v>
      </c>
      <c r="M7" s="24">
        <f>I7/G7</f>
        <v>0.94081233709817547</v>
      </c>
    </row>
    <row r="8" spans="2:13" ht="19.5" customHeight="1">
      <c r="B8" s="209"/>
      <c r="C8" s="199" t="s">
        <v>9</v>
      </c>
      <c r="D8" s="200"/>
      <c r="E8" s="20">
        <v>11525</v>
      </c>
      <c r="F8" s="20">
        <v>959</v>
      </c>
      <c r="G8" s="21">
        <v>11525</v>
      </c>
      <c r="H8" s="20">
        <v>883</v>
      </c>
      <c r="I8" s="20">
        <v>10177</v>
      </c>
      <c r="J8" s="4">
        <f t="shared" ref="J8:J28" si="0">H8-F8</f>
        <v>-76</v>
      </c>
      <c r="K8" s="18">
        <f t="shared" ref="K8:K28" si="1">H8/F8</f>
        <v>0.92075078206465066</v>
      </c>
      <c r="L8" s="19">
        <f t="shared" ref="L8:L28" si="2">I8-G8</f>
        <v>-1348</v>
      </c>
      <c r="M8" s="26">
        <f t="shared" ref="M8:M28" si="3">I8/G8</f>
        <v>0.88303687635574835</v>
      </c>
    </row>
    <row r="9" spans="2:13" ht="19.5" customHeight="1">
      <c r="B9" s="210"/>
      <c r="C9" s="201" t="s">
        <v>10</v>
      </c>
      <c r="D9" s="202"/>
      <c r="E9" s="21">
        <v>6891</v>
      </c>
      <c r="F9" s="21">
        <v>551</v>
      </c>
      <c r="G9" s="21">
        <v>6891</v>
      </c>
      <c r="H9" s="21">
        <v>584</v>
      </c>
      <c r="I9" s="21">
        <v>7149</v>
      </c>
      <c r="J9" s="21">
        <f t="shared" si="0"/>
        <v>33</v>
      </c>
      <c r="K9" s="22">
        <f t="shared" si="1"/>
        <v>1.0598911070780399</v>
      </c>
      <c r="L9" s="23">
        <f t="shared" si="2"/>
        <v>258</v>
      </c>
      <c r="M9" s="27">
        <f t="shared" si="3"/>
        <v>1.0374401393121462</v>
      </c>
    </row>
    <row r="10" spans="2:13" ht="21.2" customHeight="1">
      <c r="B10" s="208" t="s">
        <v>22</v>
      </c>
      <c r="C10" s="184" t="s">
        <v>8</v>
      </c>
      <c r="D10" s="185"/>
      <c r="E10" s="45">
        <f>E11+E15</f>
        <v>113201331</v>
      </c>
      <c r="F10" s="45">
        <f>F11+F15</f>
        <v>9756416</v>
      </c>
      <c r="G10" s="45">
        <f>G11+G15</f>
        <v>113201331</v>
      </c>
      <c r="H10" s="45">
        <f>H11+H15</f>
        <v>9411615</v>
      </c>
      <c r="I10" s="45">
        <f>I11+I15</f>
        <v>106845294</v>
      </c>
      <c r="J10" s="45">
        <f t="shared" si="0"/>
        <v>-344801</v>
      </c>
      <c r="K10" s="16">
        <f t="shared" si="1"/>
        <v>0.96465905102857441</v>
      </c>
      <c r="L10" s="49">
        <f>I10-G10</f>
        <v>-6356037</v>
      </c>
      <c r="M10" s="24">
        <f t="shared" si="3"/>
        <v>0.94385192343718993</v>
      </c>
    </row>
    <row r="11" spans="2:13" ht="19.5" customHeight="1">
      <c r="B11" s="209"/>
      <c r="C11" s="205" t="s">
        <v>1</v>
      </c>
      <c r="D11" s="99" t="s">
        <v>0</v>
      </c>
      <c r="E11" s="93">
        <f>SUM(E12:E14)</f>
        <v>102609234</v>
      </c>
      <c r="F11" s="93">
        <f>SUM(F12:F14)</f>
        <v>8889730</v>
      </c>
      <c r="G11" s="93">
        <f>SUM(G12:G14)</f>
        <v>102609234</v>
      </c>
      <c r="H11" s="93">
        <f>SUM(H12:H14)</f>
        <v>8531173</v>
      </c>
      <c r="I11" s="93">
        <f>SUM(I12:I14)</f>
        <v>95663945</v>
      </c>
      <c r="J11" s="94">
        <f t="shared" si="0"/>
        <v>-358557</v>
      </c>
      <c r="K11" s="95">
        <f t="shared" si="1"/>
        <v>0.9596661540901692</v>
      </c>
      <c r="L11" s="96">
        <f t="shared" si="2"/>
        <v>-6945289</v>
      </c>
      <c r="M11" s="97">
        <f t="shared" si="3"/>
        <v>0.93231321656684429</v>
      </c>
    </row>
    <row r="12" spans="2:13" ht="19.5" customHeight="1">
      <c r="B12" s="209"/>
      <c r="C12" s="206"/>
      <c r="D12" s="5" t="s">
        <v>5</v>
      </c>
      <c r="E12" s="46">
        <v>80537389</v>
      </c>
      <c r="F12" s="46">
        <v>7232543</v>
      </c>
      <c r="G12" s="46">
        <v>80537389</v>
      </c>
      <c r="H12" s="46">
        <v>7005281</v>
      </c>
      <c r="I12" s="46">
        <v>76439827</v>
      </c>
      <c r="J12" s="94">
        <f t="shared" si="0"/>
        <v>-227262</v>
      </c>
      <c r="K12" s="18">
        <f t="shared" si="1"/>
        <v>0.96857785705525701</v>
      </c>
      <c r="L12" s="48">
        <f t="shared" si="2"/>
        <v>-4097562</v>
      </c>
      <c r="M12" s="26">
        <f t="shared" si="3"/>
        <v>0.94912223936139772</v>
      </c>
    </row>
    <row r="13" spans="2:13" ht="19.5" customHeight="1">
      <c r="B13" s="209"/>
      <c r="C13" s="206"/>
      <c r="D13" s="5" t="s">
        <v>6</v>
      </c>
      <c r="E13" s="46">
        <v>15743706</v>
      </c>
      <c r="F13" s="46">
        <v>1225837</v>
      </c>
      <c r="G13" s="46">
        <v>15743706</v>
      </c>
      <c r="H13" s="46">
        <v>1082221</v>
      </c>
      <c r="I13" s="46">
        <v>13946411</v>
      </c>
      <c r="J13" s="94">
        <f t="shared" si="0"/>
        <v>-143616</v>
      </c>
      <c r="K13" s="18">
        <f t="shared" si="1"/>
        <v>0.88284249863562614</v>
      </c>
      <c r="L13" s="48">
        <f t="shared" si="2"/>
        <v>-1797295</v>
      </c>
      <c r="M13" s="26">
        <f t="shared" si="3"/>
        <v>0.88584041139995884</v>
      </c>
    </row>
    <row r="14" spans="2:13" ht="19.5" customHeight="1">
      <c r="B14" s="209"/>
      <c r="C14" s="207"/>
      <c r="D14" s="5" t="s">
        <v>13</v>
      </c>
      <c r="E14" s="46">
        <v>6328139</v>
      </c>
      <c r="F14" s="46">
        <v>431350</v>
      </c>
      <c r="G14" s="46">
        <v>6328139</v>
      </c>
      <c r="H14" s="46">
        <v>443671</v>
      </c>
      <c r="I14" s="46">
        <v>5277707</v>
      </c>
      <c r="J14" s="94">
        <f t="shared" si="0"/>
        <v>12321</v>
      </c>
      <c r="K14" s="18">
        <f>H14/F14</f>
        <v>1.0285638112901356</v>
      </c>
      <c r="L14" s="48">
        <f t="shared" si="2"/>
        <v>-1050432</v>
      </c>
      <c r="M14" s="26">
        <f t="shared" si="3"/>
        <v>0.83400617464312965</v>
      </c>
    </row>
    <row r="15" spans="2:13" ht="19.5" customHeight="1">
      <c r="B15" s="209"/>
      <c r="C15" s="214" t="s">
        <v>2</v>
      </c>
      <c r="D15" s="98" t="s">
        <v>0</v>
      </c>
      <c r="E15" s="88">
        <f>SUM(E16:E18)</f>
        <v>10592097</v>
      </c>
      <c r="F15" s="88">
        <f>SUM(F16:F18)</f>
        <v>866686</v>
      </c>
      <c r="G15" s="88">
        <f>SUM(G16:G18)</f>
        <v>10592097</v>
      </c>
      <c r="H15" s="88">
        <f>SUM(H16:H18)</f>
        <v>880442</v>
      </c>
      <c r="I15" s="88">
        <f>SUM(I16:I18)</f>
        <v>11181349</v>
      </c>
      <c r="J15" s="89">
        <f t="shared" si="0"/>
        <v>13756</v>
      </c>
      <c r="K15" s="90">
        <f t="shared" si="1"/>
        <v>1.01587195362565</v>
      </c>
      <c r="L15" s="91">
        <f t="shared" si="2"/>
        <v>589252</v>
      </c>
      <c r="M15" s="92">
        <f t="shared" si="3"/>
        <v>1.0556312881198124</v>
      </c>
    </row>
    <row r="16" spans="2:13" ht="19.5" customHeight="1">
      <c r="B16" s="209"/>
      <c r="C16" s="215"/>
      <c r="D16" s="5" t="s">
        <v>3</v>
      </c>
      <c r="E16" s="46">
        <v>7499173</v>
      </c>
      <c r="F16" s="46">
        <v>646137</v>
      </c>
      <c r="G16" s="46">
        <v>7499173</v>
      </c>
      <c r="H16" s="46">
        <v>632340</v>
      </c>
      <c r="I16" s="46">
        <v>8023567</v>
      </c>
      <c r="J16" s="89">
        <f t="shared" si="0"/>
        <v>-13797</v>
      </c>
      <c r="K16" s="18">
        <f t="shared" si="1"/>
        <v>0.97864694329530733</v>
      </c>
      <c r="L16" s="48">
        <f t="shared" si="2"/>
        <v>524394</v>
      </c>
      <c r="M16" s="26">
        <f t="shared" si="3"/>
        <v>1.069926910607343</v>
      </c>
    </row>
    <row r="17" spans="1:13" ht="19.5" customHeight="1">
      <c r="B17" s="209"/>
      <c r="C17" s="215"/>
      <c r="D17" s="6" t="s">
        <v>4</v>
      </c>
      <c r="E17" s="47">
        <v>3086684</v>
      </c>
      <c r="F17" s="47">
        <v>220549</v>
      </c>
      <c r="G17" s="47">
        <v>3086684</v>
      </c>
      <c r="H17" s="47">
        <v>248102</v>
      </c>
      <c r="I17" s="47">
        <v>3148861</v>
      </c>
      <c r="J17" s="169">
        <v>0</v>
      </c>
      <c r="K17" s="18">
        <f t="shared" si="1"/>
        <v>1.1249291540655364</v>
      </c>
      <c r="L17" s="48">
        <f t="shared" si="2"/>
        <v>62177</v>
      </c>
      <c r="M17" s="26">
        <f t="shared" si="3"/>
        <v>1.0201436233835404</v>
      </c>
    </row>
    <row r="18" spans="1:13" ht="19.5" customHeight="1">
      <c r="B18" s="210"/>
      <c r="C18" s="216"/>
      <c r="D18" s="6" t="s">
        <v>17</v>
      </c>
      <c r="E18" s="47">
        <v>6240</v>
      </c>
      <c r="F18" s="165">
        <v>0</v>
      </c>
      <c r="G18" s="47">
        <v>6240</v>
      </c>
      <c r="H18" s="165">
        <v>0</v>
      </c>
      <c r="I18" s="47">
        <v>8921</v>
      </c>
      <c r="J18" s="89">
        <f t="shared" si="0"/>
        <v>0</v>
      </c>
      <c r="K18" s="18" t="e">
        <f t="shared" si="1"/>
        <v>#DIV/0!</v>
      </c>
      <c r="L18" s="48">
        <f t="shared" si="2"/>
        <v>2681</v>
      </c>
      <c r="M18" s="26">
        <f t="shared" si="3"/>
        <v>1.4296474358974358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211" t="s">
        <v>23</v>
      </c>
      <c r="L19" s="212"/>
      <c r="M19" s="213"/>
    </row>
    <row r="20" spans="1:13" ht="21.2" customHeight="1">
      <c r="B20" s="28"/>
      <c r="C20" s="184" t="s">
        <v>8</v>
      </c>
      <c r="D20" s="185"/>
      <c r="E20" s="105">
        <f>SUM(E21,E25)</f>
        <v>725047</v>
      </c>
      <c r="F20" s="3">
        <f>SUM(F21,F25)</f>
        <v>66059</v>
      </c>
      <c r="G20" s="3">
        <f>SUM(G21,G25)</f>
        <v>725047</v>
      </c>
      <c r="H20" s="105">
        <f>SUM(H21,H25)</f>
        <v>73971</v>
      </c>
      <c r="I20" s="105">
        <f>SUM(I21,I25)</f>
        <v>792643</v>
      </c>
      <c r="J20" s="106">
        <f t="shared" si="0"/>
        <v>7912</v>
      </c>
      <c r="K20" s="107">
        <f t="shared" si="1"/>
        <v>1.1197717192206966</v>
      </c>
      <c r="L20" s="108">
        <f t="shared" si="2"/>
        <v>67596</v>
      </c>
      <c r="M20" s="24">
        <f>I20/G20</f>
        <v>1.0932298182048887</v>
      </c>
    </row>
    <row r="21" spans="1:13" ht="19.5" customHeight="1">
      <c r="B21" s="25"/>
      <c r="C21" s="198" t="s">
        <v>1</v>
      </c>
      <c r="D21" s="100" t="s">
        <v>0</v>
      </c>
      <c r="E21" s="101">
        <f>SUM(E22:E24)</f>
        <v>725047</v>
      </c>
      <c r="F21" s="101">
        <f>SUM(F22:F24)</f>
        <v>66059</v>
      </c>
      <c r="G21" s="101">
        <f>SUM(G22:G24)</f>
        <v>725047</v>
      </c>
      <c r="H21" s="101">
        <f>SUM(H22:H24)</f>
        <v>73971</v>
      </c>
      <c r="I21" s="101">
        <f>SUM(I22:I24)</f>
        <v>792643</v>
      </c>
      <c r="J21" s="102">
        <f t="shared" si="0"/>
        <v>7912</v>
      </c>
      <c r="K21" s="103">
        <f t="shared" si="1"/>
        <v>1.1197717192206966</v>
      </c>
      <c r="L21" s="104">
        <f t="shared" si="2"/>
        <v>67596</v>
      </c>
      <c r="M21" s="97">
        <f t="shared" si="3"/>
        <v>1.0932298182048887</v>
      </c>
    </row>
    <row r="22" spans="1:13" ht="19.5" customHeight="1">
      <c r="B22" s="167" t="s">
        <v>19</v>
      </c>
      <c r="C22" s="198"/>
      <c r="D22" s="52" t="s">
        <v>5</v>
      </c>
      <c r="E22" s="54">
        <v>359665</v>
      </c>
      <c r="F22" s="54">
        <v>32898</v>
      </c>
      <c r="G22" s="54">
        <v>359665</v>
      </c>
      <c r="H22" s="54">
        <v>36775</v>
      </c>
      <c r="I22" s="54">
        <v>391129</v>
      </c>
      <c r="J22" s="102">
        <f t="shared" si="0"/>
        <v>3877</v>
      </c>
      <c r="K22" s="51">
        <f t="shared" si="1"/>
        <v>1.1178491093683507</v>
      </c>
      <c r="L22" s="23">
        <f t="shared" si="2"/>
        <v>31464</v>
      </c>
      <c r="M22" s="26">
        <f t="shared" si="3"/>
        <v>1.0874814063086484</v>
      </c>
    </row>
    <row r="23" spans="1:13" ht="19.5" customHeight="1">
      <c r="B23" s="167" t="s">
        <v>20</v>
      </c>
      <c r="C23" s="198"/>
      <c r="D23" s="2" t="s">
        <v>14</v>
      </c>
      <c r="E23" s="54">
        <v>353048</v>
      </c>
      <c r="F23" s="54">
        <v>32122</v>
      </c>
      <c r="G23" s="54">
        <v>353048</v>
      </c>
      <c r="H23" s="54">
        <v>36200</v>
      </c>
      <c r="I23" s="54">
        <v>389634</v>
      </c>
      <c r="J23" s="102">
        <f t="shared" si="0"/>
        <v>4078</v>
      </c>
      <c r="K23" s="51">
        <f t="shared" si="1"/>
        <v>1.126953489820061</v>
      </c>
      <c r="L23" s="19">
        <f t="shared" si="2"/>
        <v>36586</v>
      </c>
      <c r="M23" s="26">
        <f t="shared" si="3"/>
        <v>1.1036289682989282</v>
      </c>
    </row>
    <row r="24" spans="1:13" ht="19.5" customHeight="1">
      <c r="B24" s="31"/>
      <c r="C24" s="198"/>
      <c r="D24" s="2" t="s">
        <v>13</v>
      </c>
      <c r="E24" s="54">
        <v>12334</v>
      </c>
      <c r="F24" s="54">
        <v>1039</v>
      </c>
      <c r="G24" s="54">
        <v>12334</v>
      </c>
      <c r="H24" s="54">
        <v>996</v>
      </c>
      <c r="I24" s="54">
        <v>11880</v>
      </c>
      <c r="J24" s="102">
        <f t="shared" si="0"/>
        <v>-43</v>
      </c>
      <c r="K24" s="51">
        <f t="shared" si="1"/>
        <v>0.95861405197305105</v>
      </c>
      <c r="L24" s="19">
        <f t="shared" si="2"/>
        <v>-454</v>
      </c>
      <c r="M24" s="26">
        <f t="shared" si="3"/>
        <v>0.96319117885519701</v>
      </c>
    </row>
    <row r="25" spans="1:13" ht="19.5" customHeight="1">
      <c r="B25" s="25"/>
      <c r="C25" s="176" t="s">
        <v>2</v>
      </c>
      <c r="D25" s="100" t="s">
        <v>71</v>
      </c>
      <c r="E25" s="101">
        <f>SUM(E26:E27)</f>
        <v>0</v>
      </c>
      <c r="F25" s="101">
        <f>SUM(F26:F27)</f>
        <v>0</v>
      </c>
      <c r="G25" s="101">
        <f>SUM(G26:G27)</f>
        <v>0</v>
      </c>
      <c r="H25" s="101">
        <f>SUM(H26:H27)</f>
        <v>0</v>
      </c>
      <c r="I25" s="101">
        <f>SUM(I26:I27)</f>
        <v>0</v>
      </c>
      <c r="J25" s="102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176"/>
      <c r="D26" s="100" t="s">
        <v>71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2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176"/>
      <c r="D27" s="100" t="s">
        <v>71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2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46" customFormat="1" ht="21.2" customHeight="1" thickBot="1">
      <c r="B28" s="177" t="s">
        <v>69</v>
      </c>
      <c r="C28" s="178"/>
      <c r="D28" s="179"/>
      <c r="E28" s="147">
        <v>1523131</v>
      </c>
      <c r="F28" s="147">
        <v>122544</v>
      </c>
      <c r="G28" s="147">
        <v>1523131</v>
      </c>
      <c r="H28" s="147">
        <v>110767</v>
      </c>
      <c r="I28" s="147">
        <v>1260128</v>
      </c>
      <c r="J28" s="148">
        <f t="shared" si="0"/>
        <v>-11777</v>
      </c>
      <c r="K28" s="149">
        <f t="shared" si="1"/>
        <v>0.90389574356965663</v>
      </c>
      <c r="L28" s="150">
        <f t="shared" si="2"/>
        <v>-263003</v>
      </c>
      <c r="M28" s="151">
        <f t="shared" si="3"/>
        <v>0.82732739337588168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182" customFormat="1" ht="18.75" customHeight="1">
      <c r="A30" s="182" t="s">
        <v>27</v>
      </c>
    </row>
    <row r="31" spans="1:13" s="53" customFormat="1" ht="21.2" customHeight="1">
      <c r="B31" s="181" t="s">
        <v>24</v>
      </c>
      <c r="C31" s="181"/>
      <c r="D31" s="133"/>
      <c r="E31" s="133"/>
      <c r="F31" s="133"/>
      <c r="G31" s="133"/>
      <c r="H31" s="181" t="s">
        <v>25</v>
      </c>
      <c r="I31" s="181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80" customFormat="1" ht="24" customHeight="1"/>
    <row r="41" spans="2:13" ht="19.5" customHeight="1">
      <c r="B41" s="174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</row>
    <row r="42" spans="2:13" ht="19.5" customHeight="1">
      <c r="B42" s="174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G4" sqref="G4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66"/>
      <c r="E2" s="166"/>
      <c r="F2" s="217" t="s">
        <v>74</v>
      </c>
      <c r="G2" s="217"/>
      <c r="H2"/>
      <c r="I2"/>
      <c r="J2"/>
      <c r="K2" s="166"/>
      <c r="L2" s="166"/>
      <c r="M2" s="217" t="s">
        <v>29</v>
      </c>
      <c r="N2" s="217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72">
        <v>20.12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73">
        <f>$G$3</f>
        <v>20.12</v>
      </c>
    </row>
    <row r="4" spans="1:27" s="58" customFormat="1" ht="39.200000000000003" customHeight="1" thickBot="1">
      <c r="A4" s="85" t="s">
        <v>31</v>
      </c>
      <c r="B4" s="62">
        <v>19166</v>
      </c>
      <c r="C4" s="62">
        <v>19916</v>
      </c>
      <c r="D4" s="62">
        <v>19440</v>
      </c>
      <c r="E4" s="62">
        <v>18829</v>
      </c>
      <c r="F4" s="62">
        <v>18385</v>
      </c>
      <c r="G4" s="109">
        <f>통계요약!I7</f>
        <v>17326</v>
      </c>
      <c r="H4" s="85" t="s">
        <v>32</v>
      </c>
      <c r="I4" s="62">
        <v>102121</v>
      </c>
      <c r="J4" s="62">
        <v>112948</v>
      </c>
      <c r="K4" s="62">
        <v>112491</v>
      </c>
      <c r="L4" s="62">
        <v>115147</v>
      </c>
      <c r="M4" s="62">
        <v>112966</v>
      </c>
      <c r="N4" s="120">
        <f>통계요약!I10/1000</f>
        <v>106845.29399999999</v>
      </c>
    </row>
    <row r="5" spans="1:27" s="58" customFormat="1" ht="30.2" customHeight="1" thickBot="1">
      <c r="A5"/>
      <c r="B5"/>
      <c r="C5"/>
      <c r="D5" s="166"/>
      <c r="E5" s="166"/>
      <c r="F5" s="218" t="s">
        <v>33</v>
      </c>
      <c r="G5" s="218"/>
      <c r="H5" s="63"/>
      <c r="I5" s="64"/>
      <c r="J5" s="64"/>
      <c r="K5" s="166"/>
      <c r="L5" s="166"/>
      <c r="M5" s="218" t="s">
        <v>34</v>
      </c>
      <c r="N5" s="218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73">
        <f>$G$3</f>
        <v>20.12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73">
        <f>$G$3</f>
        <v>20.12</v>
      </c>
    </row>
    <row r="7" spans="1:27" s="58" customFormat="1" ht="37.5" customHeight="1" thickBot="1">
      <c r="A7" s="85" t="s">
        <v>35</v>
      </c>
      <c r="B7" s="124">
        <v>565661</v>
      </c>
      <c r="C7" s="124">
        <v>623339</v>
      </c>
      <c r="D7" s="124">
        <v>643233</v>
      </c>
      <c r="E7" s="124">
        <v>689852</v>
      </c>
      <c r="F7" s="124">
        <v>723427</v>
      </c>
      <c r="G7" s="125">
        <f>통계요약!I20</f>
        <v>792643</v>
      </c>
      <c r="H7" s="85" t="s">
        <v>36</v>
      </c>
      <c r="I7" s="62">
        <v>494740</v>
      </c>
      <c r="J7" s="62">
        <v>435104</v>
      </c>
      <c r="K7" s="62">
        <v>482428</v>
      </c>
      <c r="L7" s="62">
        <v>452480</v>
      </c>
      <c r="M7" s="62">
        <v>623733</v>
      </c>
      <c r="N7" s="152">
        <v>40267</v>
      </c>
      <c r="AA7" s="140">
        <f>(19166/188141)^(1/4)-1</f>
        <v>-0.43504740355323723</v>
      </c>
    </row>
    <row r="12" spans="1:27" s="70" customFormat="1" ht="25.5" customHeight="1">
      <c r="A12" s="70" t="s">
        <v>37</v>
      </c>
    </row>
    <row r="13" spans="1:27" s="58" customFormat="1" ht="21.2" customHeight="1">
      <c r="A13" s="132" t="s">
        <v>52</v>
      </c>
      <c r="H13" s="132" t="s">
        <v>51</v>
      </c>
      <c r="I13" s="65"/>
      <c r="J13" s="66"/>
      <c r="K13" s="67"/>
      <c r="L13" s="68"/>
      <c r="M13" s="68"/>
      <c r="N13" s="68"/>
    </row>
    <row r="14" spans="1:27" s="58" customFormat="1" ht="24" customHeight="1">
      <c r="I14" s="65"/>
      <c r="J14" s="66"/>
      <c r="K14" s="67"/>
      <c r="L14" s="68"/>
      <c r="M14" s="68"/>
      <c r="N14" s="68"/>
    </row>
    <row r="15" spans="1:27" s="58" customFormat="1" ht="24" customHeight="1">
      <c r="I15" s="65"/>
      <c r="J15" s="66"/>
      <c r="K15" s="67"/>
      <c r="L15" s="68"/>
      <c r="M15" s="68"/>
      <c r="N15" s="68"/>
    </row>
    <row r="16" spans="1:27" s="58" customFormat="1" ht="24" customHeight="1">
      <c r="I16" s="65"/>
      <c r="J16" s="66"/>
      <c r="K16" s="67"/>
      <c r="L16" s="68"/>
      <c r="M16" s="68"/>
      <c r="N16" s="68"/>
    </row>
    <row r="17" spans="1:14" s="58" customFormat="1" ht="24" customHeight="1">
      <c r="I17" s="65"/>
      <c r="J17" s="66"/>
      <c r="K17" s="67"/>
      <c r="L17" s="68"/>
      <c r="M17" s="68"/>
      <c r="N17" s="68"/>
    </row>
    <row r="18" spans="1:14" s="58" customFormat="1" ht="24" customHeight="1">
      <c r="I18" s="65"/>
      <c r="J18" s="66"/>
      <c r="K18" s="67"/>
      <c r="L18" s="68"/>
      <c r="M18" s="68"/>
      <c r="N18" s="68"/>
    </row>
    <row r="19" spans="1:14" s="58" customFormat="1" ht="24" customHeight="1">
      <c r="I19" s="65"/>
      <c r="J19" s="66"/>
      <c r="K19" s="67"/>
      <c r="L19" s="68"/>
      <c r="M19" s="68"/>
      <c r="N19" s="68"/>
    </row>
    <row r="20" spans="1:14" s="58" customFormat="1" ht="24" customHeight="1">
      <c r="I20" s="65"/>
      <c r="J20" s="66"/>
      <c r="K20" s="67"/>
      <c r="L20" s="68"/>
      <c r="M20" s="68"/>
      <c r="N20" s="68"/>
    </row>
    <row r="21" spans="1:14" s="58" customFormat="1" ht="24" customHeight="1">
      <c r="I21" s="65"/>
      <c r="J21" s="66"/>
      <c r="K21" s="67"/>
      <c r="L21" s="68"/>
      <c r="M21" s="68"/>
      <c r="N21" s="68"/>
    </row>
    <row r="22" spans="1:14" s="58" customFormat="1" ht="36" customHeight="1">
      <c r="I22" s="65"/>
      <c r="J22" s="66"/>
      <c r="K22" s="67"/>
      <c r="L22" s="68"/>
      <c r="M22" s="68"/>
      <c r="N22" s="68"/>
    </row>
    <row r="23" spans="1:14" s="58" customFormat="1" ht="27.75" customHeight="1">
      <c r="A23" s="69" t="s">
        <v>25</v>
      </c>
      <c r="H23" s="132" t="s">
        <v>50</v>
      </c>
      <c r="I23" s="65"/>
      <c r="J23" s="66"/>
      <c r="K23" s="67"/>
      <c r="L23" s="68"/>
      <c r="M23" s="68"/>
      <c r="N23" s="68"/>
    </row>
    <row r="24" spans="1:14" s="58" customFormat="1" ht="24" customHeight="1">
      <c r="I24" s="65"/>
      <c r="J24" s="66"/>
      <c r="K24" s="67"/>
      <c r="L24" s="68"/>
      <c r="M24" s="68"/>
      <c r="N24" s="68"/>
    </row>
    <row r="25" spans="1:14" s="58" customFormat="1" ht="24" customHeight="1">
      <c r="I25" s="65"/>
      <c r="J25" s="66"/>
      <c r="K25" s="67"/>
      <c r="L25" s="68"/>
      <c r="M25" s="68"/>
      <c r="N25" s="68"/>
    </row>
    <row r="26" spans="1:14" s="58" customFormat="1" ht="24" customHeight="1">
      <c r="I26" s="65"/>
      <c r="J26" s="66"/>
      <c r="K26" s="67"/>
      <c r="L26" s="68"/>
      <c r="M26" s="68"/>
      <c r="N26" s="68"/>
    </row>
    <row r="27" spans="1:14" s="58" customFormat="1" ht="24" customHeight="1">
      <c r="I27" s="65"/>
      <c r="J27" s="66"/>
      <c r="K27" s="67"/>
      <c r="L27" s="68"/>
      <c r="M27" s="68"/>
      <c r="N27" s="68"/>
    </row>
    <row r="28" spans="1:14" s="58" customFormat="1" ht="24" customHeight="1">
      <c r="I28" s="65"/>
      <c r="J28" s="66"/>
      <c r="K28" s="67"/>
      <c r="L28" s="68"/>
      <c r="M28" s="68"/>
      <c r="N28" s="68"/>
    </row>
    <row r="29" spans="1:14" s="58" customFormat="1" ht="24" customHeight="1">
      <c r="I29" s="65"/>
      <c r="J29" s="66"/>
      <c r="K29" s="67"/>
      <c r="L29" s="68"/>
      <c r="M29" s="68"/>
      <c r="N29" s="68"/>
    </row>
    <row r="30" spans="1:14" s="58" customFormat="1" ht="24" customHeight="1">
      <c r="I30" s="65"/>
      <c r="J30" s="66"/>
      <c r="K30" s="67"/>
      <c r="L30" s="68"/>
      <c r="M30" s="68"/>
      <c r="N30" s="68"/>
    </row>
    <row r="31" spans="1:14" s="58" customFormat="1" ht="24" customHeight="1">
      <c r="I31" s="65"/>
      <c r="J31" s="66"/>
      <c r="K31" s="67"/>
      <c r="L31" s="68"/>
      <c r="M31" s="68"/>
      <c r="N31" s="68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1" sqref="F1"/>
    </sheetView>
  </sheetViews>
  <sheetFormatPr defaultColWidth="10" defaultRowHeight="13.5"/>
  <cols>
    <col min="1" max="1" width="10" style="71" customWidth="1"/>
    <col min="2" max="2" width="5.75" style="71" customWidth="1"/>
    <col min="3" max="3" width="1" style="71" customWidth="1"/>
    <col min="4" max="4" width="8" style="71" customWidth="1"/>
    <col min="5" max="5" width="14.875" style="71" bestFit="1" customWidth="1"/>
    <col min="6" max="6" width="11" style="71" customWidth="1"/>
    <col min="7" max="7" width="13.25" style="71" customWidth="1"/>
    <col min="8" max="8" width="11" style="71" customWidth="1"/>
    <col min="9" max="9" width="13.25" style="71" customWidth="1"/>
    <col min="10" max="10" width="12.25" style="71" customWidth="1"/>
    <col min="11" max="13" width="11" style="71" customWidth="1"/>
    <col min="14" max="16384" width="10" style="71"/>
  </cols>
  <sheetData>
    <row r="1" spans="1:13" ht="50.25" customHeight="1" thickBot="1">
      <c r="A1" s="87" t="s">
        <v>38</v>
      </c>
      <c r="J1" s="72"/>
      <c r="K1" s="73"/>
      <c r="L1" s="74"/>
      <c r="M1" s="75"/>
    </row>
    <row r="2" spans="1:13" ht="21.95" customHeight="1">
      <c r="A2" s="239" t="s">
        <v>39</v>
      </c>
      <c r="B2" s="240"/>
      <c r="C2" s="240"/>
      <c r="D2" s="243" t="s">
        <v>40</v>
      </c>
      <c r="E2" s="76"/>
      <c r="F2" s="247" t="s">
        <v>72</v>
      </c>
      <c r="G2" s="248"/>
      <c r="H2" s="235" t="s">
        <v>73</v>
      </c>
      <c r="I2" s="235"/>
      <c r="J2" s="235" t="s">
        <v>41</v>
      </c>
      <c r="K2" s="235"/>
      <c r="L2" s="235"/>
      <c r="M2" s="236"/>
    </row>
    <row r="3" spans="1:13" ht="21.95" customHeight="1">
      <c r="A3" s="241"/>
      <c r="B3" s="242"/>
      <c r="C3" s="242"/>
      <c r="D3" s="244"/>
      <c r="E3" s="77" t="s">
        <v>42</v>
      </c>
      <c r="F3" s="77" t="str">
        <f>통계요약!F6</f>
        <v>12월(A)</v>
      </c>
      <c r="G3" s="77" t="str">
        <f>통계요약!G6</f>
        <v>12월누계(B)</v>
      </c>
      <c r="H3" s="171" t="str">
        <f>통계요약!H6</f>
        <v>12월(C)</v>
      </c>
      <c r="I3" s="77" t="str">
        <f>통계요약!I6</f>
        <v>12월누계(D)</v>
      </c>
      <c r="J3" s="77" t="s">
        <v>43</v>
      </c>
      <c r="K3" s="78" t="s">
        <v>44</v>
      </c>
      <c r="L3" s="79" t="s">
        <v>45</v>
      </c>
      <c r="M3" s="126" t="s">
        <v>44</v>
      </c>
    </row>
    <row r="4" spans="1:13" ht="21.95" customHeight="1">
      <c r="A4" s="237" t="s">
        <v>46</v>
      </c>
      <c r="B4" s="238"/>
      <c r="C4" s="238"/>
      <c r="D4" s="80" t="s">
        <v>47</v>
      </c>
      <c r="E4" s="121">
        <f>SUM(E6,E8,E10,E12,E14,E16,E18,E22,E24,E26,E28,E20,)</f>
        <v>724877</v>
      </c>
      <c r="F4" s="121">
        <f>SUM(F6,F8,F10,F12,F14,F16,F18,F22,F24,F26,F28,F20)</f>
        <v>66059</v>
      </c>
      <c r="G4" s="121">
        <f>SUM(G6,G8,G10,G12,G14,G16,G18,G22,G24,G26,G28,G20)</f>
        <v>724877</v>
      </c>
      <c r="H4" s="121">
        <f>SUM(H6,H8,H12,H14,H16,H18,H22,H24,H26,H28,H20,H10)</f>
        <v>73971</v>
      </c>
      <c r="I4" s="121">
        <f>SUM(I6,I8,I12,I14,I16,I18,I22,I24,I26,I28,I20,I10)</f>
        <v>792643</v>
      </c>
      <c r="J4" s="110">
        <f t="shared" ref="J4:J27" si="0">H4-F4</f>
        <v>7912</v>
      </c>
      <c r="K4" s="111">
        <f t="shared" ref="K4:K27" si="1">(H4/F4*100)-100</f>
        <v>11.977171922069658</v>
      </c>
      <c r="L4" s="112">
        <f t="shared" ref="L4:L27" si="2">I4-G4</f>
        <v>67766</v>
      </c>
      <c r="M4" s="127">
        <f t="shared" ref="M4:M27" si="3">(I4/G4*100)-100</f>
        <v>9.3486205245855558</v>
      </c>
    </row>
    <row r="5" spans="1:13" ht="21.95" customHeight="1">
      <c r="A5" s="237"/>
      <c r="B5" s="238"/>
      <c r="C5" s="238"/>
      <c r="D5" s="80" t="s">
        <v>48</v>
      </c>
      <c r="E5" s="121">
        <f>SUM(E7,E9,E11,E13,E15,E17,E19,E23,E25,E27,E29,E21)</f>
        <v>11048672</v>
      </c>
      <c r="F5" s="121">
        <f>SUM(F7,F9,F11,F13,F15,F17,F19,F23,F25,F27,F29,F21)</f>
        <v>987384</v>
      </c>
      <c r="G5" s="121">
        <f>SUM(G7,G9,G11,G13,G15,G17,G19,G23,G25,G27,G29,G21)</f>
        <v>11048672</v>
      </c>
      <c r="H5" s="121">
        <f>SUM(H7,H9,H13,H15,H17,H19,H23,H25,H27,H29,H21,H11)</f>
        <v>1126292</v>
      </c>
      <c r="I5" s="121">
        <f>SUM(I7,I9,I13,I15,I17,I19,I23,I25,I27,I29,I21,I11)</f>
        <v>11993976</v>
      </c>
      <c r="J5" s="110">
        <f t="shared" si="0"/>
        <v>138908</v>
      </c>
      <c r="K5" s="111">
        <f t="shared" si="1"/>
        <v>14.068285489738557</v>
      </c>
      <c r="L5" s="112">
        <f t="shared" si="2"/>
        <v>945304</v>
      </c>
      <c r="M5" s="127">
        <f t="shared" si="3"/>
        <v>8.5558155767498505</v>
      </c>
    </row>
    <row r="6" spans="1:13" ht="21.2" customHeight="1">
      <c r="A6" s="225" t="s">
        <v>53</v>
      </c>
      <c r="B6" s="226"/>
      <c r="C6" s="226"/>
      <c r="D6" s="81" t="s">
        <v>47</v>
      </c>
      <c r="E6" s="122">
        <v>35729</v>
      </c>
      <c r="F6" s="122">
        <v>2961</v>
      </c>
      <c r="G6" s="122">
        <v>35729</v>
      </c>
      <c r="H6" s="122">
        <v>4470</v>
      </c>
      <c r="I6" s="122">
        <v>40012</v>
      </c>
      <c r="J6" s="113">
        <f t="shared" ref="J6:J18" si="4">H6-F6</f>
        <v>1509</v>
      </c>
      <c r="K6" s="114">
        <f t="shared" ref="K6:K17" si="5">(H6/F6*100)-100</f>
        <v>50.962512664640315</v>
      </c>
      <c r="L6" s="115">
        <f t="shared" si="2"/>
        <v>4283</v>
      </c>
      <c r="M6" s="128">
        <f t="shared" si="3"/>
        <v>11.987461165999605</v>
      </c>
    </row>
    <row r="7" spans="1:13" ht="21.2" customHeight="1">
      <c r="A7" s="225"/>
      <c r="B7" s="226"/>
      <c r="C7" s="226"/>
      <c r="D7" s="81" t="s">
        <v>48</v>
      </c>
      <c r="E7" s="122">
        <v>661078</v>
      </c>
      <c r="F7" s="122">
        <v>53752</v>
      </c>
      <c r="G7" s="122">
        <v>661078</v>
      </c>
      <c r="H7" s="122">
        <v>80356</v>
      </c>
      <c r="I7" s="122">
        <v>733864</v>
      </c>
      <c r="J7" s="113">
        <f t="shared" si="4"/>
        <v>26604</v>
      </c>
      <c r="K7" s="114">
        <f t="shared" si="5"/>
        <v>49.493972317309129</v>
      </c>
      <c r="L7" s="115">
        <f t="shared" si="2"/>
        <v>72786</v>
      </c>
      <c r="M7" s="128">
        <f t="shared" si="3"/>
        <v>11.010198493974997</v>
      </c>
    </row>
    <row r="8" spans="1:13" ht="21.2" customHeight="1">
      <c r="A8" s="225" t="s">
        <v>54</v>
      </c>
      <c r="B8" s="226"/>
      <c r="C8" s="226"/>
      <c r="D8" s="81" t="s">
        <v>47</v>
      </c>
      <c r="E8" s="122">
        <v>59188</v>
      </c>
      <c r="F8" s="122">
        <v>5281</v>
      </c>
      <c r="G8" s="122">
        <v>59188</v>
      </c>
      <c r="H8" s="122">
        <v>6580</v>
      </c>
      <c r="I8" s="122">
        <v>64529</v>
      </c>
      <c r="J8" s="113">
        <f t="shared" si="4"/>
        <v>1299</v>
      </c>
      <c r="K8" s="114">
        <f t="shared" si="5"/>
        <v>24.59761408824086</v>
      </c>
      <c r="L8" s="115">
        <f t="shared" si="2"/>
        <v>5341</v>
      </c>
      <c r="M8" s="128">
        <f t="shared" si="3"/>
        <v>9.0237886057984724</v>
      </c>
    </row>
    <row r="9" spans="1:13" ht="21.2" customHeight="1">
      <c r="A9" s="225"/>
      <c r="B9" s="226"/>
      <c r="C9" s="226"/>
      <c r="D9" s="81" t="s">
        <v>48</v>
      </c>
      <c r="E9" s="122">
        <v>905440</v>
      </c>
      <c r="F9" s="122">
        <v>80800</v>
      </c>
      <c r="G9" s="122">
        <v>905440</v>
      </c>
      <c r="H9" s="122">
        <v>104059</v>
      </c>
      <c r="I9" s="122">
        <v>1014764</v>
      </c>
      <c r="J9" s="113">
        <f t="shared" si="4"/>
        <v>23259</v>
      </c>
      <c r="K9" s="114">
        <f t="shared" si="5"/>
        <v>28.785891089108929</v>
      </c>
      <c r="L9" s="115">
        <f t="shared" si="2"/>
        <v>109324</v>
      </c>
      <c r="M9" s="128">
        <f t="shared" si="3"/>
        <v>12.074129704894858</v>
      </c>
    </row>
    <row r="10" spans="1:13" ht="21.2" customHeight="1">
      <c r="A10" s="219" t="s">
        <v>66</v>
      </c>
      <c r="B10" s="220"/>
      <c r="C10" s="221"/>
      <c r="D10" s="81" t="s">
        <v>47</v>
      </c>
      <c r="E10" s="122">
        <v>1727</v>
      </c>
      <c r="F10" s="164">
        <v>0</v>
      </c>
      <c r="G10" s="122">
        <v>1727</v>
      </c>
      <c r="H10" s="164">
        <v>0</v>
      </c>
      <c r="I10" s="164">
        <v>11</v>
      </c>
      <c r="J10" s="113">
        <f t="shared" si="4"/>
        <v>0</v>
      </c>
      <c r="K10" s="114" t="e">
        <f t="shared" si="5"/>
        <v>#DIV/0!</v>
      </c>
      <c r="L10" s="115">
        <f t="shared" si="2"/>
        <v>-1716</v>
      </c>
      <c r="M10" s="128">
        <f t="shared" si="3"/>
        <v>-99.363057324840767</v>
      </c>
    </row>
    <row r="11" spans="1:13" ht="21.2" customHeight="1">
      <c r="A11" s="222"/>
      <c r="B11" s="223"/>
      <c r="C11" s="224"/>
      <c r="D11" s="81" t="s">
        <v>65</v>
      </c>
      <c r="E11" s="122">
        <v>36095</v>
      </c>
      <c r="F11" s="164">
        <v>0</v>
      </c>
      <c r="G11" s="122">
        <v>36095</v>
      </c>
      <c r="H11" s="164">
        <v>0</v>
      </c>
      <c r="I11" s="164">
        <v>0</v>
      </c>
      <c r="J11" s="113">
        <f t="shared" si="4"/>
        <v>0</v>
      </c>
      <c r="K11" s="114" t="e">
        <f t="shared" si="5"/>
        <v>#DIV/0!</v>
      </c>
      <c r="L11" s="115">
        <f t="shared" si="2"/>
        <v>-36095</v>
      </c>
      <c r="M11" s="128">
        <f t="shared" si="3"/>
        <v>-100</v>
      </c>
    </row>
    <row r="12" spans="1:13" ht="21.2" customHeight="1">
      <c r="A12" s="225" t="s">
        <v>55</v>
      </c>
      <c r="B12" s="226"/>
      <c r="C12" s="226"/>
      <c r="D12" s="81" t="s">
        <v>47</v>
      </c>
      <c r="E12" s="122">
        <v>60588</v>
      </c>
      <c r="F12" s="122">
        <v>6251</v>
      </c>
      <c r="G12" s="122">
        <v>60588</v>
      </c>
      <c r="H12" s="122">
        <v>7269</v>
      </c>
      <c r="I12" s="122">
        <v>94591</v>
      </c>
      <c r="J12" s="113">
        <f t="shared" si="4"/>
        <v>1018</v>
      </c>
      <c r="K12" s="114">
        <f t="shared" si="5"/>
        <v>16.285394336906094</v>
      </c>
      <c r="L12" s="115">
        <f t="shared" si="2"/>
        <v>34003</v>
      </c>
      <c r="M12" s="128">
        <f t="shared" si="3"/>
        <v>56.121674258929147</v>
      </c>
    </row>
    <row r="13" spans="1:13" ht="21.2" customHeight="1">
      <c r="A13" s="225"/>
      <c r="B13" s="226"/>
      <c r="C13" s="226"/>
      <c r="D13" s="81" t="s">
        <v>48</v>
      </c>
      <c r="E13" s="122">
        <v>474427</v>
      </c>
      <c r="F13" s="122">
        <v>96283</v>
      </c>
      <c r="G13" s="122">
        <v>474427</v>
      </c>
      <c r="H13" s="122">
        <v>116884</v>
      </c>
      <c r="I13" s="122">
        <v>1458673</v>
      </c>
      <c r="J13" s="113">
        <f t="shared" si="4"/>
        <v>20601</v>
      </c>
      <c r="K13" s="114">
        <f t="shared" si="5"/>
        <v>21.396300489182934</v>
      </c>
      <c r="L13" s="115">
        <f t="shared" si="2"/>
        <v>984246</v>
      </c>
      <c r="M13" s="128">
        <f t="shared" si="3"/>
        <v>207.4599464195756</v>
      </c>
    </row>
    <row r="14" spans="1:13" ht="21.2" customHeight="1">
      <c r="A14" s="225" t="s">
        <v>62</v>
      </c>
      <c r="B14" s="226"/>
      <c r="C14" s="226"/>
      <c r="D14" s="81" t="s">
        <v>47</v>
      </c>
      <c r="E14" s="122">
        <v>173357</v>
      </c>
      <c r="F14" s="122">
        <v>13446</v>
      </c>
      <c r="G14" s="122">
        <v>173357</v>
      </c>
      <c r="H14" s="122">
        <v>22374</v>
      </c>
      <c r="I14" s="122">
        <v>230422</v>
      </c>
      <c r="J14" s="113">
        <f t="shared" si="4"/>
        <v>8928</v>
      </c>
      <c r="K14" s="114">
        <f t="shared" si="5"/>
        <v>66.398929049531461</v>
      </c>
      <c r="L14" s="115">
        <f t="shared" si="2"/>
        <v>57065</v>
      </c>
      <c r="M14" s="128">
        <f t="shared" si="3"/>
        <v>32.917620863305217</v>
      </c>
    </row>
    <row r="15" spans="1:13" ht="21.2" customHeight="1">
      <c r="A15" s="225"/>
      <c r="B15" s="226"/>
      <c r="C15" s="226"/>
      <c r="D15" s="81" t="s">
        <v>48</v>
      </c>
      <c r="E15" s="122">
        <v>3000801</v>
      </c>
      <c r="F15" s="122">
        <v>168209</v>
      </c>
      <c r="G15" s="122">
        <v>3000801</v>
      </c>
      <c r="H15" s="122">
        <v>317579</v>
      </c>
      <c r="I15" s="122">
        <v>3151058</v>
      </c>
      <c r="J15" s="113">
        <f t="shared" si="4"/>
        <v>149370</v>
      </c>
      <c r="K15" s="114">
        <f t="shared" si="5"/>
        <v>88.800242555392401</v>
      </c>
      <c r="L15" s="115">
        <f t="shared" si="2"/>
        <v>150257</v>
      </c>
      <c r="M15" s="128">
        <f t="shared" si="3"/>
        <v>5.0072297363270621</v>
      </c>
    </row>
    <row r="16" spans="1:13" ht="21.2" customHeight="1">
      <c r="A16" s="225" t="s">
        <v>56</v>
      </c>
      <c r="B16" s="226"/>
      <c r="C16" s="226"/>
      <c r="D16" s="81" t="s">
        <v>47</v>
      </c>
      <c r="E16" s="122">
        <v>167550</v>
      </c>
      <c r="F16" s="122">
        <v>17173</v>
      </c>
      <c r="G16" s="122">
        <v>167550</v>
      </c>
      <c r="H16" s="122">
        <v>12887</v>
      </c>
      <c r="I16" s="122">
        <v>142475</v>
      </c>
      <c r="J16" s="113">
        <f t="shared" si="4"/>
        <v>-4286</v>
      </c>
      <c r="K16" s="82">
        <f t="shared" si="5"/>
        <v>-24.957782565655378</v>
      </c>
      <c r="L16" s="83">
        <f t="shared" si="2"/>
        <v>-25075</v>
      </c>
      <c r="M16" s="129">
        <f t="shared" si="3"/>
        <v>-14.965681886004177</v>
      </c>
    </row>
    <row r="17" spans="1:13" ht="21.2" customHeight="1">
      <c r="A17" s="225"/>
      <c r="B17" s="226"/>
      <c r="C17" s="226"/>
      <c r="D17" s="81" t="s">
        <v>48</v>
      </c>
      <c r="E17" s="122">
        <v>2696085</v>
      </c>
      <c r="F17" s="122">
        <v>284472</v>
      </c>
      <c r="G17" s="122">
        <v>2696085</v>
      </c>
      <c r="H17" s="122">
        <v>203948</v>
      </c>
      <c r="I17" s="122">
        <v>2264820</v>
      </c>
      <c r="J17" s="113">
        <f t="shared" si="4"/>
        <v>-80524</v>
      </c>
      <c r="K17" s="82">
        <f t="shared" si="5"/>
        <v>-28.30647656008324</v>
      </c>
      <c r="L17" s="83">
        <f t="shared" si="2"/>
        <v>-431265</v>
      </c>
      <c r="M17" s="129">
        <f t="shared" si="3"/>
        <v>-15.995971937086551</v>
      </c>
    </row>
    <row r="18" spans="1:13" ht="21.2" customHeight="1">
      <c r="A18" s="229" t="s">
        <v>70</v>
      </c>
      <c r="B18" s="230"/>
      <c r="C18" s="230"/>
      <c r="D18" s="154" t="s">
        <v>47</v>
      </c>
      <c r="E18" s="153">
        <v>225</v>
      </c>
      <c r="F18" s="163">
        <v>225</v>
      </c>
      <c r="G18" s="163">
        <v>225</v>
      </c>
      <c r="H18" s="163">
        <v>0</v>
      </c>
      <c r="I18" s="163">
        <v>670</v>
      </c>
      <c r="J18" s="155">
        <f t="shared" si="4"/>
        <v>-225</v>
      </c>
      <c r="K18" s="156" t="s">
        <v>68</v>
      </c>
      <c r="L18" s="157">
        <f t="shared" si="2"/>
        <v>445</v>
      </c>
      <c r="M18" s="158">
        <v>0</v>
      </c>
    </row>
    <row r="19" spans="1:13" ht="21.2" customHeight="1">
      <c r="A19" s="231"/>
      <c r="B19" s="232"/>
      <c r="C19" s="232"/>
      <c r="D19" s="159" t="s">
        <v>48</v>
      </c>
      <c r="E19" s="153">
        <v>4766</v>
      </c>
      <c r="F19" s="163">
        <v>4766</v>
      </c>
      <c r="G19" s="163">
        <v>4766</v>
      </c>
      <c r="H19" s="163">
        <v>0</v>
      </c>
      <c r="I19" s="163">
        <v>6371</v>
      </c>
      <c r="J19" s="155">
        <f t="shared" si="0"/>
        <v>-4766</v>
      </c>
      <c r="K19" s="160" t="s">
        <v>68</v>
      </c>
      <c r="L19" s="161">
        <f t="shared" si="2"/>
        <v>1605</v>
      </c>
      <c r="M19" s="162">
        <v>0</v>
      </c>
    </row>
    <row r="20" spans="1:13" ht="21.2" customHeight="1">
      <c r="A20" s="219" t="s">
        <v>63</v>
      </c>
      <c r="B20" s="220"/>
      <c r="C20" s="221"/>
      <c r="D20" s="84" t="s">
        <v>64</v>
      </c>
      <c r="E20" s="122">
        <v>178</v>
      </c>
      <c r="F20" s="163">
        <v>0</v>
      </c>
      <c r="G20" s="163">
        <v>178</v>
      </c>
      <c r="H20" s="163">
        <v>0</v>
      </c>
      <c r="I20" s="163">
        <v>112</v>
      </c>
      <c r="J20" s="113">
        <f t="shared" si="0"/>
        <v>0</v>
      </c>
      <c r="K20" s="145" t="s">
        <v>68</v>
      </c>
      <c r="L20" s="117">
        <f t="shared" si="2"/>
        <v>-66</v>
      </c>
      <c r="M20" s="130">
        <f t="shared" si="3"/>
        <v>-37.078651685393261</v>
      </c>
    </row>
    <row r="21" spans="1:13" ht="21.2" customHeight="1">
      <c r="A21" s="222"/>
      <c r="B21" s="223"/>
      <c r="C21" s="224"/>
      <c r="D21" s="84" t="s">
        <v>65</v>
      </c>
      <c r="E21" s="122">
        <v>1254</v>
      </c>
      <c r="F21" s="163">
        <v>0</v>
      </c>
      <c r="G21" s="163">
        <v>1254</v>
      </c>
      <c r="H21" s="163">
        <v>0</v>
      </c>
      <c r="I21" s="163">
        <v>776</v>
      </c>
      <c r="J21" s="113">
        <f t="shared" si="0"/>
        <v>0</v>
      </c>
      <c r="K21" s="145" t="s">
        <v>68</v>
      </c>
      <c r="L21" s="117">
        <f t="shared" si="2"/>
        <v>-478</v>
      </c>
      <c r="M21" s="130">
        <f t="shared" si="3"/>
        <v>-38.118022328548641</v>
      </c>
    </row>
    <row r="22" spans="1:13" ht="21.2" customHeight="1">
      <c r="A22" s="225" t="s">
        <v>58</v>
      </c>
      <c r="B22" s="226"/>
      <c r="C22" s="226"/>
      <c r="D22" s="81" t="s">
        <v>47</v>
      </c>
      <c r="E22" s="122">
        <v>486</v>
      </c>
      <c r="F22" s="164">
        <v>52</v>
      </c>
      <c r="G22" s="122">
        <v>486</v>
      </c>
      <c r="H22" s="164">
        <v>20</v>
      </c>
      <c r="I22" s="122">
        <v>544</v>
      </c>
      <c r="J22" s="113">
        <f t="shared" si="0"/>
        <v>-32</v>
      </c>
      <c r="K22" s="114">
        <f t="shared" si="1"/>
        <v>-61.538461538461533</v>
      </c>
      <c r="L22" s="115">
        <f t="shared" si="2"/>
        <v>58</v>
      </c>
      <c r="M22" s="128">
        <f t="shared" si="3"/>
        <v>11.934156378600818</v>
      </c>
    </row>
    <row r="23" spans="1:13" ht="21.2" customHeight="1">
      <c r="A23" s="233"/>
      <c r="B23" s="234"/>
      <c r="C23" s="234"/>
      <c r="D23" s="84" t="s">
        <v>48</v>
      </c>
      <c r="E23" s="122">
        <v>4285</v>
      </c>
      <c r="F23" s="164">
        <v>468</v>
      </c>
      <c r="G23" s="122">
        <v>4285</v>
      </c>
      <c r="H23" s="164">
        <v>111</v>
      </c>
      <c r="I23" s="122">
        <v>4339</v>
      </c>
      <c r="J23" s="113">
        <f t="shared" si="0"/>
        <v>-357</v>
      </c>
      <c r="K23" s="116">
        <f t="shared" si="1"/>
        <v>-76.282051282051285</v>
      </c>
      <c r="L23" s="117">
        <f t="shared" si="2"/>
        <v>54</v>
      </c>
      <c r="M23" s="130">
        <f t="shared" si="3"/>
        <v>1.2602100350058265</v>
      </c>
    </row>
    <row r="24" spans="1:13" ht="21.2" customHeight="1">
      <c r="A24" s="225" t="s">
        <v>59</v>
      </c>
      <c r="B24" s="226"/>
      <c r="C24" s="226"/>
      <c r="D24" s="81" t="s">
        <v>47</v>
      </c>
      <c r="E24" s="122">
        <v>81150</v>
      </c>
      <c r="F24" s="122">
        <v>7547</v>
      </c>
      <c r="G24" s="122">
        <v>81150</v>
      </c>
      <c r="H24" s="122">
        <v>7784</v>
      </c>
      <c r="I24" s="122">
        <v>75409</v>
      </c>
      <c r="J24" s="113">
        <f t="shared" si="0"/>
        <v>237</v>
      </c>
      <c r="K24" s="114">
        <f t="shared" si="1"/>
        <v>3.1403206572147866</v>
      </c>
      <c r="L24" s="115">
        <f t="shared" si="2"/>
        <v>-5741</v>
      </c>
      <c r="M24" s="128">
        <f t="shared" si="3"/>
        <v>-7.0745532963647548</v>
      </c>
    </row>
    <row r="25" spans="1:13" ht="21.2" customHeight="1">
      <c r="A25" s="225"/>
      <c r="B25" s="226"/>
      <c r="C25" s="226"/>
      <c r="D25" s="81" t="s">
        <v>48</v>
      </c>
      <c r="E25" s="122">
        <v>1256097</v>
      </c>
      <c r="F25" s="122">
        <v>115140</v>
      </c>
      <c r="G25" s="122">
        <v>1256097</v>
      </c>
      <c r="H25" s="122">
        <v>119425</v>
      </c>
      <c r="I25" s="122">
        <v>1215186</v>
      </c>
      <c r="J25" s="113">
        <f t="shared" si="0"/>
        <v>4285</v>
      </c>
      <c r="K25" s="114">
        <f t="shared" si="1"/>
        <v>3.7215563661629432</v>
      </c>
      <c r="L25" s="115">
        <f t="shared" si="2"/>
        <v>-40911</v>
      </c>
      <c r="M25" s="128">
        <f t="shared" si="3"/>
        <v>-3.2569936875894143</v>
      </c>
    </row>
    <row r="26" spans="1:13" ht="21.2" customHeight="1">
      <c r="A26" s="225" t="s">
        <v>60</v>
      </c>
      <c r="B26" s="226"/>
      <c r="C26" s="226"/>
      <c r="D26" s="86" t="s">
        <v>47</v>
      </c>
      <c r="E26" s="123">
        <v>115220</v>
      </c>
      <c r="F26" s="123">
        <v>10287</v>
      </c>
      <c r="G26" s="123">
        <v>115220</v>
      </c>
      <c r="H26" s="123">
        <v>8242</v>
      </c>
      <c r="I26" s="123">
        <v>105261</v>
      </c>
      <c r="J26" s="113">
        <f t="shared" si="0"/>
        <v>-2045</v>
      </c>
      <c r="K26" s="118">
        <f t="shared" si="1"/>
        <v>-19.879459512005454</v>
      </c>
      <c r="L26" s="119">
        <f t="shared" si="2"/>
        <v>-9959</v>
      </c>
      <c r="M26" s="131">
        <f t="shared" si="3"/>
        <v>-8.6434646762714777</v>
      </c>
    </row>
    <row r="27" spans="1:13" ht="21.2" customHeight="1">
      <c r="A27" s="225"/>
      <c r="B27" s="226"/>
      <c r="C27" s="226"/>
      <c r="D27" s="84" t="s">
        <v>48</v>
      </c>
      <c r="E27" s="134">
        <v>1551822</v>
      </c>
      <c r="F27" s="134">
        <v>137150</v>
      </c>
      <c r="G27" s="134">
        <v>1551822</v>
      </c>
      <c r="H27" s="134">
        <v>123697</v>
      </c>
      <c r="I27" s="134">
        <v>1550056</v>
      </c>
      <c r="J27" s="135">
        <f t="shared" si="0"/>
        <v>-13453</v>
      </c>
      <c r="K27" s="116">
        <f t="shared" si="1"/>
        <v>-9.8089682829019296</v>
      </c>
      <c r="L27" s="117">
        <f t="shared" si="2"/>
        <v>-1766</v>
      </c>
      <c r="M27" s="130">
        <f t="shared" si="3"/>
        <v>-0.11380171179426668</v>
      </c>
    </row>
    <row r="28" spans="1:13" ht="21.2" customHeight="1">
      <c r="A28" s="225" t="s">
        <v>61</v>
      </c>
      <c r="B28" s="226"/>
      <c r="C28" s="226"/>
      <c r="D28" s="81" t="s">
        <v>47</v>
      </c>
      <c r="E28" s="122">
        <v>29479</v>
      </c>
      <c r="F28" s="122">
        <v>2836</v>
      </c>
      <c r="G28" s="122">
        <v>29479</v>
      </c>
      <c r="H28" s="122">
        <v>4345</v>
      </c>
      <c r="I28" s="122">
        <v>38607</v>
      </c>
      <c r="J28" s="113">
        <f>H28-F28</f>
        <v>1509</v>
      </c>
      <c r="K28" s="141" t="s">
        <v>67</v>
      </c>
      <c r="L28" s="115">
        <f>I28-G28</f>
        <v>9128</v>
      </c>
      <c r="M28" s="143" t="s">
        <v>67</v>
      </c>
    </row>
    <row r="29" spans="1:13" ht="21.2" customHeight="1" thickBot="1">
      <c r="A29" s="227"/>
      <c r="B29" s="228"/>
      <c r="C29" s="228"/>
      <c r="D29" s="136" t="s">
        <v>48</v>
      </c>
      <c r="E29" s="137">
        <v>456522</v>
      </c>
      <c r="F29" s="137">
        <v>46344</v>
      </c>
      <c r="G29" s="137">
        <v>456522</v>
      </c>
      <c r="H29" s="137">
        <v>60233</v>
      </c>
      <c r="I29" s="137">
        <v>594069</v>
      </c>
      <c r="J29" s="138">
        <f>H29-F29</f>
        <v>13889</v>
      </c>
      <c r="K29" s="142" t="s">
        <v>67</v>
      </c>
      <c r="L29" s="139">
        <f>I29-G29</f>
        <v>137547</v>
      </c>
      <c r="M29" s="144" t="s">
        <v>67</v>
      </c>
    </row>
    <row r="30" spans="1:13" ht="14.25" thickTop="1"/>
  </sheetData>
  <mergeCells count="18"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2019-05-27T01:43:03Z</cp:lastPrinted>
  <dcterms:created xsi:type="dcterms:W3CDTF">1998-03-31T03:01:22Z</dcterms:created>
  <dcterms:modified xsi:type="dcterms:W3CDTF">2021-01-21T00:29:38Z</dcterms:modified>
</cp:coreProperties>
</file>