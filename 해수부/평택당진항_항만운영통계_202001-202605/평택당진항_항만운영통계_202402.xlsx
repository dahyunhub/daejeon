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E:\3. 항만운영통계\2024\2월\"/>
    </mc:Choice>
  </mc:AlternateContent>
  <xr:revisionPtr revIDLastSave="0" documentId="13_ncr:1_{73E1357F-D26D-4B77-91B8-9BA9980E36B5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91029"/>
</workbook>
</file>

<file path=xl/calcChain.xml><?xml version="1.0" encoding="utf-8"?>
<calcChain xmlns="http://schemas.openxmlformats.org/spreadsheetml/2006/main">
  <c r="G10" i="21" l="1"/>
  <c r="G9" i="21"/>
  <c r="H37" i="32"/>
  <c r="H36" i="32"/>
  <c r="H35" i="32"/>
  <c r="H34" i="32"/>
  <c r="H33" i="32"/>
  <c r="H32" i="32"/>
  <c r="H12" i="32"/>
  <c r="H23" i="32"/>
  <c r="H22" i="32"/>
  <c r="H21" i="32"/>
  <c r="H20" i="32"/>
  <c r="H19" i="32"/>
  <c r="H18" i="32"/>
  <c r="H17" i="32"/>
  <c r="H16" i="32"/>
  <c r="H13" i="32"/>
  <c r="H11" i="32"/>
  <c r="H10" i="32"/>
  <c r="G25" i="21"/>
  <c r="G24" i="21"/>
  <c r="G23" i="21"/>
  <c r="G15" i="21"/>
  <c r="G14" i="21"/>
  <c r="G13" i="21"/>
  <c r="G18" i="21"/>
  <c r="G17" i="21"/>
  <c r="I25" i="21"/>
  <c r="I24" i="21"/>
  <c r="I23" i="21"/>
  <c r="H25" i="21"/>
  <c r="I18" i="21"/>
  <c r="I17" i="21"/>
  <c r="I15" i="21"/>
  <c r="H15" i="21"/>
  <c r="I14" i="21"/>
  <c r="I13" i="21"/>
  <c r="H14" i="21"/>
  <c r="H13" i="21"/>
  <c r="F9" i="32" l="1"/>
  <c r="F8" i="32"/>
  <c r="E9" i="32"/>
  <c r="E8" i="32"/>
  <c r="D9" i="32"/>
  <c r="D8" i="32"/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10" i="32"/>
  <c r="J24" i="21" l="1"/>
  <c r="J25" i="21"/>
  <c r="J23" i="21"/>
  <c r="L18" i="21"/>
  <c r="L17" i="21"/>
  <c r="J18" i="21"/>
  <c r="J17" i="21"/>
  <c r="L13" i="21"/>
  <c r="J13" i="21"/>
  <c r="J14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H12" i="21" l="1"/>
  <c r="I16" i="21" l="1"/>
  <c r="I12" i="21"/>
  <c r="H16" i="21"/>
  <c r="H11" i="21" s="1"/>
  <c r="I11" i="21" l="1"/>
  <c r="P7" i="33" s="1"/>
  <c r="F16" i="21"/>
  <c r="F12" i="21"/>
  <c r="J12" i="21" s="1"/>
  <c r="G16" i="21"/>
  <c r="G12" i="21"/>
  <c r="F11" i="21" l="1"/>
  <c r="G11" i="21"/>
  <c r="H8" i="32" l="1"/>
  <c r="G8" i="32"/>
  <c r="H9" i="32" l="1"/>
  <c r="G9" i="32"/>
  <c r="E16" i="21" l="1"/>
  <c r="E12" i="21"/>
  <c r="E11" i="21" l="1"/>
  <c r="O7" i="33" s="1"/>
  <c r="H22" i="21"/>
  <c r="G22" i="21" l="1"/>
  <c r="L12" i="21"/>
  <c r="G8" i="21" l="1"/>
  <c r="E7" i="32" l="1"/>
  <c r="I8" i="21" l="1"/>
  <c r="H7" i="33" s="1"/>
  <c r="H8" i="21" l="1"/>
  <c r="P9" i="33" l="1"/>
  <c r="H9" i="33"/>
  <c r="P6" i="33"/>
  <c r="H7" i="32" l="1"/>
  <c r="G7" i="32"/>
  <c r="F7" i="32"/>
  <c r="E8" i="21" l="1"/>
  <c r="L29" i="21" l="1"/>
  <c r="J29" i="21"/>
  <c r="K29" i="21"/>
  <c r="L27" i="21"/>
  <c r="L28" i="21"/>
  <c r="L19" i="21"/>
  <c r="J27" i="21" l="1"/>
  <c r="J28" i="21"/>
  <c r="J19" i="21"/>
  <c r="I26" i="21" l="1"/>
  <c r="I22" i="2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M8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<sst xmlns="http://schemas.openxmlformats.org/spreadsheetml/2006/main" count="159" uniqueCount="113">
  <si>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</si>
  <si>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</si>
  <si>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</si>
  <si>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</si>
  <si>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</si>
  <si>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</si>
  <si>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</si>
  <si>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8" type="noConversion"/>
  </si>
  <si>
    <t xml:space="preserve"> 합  계</t>
    <phoneticPr fontId="8" type="noConversion"/>
  </si>
  <si>
    <t xml:space="preserve"> 외  항</t>
    <phoneticPr fontId="8" type="noConversion"/>
  </si>
  <si>
    <t xml:space="preserve"> 내  항</t>
    <phoneticPr fontId="8" type="noConversion"/>
  </si>
  <si>
    <t>연간누계</t>
    <phoneticPr fontId="8" type="noConversion"/>
  </si>
  <si>
    <t>계</t>
    <phoneticPr fontId="8" type="noConversion"/>
  </si>
  <si>
    <t>환적</t>
    <phoneticPr fontId="8" type="noConversion"/>
  </si>
  <si>
    <t>수출</t>
    <phoneticPr fontId="8" type="noConversion"/>
  </si>
  <si>
    <t>전년동기대비</t>
    <phoneticPr fontId="8" type="noConversion"/>
  </si>
  <si>
    <t>(%)</t>
    <phoneticPr fontId="8" type="noConversion"/>
  </si>
  <si>
    <t>환적</t>
    <phoneticPr fontId="8" type="noConversion"/>
  </si>
  <si>
    <t>D-B</t>
    <phoneticPr fontId="8" type="noConversion"/>
  </si>
  <si>
    <t>선박</t>
    <phoneticPr fontId="8" type="noConversion"/>
  </si>
  <si>
    <t>화물</t>
    <phoneticPr fontId="8" type="noConversion"/>
  </si>
  <si>
    <t>(단위:TEU, 100% 기준)</t>
    <phoneticPr fontId="8" type="noConversion"/>
  </si>
  <si>
    <t>컨테이너</t>
    <phoneticPr fontId="8" type="noConversion"/>
  </si>
  <si>
    <t>구     분</t>
    <phoneticPr fontId="8" type="noConversion"/>
  </si>
  <si>
    <t>단위</t>
    <phoneticPr fontId="20" type="noConversion"/>
  </si>
  <si>
    <t>전년동기대비</t>
    <phoneticPr fontId="8" type="noConversion"/>
  </si>
  <si>
    <t>연간누계</t>
    <phoneticPr fontId="8" type="noConversion"/>
  </si>
  <si>
    <t>C-A</t>
    <phoneticPr fontId="8" type="noConversion"/>
  </si>
  <si>
    <t>(%)</t>
    <phoneticPr fontId="8" type="noConversion"/>
  </si>
  <si>
    <t>D-B</t>
    <phoneticPr fontId="8" type="noConversion"/>
  </si>
  <si>
    <t>합  계</t>
    <phoneticPr fontId="8" type="noConversion"/>
  </si>
  <si>
    <t>TEU</t>
    <phoneticPr fontId="20" type="noConversion"/>
  </si>
  <si>
    <t>톤</t>
    <phoneticPr fontId="20" type="noConversion"/>
  </si>
  <si>
    <t>국제여객부두1번</t>
  </si>
  <si>
    <t>국제여객부두2번</t>
  </si>
  <si>
    <t>동부두 6</t>
    <phoneticPr fontId="20" type="noConversion"/>
  </si>
  <si>
    <t>동부두 8</t>
    <phoneticPr fontId="20" type="noConversion"/>
  </si>
  <si>
    <t>C-A</t>
    <phoneticPr fontId="8" type="noConversion"/>
  </si>
  <si>
    <t>동부두 12</t>
    <phoneticPr fontId="20" type="noConversion"/>
  </si>
  <si>
    <t>동부두 14</t>
    <phoneticPr fontId="20" type="noConversion"/>
  </si>
  <si>
    <t>동부두 15</t>
    <phoneticPr fontId="20" type="noConversion"/>
  </si>
  <si>
    <t>동부두 16</t>
    <phoneticPr fontId="20" type="noConversion"/>
  </si>
  <si>
    <t>동부두 7</t>
    <phoneticPr fontId="20" type="noConversion"/>
  </si>
  <si>
    <t>동부두 11</t>
    <phoneticPr fontId="20" type="noConversion"/>
  </si>
  <si>
    <t>TEU</t>
    <phoneticPr fontId="20" type="noConversion"/>
  </si>
  <si>
    <t>톤</t>
    <phoneticPr fontId="20" type="noConversion"/>
  </si>
  <si>
    <t>동부두 5</t>
    <phoneticPr fontId="20" type="noConversion"/>
  </si>
  <si>
    <t>자동차(대)</t>
    <phoneticPr fontId="8" type="noConversion"/>
  </si>
  <si>
    <t>동부두 9</t>
    <phoneticPr fontId="20" type="noConversion"/>
  </si>
  <si>
    <t>소계</t>
    <phoneticPr fontId="8" type="noConversion"/>
  </si>
  <si>
    <t>(단위 : 척)</t>
    <phoneticPr fontId="8" type="noConversion"/>
  </si>
  <si>
    <t>국제여객부두 1번선석</t>
  </si>
  <si>
    <t>국제여객부두 2번선석</t>
    <phoneticPr fontId="20" type="noConversion"/>
  </si>
  <si>
    <t>동부두 5번선석</t>
    <phoneticPr fontId="20" type="noConversion"/>
  </si>
  <si>
    <t>동부두 6번선석</t>
    <phoneticPr fontId="20" type="noConversion"/>
  </si>
  <si>
    <t>동부두 6번선석</t>
    <phoneticPr fontId="20" type="noConversion"/>
  </si>
  <si>
    <t>동부두 7번선석</t>
    <phoneticPr fontId="20" type="noConversion"/>
  </si>
  <si>
    <t>동부두 7번선석</t>
    <phoneticPr fontId="20" type="noConversion"/>
  </si>
  <si>
    <t>동부두 8번선석</t>
    <phoneticPr fontId="20" type="noConversion"/>
  </si>
  <si>
    <t>동부두 8번선석</t>
    <phoneticPr fontId="20" type="noConversion"/>
  </si>
  <si>
    <t>동부두 9번선석</t>
    <phoneticPr fontId="20" type="noConversion"/>
  </si>
  <si>
    <t>동부두 9번선석</t>
    <phoneticPr fontId="20" type="noConversion"/>
  </si>
  <si>
    <t>동부두 11번선석</t>
    <phoneticPr fontId="20" type="noConversion"/>
  </si>
  <si>
    <t>동부두 12번선석</t>
    <phoneticPr fontId="20" type="noConversion"/>
  </si>
  <si>
    <t>동부두 12번선석</t>
    <phoneticPr fontId="20" type="noConversion"/>
  </si>
  <si>
    <t>동부두 14번선석</t>
    <phoneticPr fontId="20" type="noConversion"/>
  </si>
  <si>
    <t>동부두 14번선석</t>
    <phoneticPr fontId="20" type="noConversion"/>
  </si>
  <si>
    <t>동부두 15번선석</t>
    <phoneticPr fontId="20" type="noConversion"/>
  </si>
  <si>
    <t>동부두 15번선석</t>
    <phoneticPr fontId="20" type="noConversion"/>
  </si>
  <si>
    <t>동부두 16번선석</t>
    <phoneticPr fontId="20" type="noConversion"/>
  </si>
  <si>
    <t>동부두 16번선석</t>
    <phoneticPr fontId="20" type="noConversion"/>
  </si>
  <si>
    <t>동부두 10</t>
    <phoneticPr fontId="20" type="noConversion"/>
  </si>
  <si>
    <t>동부두 1</t>
    <phoneticPr fontId="20" type="noConversion"/>
  </si>
  <si>
    <t>동부두 1번선석</t>
    <phoneticPr fontId="20" type="noConversion"/>
  </si>
  <si>
    <t>동부두 10번선석</t>
    <phoneticPr fontId="20" type="noConversion"/>
  </si>
  <si>
    <t>순증</t>
    <phoneticPr fontId="8" type="noConversion"/>
  </si>
  <si>
    <t>PNCT</t>
    <phoneticPr fontId="20" type="noConversion"/>
  </si>
  <si>
    <t>터미널별</t>
    <phoneticPr fontId="20" type="noConversion"/>
  </si>
  <si>
    <t>2022년 월별</t>
    <phoneticPr fontId="20" type="noConversion"/>
  </si>
  <si>
    <t>2022년 누계</t>
    <phoneticPr fontId="20" type="noConversion"/>
  </si>
  <si>
    <t>2023년 월별</t>
    <phoneticPr fontId="20" type="noConversion"/>
  </si>
  <si>
    <t>2023년 누계</t>
    <phoneticPr fontId="20" type="noConversion"/>
  </si>
  <si>
    <t>여객부두</t>
    <phoneticPr fontId="20" type="noConversion"/>
  </si>
  <si>
    <t>HPCTC</t>
    <phoneticPr fontId="20" type="noConversion"/>
  </si>
  <si>
    <t>`</t>
    <phoneticPr fontId="20" type="noConversion"/>
  </si>
  <si>
    <t>(단위 : 척, 천톤, 100% 기준)</t>
  </si>
  <si>
    <t>컨테이너</t>
    <phoneticPr fontId="8" type="noConversion"/>
  </si>
  <si>
    <t>연도별 수송실적</t>
    <phoneticPr fontId="8" type="noConversion"/>
  </si>
  <si>
    <t>(단위 : 천톤)</t>
    <phoneticPr fontId="8" type="noConversion"/>
  </si>
  <si>
    <t>(단위 : TEU)</t>
    <phoneticPr fontId="8" type="noConversion"/>
  </si>
  <si>
    <t>(단위 : 명)</t>
    <phoneticPr fontId="8" type="noConversion"/>
  </si>
  <si>
    <t>화물
입출항</t>
    <phoneticPr fontId="8" type="noConversion"/>
  </si>
  <si>
    <t>선박
입출항</t>
    <phoneticPr fontId="8" type="noConversion"/>
  </si>
  <si>
    <t>여  객</t>
    <phoneticPr fontId="8" type="noConversion"/>
  </si>
  <si>
    <t>구 분</t>
    <phoneticPr fontId="8" type="noConversion"/>
  </si>
  <si>
    <t>(선박입출항)</t>
    <phoneticPr fontId="8" type="noConversion"/>
  </si>
  <si>
    <t>(화물입출항)</t>
    <phoneticPr fontId="8" type="noConversion"/>
  </si>
  <si>
    <t>(컨테이너)</t>
    <phoneticPr fontId="8" type="noConversion"/>
  </si>
  <si>
    <t xml:space="preserve">□ 연도별 추이 </t>
    <phoneticPr fontId="19" type="noConversion"/>
  </si>
  <si>
    <t>(여 객)</t>
    <phoneticPr fontId="8" type="noConversion"/>
  </si>
  <si>
    <t>`</t>
    <phoneticPr fontId="8" type="noConversion"/>
  </si>
  <si>
    <t>2023년도</t>
    <phoneticPr fontId="8" type="noConversion"/>
  </si>
  <si>
    <t>2024년도</t>
    <phoneticPr fontId="8" type="noConversion"/>
  </si>
  <si>
    <t>2023년도</t>
    <phoneticPr fontId="8" type="noConversion"/>
  </si>
  <si>
    <t>2024년도</t>
    <phoneticPr fontId="8" type="noConversion"/>
  </si>
  <si>
    <t xml:space="preserve"> </t>
    <phoneticPr fontId="19" type="noConversion"/>
  </si>
  <si>
    <t>2024.2.</t>
    <phoneticPr fontId="19" type="noConversion"/>
  </si>
  <si>
    <t>항만운영통계(2월)</t>
    <phoneticPr fontId="8" type="noConversion"/>
  </si>
  <si>
    <t>부두별 컨테이너 물동량(2월)</t>
    <phoneticPr fontId="20" type="noConversion"/>
  </si>
  <si>
    <t>2월(A)</t>
    <phoneticPr fontId="8" type="noConversion"/>
  </si>
  <si>
    <t xml:space="preserve"> 2월누계(B) </t>
    <phoneticPr fontId="8" type="noConversion"/>
  </si>
  <si>
    <t>2월(C)</t>
    <phoneticPr fontId="8" type="noConversion"/>
  </si>
  <si>
    <t xml:space="preserve"> 2월누계(D)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</si>
</sst>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37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103">
    <xf numFmtId="0" fontId="0" fillId="0" borderId="0"/>
    <xf numFmtId="38" fontId="9" fillId="0" borderId="0" applyFont="0" applyFill="0" applyBorder="0" applyAlignment="0" applyProtection="0"/>
    <xf numFmtId="4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12" fillId="2" borderId="0" applyNumberFormat="0" applyBorder="0" applyAlignment="0" applyProtection="0"/>
    <xf numFmtId="10" fontId="12" fillId="3" borderId="1" applyNumberFormat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0" fillId="0" borderId="0"/>
    <xf numFmtId="0" fontId="9" fillId="0" borderId="0"/>
    <xf numFmtId="10" fontId="10" fillId="0" borderId="0" applyFont="0" applyFill="0" applyBorder="0" applyAlignment="0" applyProtection="0"/>
    <xf numFmtId="9" fontId="11" fillId="0" borderId="2" applyNumberFormat="0" applyBorder="0"/>
    <xf numFmtId="176" fontId="6" fillId="0" borderId="0" applyFont="0" applyFill="0" applyBorder="0" applyAlignment="0" applyProtection="0"/>
    <xf numFmtId="0" fontId="6" fillId="0" borderId="0"/>
    <xf numFmtId="0" fontId="23" fillId="0" borderId="0">
      <alignment vertical="center"/>
    </xf>
    <xf numFmtId="0" fontId="4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3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4" fillId="0" borderId="0"/>
    <xf numFmtId="0" fontId="23" fillId="0" borderId="0">
      <alignment vertical="center"/>
    </xf>
    <xf numFmtId="0" fontId="35" fillId="0" borderId="0">
      <alignment vertical="center"/>
    </xf>
    <xf numFmtId="0" fontId="2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2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 vertical="center"/>
    </xf>
    <xf numFmtId="180" fontId="7" fillId="0" borderId="0" xfId="0" applyNumberFormat="1" applyFont="1" applyAlignment="1">
      <alignment horizontal="right" vertic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right" vertical="center"/>
    </xf>
    <xf numFmtId="9" fontId="16" fillId="0" borderId="0" xfId="0" applyNumberFormat="1" applyFont="1" applyFill="1" applyBorder="1" applyAlignment="1">
      <alignment horizontal="right" vertical="center"/>
    </xf>
    <xf numFmtId="0" fontId="18" fillId="0" borderId="0" xfId="0" applyFont="1"/>
    <xf numFmtId="0" fontId="6" fillId="0" borderId="0" xfId="16"/>
    <xf numFmtId="0" fontId="21" fillId="0" borderId="0" xfId="0" applyFont="1" applyBorder="1" applyAlignment="1">
      <alignment horizontal="center" vertical="center"/>
    </xf>
    <xf numFmtId="183" fontId="22" fillId="0" borderId="0" xfId="0" applyNumberFormat="1" applyFont="1" applyBorder="1" applyAlignment="1">
      <alignment vertical="center"/>
    </xf>
    <xf numFmtId="0" fontId="6" fillId="0" borderId="0" xfId="16" applyAlignment="1">
      <alignment horizontal="right"/>
    </xf>
    <xf numFmtId="180" fontId="6" fillId="0" borderId="0" xfId="16" applyNumberFormat="1" applyAlignment="1">
      <alignment horizontal="right"/>
    </xf>
    <xf numFmtId="0" fontId="7" fillId="0" borderId="0" xfId="16" applyFont="1" applyAlignment="1">
      <alignment horizontal="right" vertical="center"/>
    </xf>
    <xf numFmtId="180" fontId="7" fillId="0" borderId="0" xfId="16" applyNumberFormat="1" applyFont="1" applyAlignment="1">
      <alignment horizontal="right" vertical="center"/>
    </xf>
    <xf numFmtId="0" fontId="15" fillId="0" borderId="0" xfId="16" applyFont="1" applyAlignment="1">
      <alignment vertical="center"/>
    </xf>
    <xf numFmtId="0" fontId="23" fillId="0" borderId="0" xfId="17">
      <alignment vertical="center"/>
    </xf>
    <xf numFmtId="0" fontId="23" fillId="0" borderId="0" xfId="17" applyAlignment="1">
      <alignment horizontal="right"/>
    </xf>
    <xf numFmtId="180" fontId="23" fillId="0" borderId="0" xfId="17" applyNumberFormat="1" applyAlignment="1">
      <alignment horizontal="right"/>
    </xf>
    <xf numFmtId="0" fontId="7" fillId="0" borderId="0" xfId="17" applyFont="1" applyAlignment="1">
      <alignment horizontal="right" vertical="center"/>
    </xf>
    <xf numFmtId="180" fontId="7" fillId="0" borderId="0" xfId="17" applyNumberFormat="1" applyFont="1" applyAlignment="1">
      <alignment horizontal="right" vertical="center"/>
    </xf>
    <xf numFmtId="0" fontId="26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3" fillId="0" borderId="0" xfId="17" applyFont="1">
      <alignment vertical="center"/>
    </xf>
    <xf numFmtId="3" fontId="0" fillId="0" borderId="0" xfId="0" applyNumberFormat="1"/>
    <xf numFmtId="43" fontId="23" fillId="0" borderId="0" xfId="17" applyNumberFormat="1">
      <alignment vertical="center"/>
    </xf>
    <xf numFmtId="0" fontId="23" fillId="0" borderId="0" xfId="17" applyFont="1" applyAlignment="1">
      <alignment horizontal="center" vertical="center"/>
    </xf>
    <xf numFmtId="0" fontId="23" fillId="0" borderId="0" xfId="17" applyAlignment="1">
      <alignment horizontal="center" vertical="center"/>
    </xf>
    <xf numFmtId="176" fontId="23" fillId="0" borderId="1" xfId="15" applyFont="1" applyBorder="1" applyAlignment="1">
      <alignment horizontal="center" vertical="center"/>
    </xf>
    <xf numFmtId="0" fontId="23" fillId="0" borderId="1" xfId="15" applyNumberFormat="1" applyFont="1" applyBorder="1" applyAlignment="1">
      <alignment horizontal="center" vertical="center"/>
    </xf>
    <xf numFmtId="41" fontId="23" fillId="0" borderId="1" xfId="15" applyNumberFormat="1" applyFont="1" applyBorder="1" applyAlignment="1">
      <alignment horizontal="center" vertical="center"/>
    </xf>
    <xf numFmtId="190" fontId="23" fillId="0" borderId="0" xfId="17" applyNumberFormat="1">
      <alignment vertical="center"/>
    </xf>
    <xf numFmtId="176" fontId="14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23" fillId="0" borderId="0" xfId="65">
      <alignment vertical="center"/>
    </xf>
    <xf numFmtId="0" fontId="23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3" fillId="0" borderId="0" xfId="65" applyFill="1" applyBorder="1">
      <alignment vertical="center"/>
    </xf>
    <xf numFmtId="0" fontId="6" fillId="0" borderId="0" xfId="16" applyFill="1" applyBorder="1"/>
    <xf numFmtId="186" fontId="21" fillId="0" borderId="0" xfId="0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/>
    </xf>
    <xf numFmtId="187" fontId="21" fillId="0" borderId="0" xfId="0" quotePrefix="1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 shrinkToFit="1"/>
    </xf>
    <xf numFmtId="0" fontId="15" fillId="0" borderId="0" xfId="16" applyFont="1" applyFill="1" applyBorder="1" applyAlignment="1">
      <alignment vertical="center"/>
    </xf>
    <xf numFmtId="176" fontId="14" fillId="8" borderId="6" xfId="0" applyNumberFormat="1" applyFont="1" applyFill="1" applyBorder="1" applyAlignment="1">
      <alignment horizontal="right" vertical="center"/>
    </xf>
    <xf numFmtId="9" fontId="14" fillId="8" borderId="6" xfId="0" quotePrefix="1" applyNumberFormat="1" applyFont="1" applyFill="1" applyBorder="1" applyAlignment="1">
      <alignment horizontal="right" vertical="center"/>
    </xf>
    <xf numFmtId="9" fontId="13" fillId="4" borderId="6" xfId="0" quotePrefix="1" applyNumberFormat="1" applyFont="1" applyFill="1" applyBorder="1" applyAlignment="1">
      <alignment horizontal="right" vertical="center"/>
    </xf>
    <xf numFmtId="176" fontId="7" fillId="4" borderId="6" xfId="0" applyNumberFormat="1" applyFont="1" applyFill="1" applyBorder="1" applyAlignment="1">
      <alignment horizontal="right" vertical="center"/>
    </xf>
    <xf numFmtId="9" fontId="7" fillId="4" borderId="6" xfId="0" applyNumberFormat="1" applyFont="1" applyFill="1" applyBorder="1" applyAlignment="1">
      <alignment horizontal="right" vertical="center"/>
    </xf>
    <xf numFmtId="176" fontId="13" fillId="0" borderId="6" xfId="0" applyNumberFormat="1" applyFont="1" applyFill="1" applyBorder="1" applyAlignment="1">
      <alignment horizontal="right" vertical="center"/>
    </xf>
    <xf numFmtId="176" fontId="7" fillId="0" borderId="6" xfId="0" applyNumberFormat="1" applyFont="1" applyFill="1" applyBorder="1" applyAlignment="1">
      <alignment horizontal="right" vertical="center"/>
    </xf>
    <xf numFmtId="182" fontId="14" fillId="8" borderId="6" xfId="0" applyNumberFormat="1" applyFont="1" applyFill="1" applyBorder="1" applyAlignment="1">
      <alignment horizontal="right" vertical="center"/>
    </xf>
    <xf numFmtId="176" fontId="14" fillId="8" borderId="6" xfId="0" applyNumberFormat="1" applyFont="1" applyFill="1" applyBorder="1" applyAlignment="1">
      <alignment horizontal="center" vertical="center"/>
    </xf>
    <xf numFmtId="181" fontId="16" fillId="8" borderId="6" xfId="0" applyNumberFormat="1" applyFont="1" applyFill="1" applyBorder="1" applyAlignment="1">
      <alignment horizontal="right" vertical="center"/>
    </xf>
    <xf numFmtId="176" fontId="13" fillId="4" borderId="6" xfId="0" applyNumberFormat="1" applyFont="1" applyFill="1" applyBorder="1" applyAlignment="1">
      <alignment horizontal="center" vertical="center"/>
    </xf>
    <xf numFmtId="182" fontId="13" fillId="0" borderId="6" xfId="0" applyNumberFormat="1" applyFont="1" applyBorder="1" applyAlignment="1">
      <alignment horizontal="right" vertical="center"/>
    </xf>
    <xf numFmtId="181" fontId="7" fillId="4" borderId="6" xfId="0" applyNumberFormat="1" applyFont="1" applyFill="1" applyBorder="1" applyAlignment="1">
      <alignment horizontal="right" vertical="center"/>
    </xf>
    <xf numFmtId="182" fontId="13" fillId="0" borderId="6" xfId="0" applyNumberFormat="1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center" vertical="center"/>
    </xf>
    <xf numFmtId="182" fontId="7" fillId="4" borderId="6" xfId="0" applyNumberFormat="1" applyFont="1" applyFill="1" applyBorder="1" applyAlignment="1">
      <alignment horizontal="right" vertical="center"/>
    </xf>
    <xf numFmtId="9" fontId="7" fillId="4" borderId="11" xfId="0" applyNumberFormat="1" applyFont="1" applyFill="1" applyBorder="1" applyAlignment="1">
      <alignment horizontal="right" vertical="center"/>
    </xf>
    <xf numFmtId="9" fontId="16" fillId="8" borderId="11" xfId="0" applyNumberFormat="1" applyFont="1" applyFill="1" applyBorder="1" applyAlignment="1">
      <alignment horizontal="right" vertical="center"/>
    </xf>
    <xf numFmtId="176" fontId="13" fillId="0" borderId="6" xfId="0" applyNumberFormat="1" applyFont="1" applyBorder="1" applyAlignment="1">
      <alignment horizontal="center" vertical="center"/>
    </xf>
    <xf numFmtId="176" fontId="13" fillId="0" borderId="6" xfId="0" applyNumberFormat="1" applyFont="1" applyFill="1" applyBorder="1" applyAlignment="1">
      <alignment horizontal="center" vertical="center"/>
    </xf>
    <xf numFmtId="41" fontId="13" fillId="5" borderId="6" xfId="23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right" vertical="center"/>
    </xf>
    <xf numFmtId="176" fontId="14" fillId="6" borderId="8" xfId="0" quotePrefix="1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/>
    </xf>
    <xf numFmtId="176" fontId="27" fillId="4" borderId="11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 wrapText="1"/>
    </xf>
    <xf numFmtId="9" fontId="14" fillId="6" borderId="18" xfId="0" applyNumberFormat="1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180" fontId="14" fillId="6" borderId="19" xfId="0" applyNumberFormat="1" applyFont="1" applyFill="1" applyBorder="1" applyAlignment="1">
      <alignment horizontal="center" vertical="center"/>
    </xf>
    <xf numFmtId="176" fontId="13" fillId="0" borderId="20" xfId="0" applyNumberFormat="1" applyFont="1" applyBorder="1" applyAlignment="1">
      <alignment horizontal="right" vertical="center"/>
    </xf>
    <xf numFmtId="176" fontId="13" fillId="4" borderId="20" xfId="0" applyNumberFormat="1" applyFont="1" applyFill="1" applyBorder="1" applyAlignment="1">
      <alignment horizontal="right" vertical="center"/>
    </xf>
    <xf numFmtId="9" fontId="13" fillId="4" borderId="20" xfId="0" quotePrefix="1" applyNumberFormat="1" applyFont="1" applyFill="1" applyBorder="1" applyAlignment="1">
      <alignment horizontal="right" vertical="center"/>
    </xf>
    <xf numFmtId="176" fontId="7" fillId="4" borderId="20" xfId="0" applyNumberFormat="1" applyFont="1" applyFill="1" applyBorder="1" applyAlignment="1">
      <alignment horizontal="right" vertical="center"/>
    </xf>
    <xf numFmtId="9" fontId="7" fillId="4" borderId="21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right" vertical="center"/>
    </xf>
    <xf numFmtId="9" fontId="14" fillId="8" borderId="23" xfId="0" quotePrefix="1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right" vertical="center"/>
    </xf>
    <xf numFmtId="9" fontId="16" fillId="8" borderId="24" xfId="0" applyNumberFormat="1" applyFont="1" applyFill="1" applyBorder="1" applyAlignment="1">
      <alignment horizontal="right" vertical="center"/>
    </xf>
    <xf numFmtId="176" fontId="13" fillId="0" borderId="18" xfId="0" applyNumberFormat="1" applyFont="1" applyFill="1" applyBorder="1" applyAlignment="1">
      <alignment horizontal="right" vertical="center"/>
    </xf>
    <xf numFmtId="9" fontId="13" fillId="0" borderId="18" xfId="0" quotePrefix="1" applyNumberFormat="1" applyFont="1" applyFill="1" applyBorder="1" applyAlignment="1">
      <alignment horizontal="right" vertical="center"/>
    </xf>
    <xf numFmtId="176" fontId="7" fillId="0" borderId="18" xfId="0" applyNumberFormat="1" applyFont="1" applyFill="1" applyBorder="1" applyAlignment="1">
      <alignment horizontal="right" vertical="center"/>
    </xf>
    <xf numFmtId="9" fontId="7" fillId="0" borderId="19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center" vertical="center"/>
    </xf>
    <xf numFmtId="182" fontId="14" fillId="8" borderId="20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right" vertical="center"/>
    </xf>
    <xf numFmtId="9" fontId="14" fillId="8" borderId="20" xfId="0" quotePrefix="1" applyNumberFormat="1" applyFont="1" applyFill="1" applyBorder="1" applyAlignment="1">
      <alignment horizontal="right" vertical="center"/>
    </xf>
    <xf numFmtId="181" fontId="16" fillId="8" borderId="20" xfId="0" applyNumberFormat="1" applyFont="1" applyFill="1" applyBorder="1" applyAlignment="1">
      <alignment horizontal="right" vertical="center"/>
    </xf>
    <xf numFmtId="9" fontId="16" fillId="8" borderId="21" xfId="0" applyNumberFormat="1" applyFont="1" applyFill="1" applyBorder="1" applyAlignment="1">
      <alignment horizontal="right" vertical="center"/>
    </xf>
    <xf numFmtId="182" fontId="14" fillId="8" borderId="23" xfId="0" applyNumberFormat="1" applyFont="1" applyFill="1" applyBorder="1" applyAlignment="1">
      <alignment horizontal="right" vertical="center"/>
    </xf>
    <xf numFmtId="182" fontId="16" fillId="8" borderId="23" xfId="0" applyNumberFormat="1" applyFont="1" applyFill="1" applyBorder="1" applyAlignment="1">
      <alignment horizontal="right" vertical="center"/>
    </xf>
    <xf numFmtId="0" fontId="13" fillId="4" borderId="18" xfId="0" applyFont="1" applyFill="1" applyBorder="1" applyAlignment="1">
      <alignment horizontal="center"/>
    </xf>
    <xf numFmtId="176" fontId="13" fillId="0" borderId="18" xfId="0" applyNumberFormat="1" applyFont="1" applyBorder="1" applyAlignment="1">
      <alignment horizontal="right" vertical="center"/>
    </xf>
    <xf numFmtId="176" fontId="13" fillId="0" borderId="18" xfId="0" applyNumberFormat="1" applyFont="1" applyBorder="1" applyAlignment="1">
      <alignment horizontal="center" vertical="center"/>
    </xf>
    <xf numFmtId="176" fontId="14" fillId="4" borderId="18" xfId="0" applyNumberFormat="1" applyFont="1" applyFill="1" applyBorder="1" applyAlignment="1">
      <alignment horizontal="right" vertical="center"/>
    </xf>
    <xf numFmtId="9" fontId="16" fillId="8" borderId="20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center" vertical="center" shrinkToFit="1"/>
    </xf>
    <xf numFmtId="176" fontId="14" fillId="8" borderId="23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right" vertical="center" shrinkToFit="1"/>
    </xf>
    <xf numFmtId="9" fontId="14" fillId="8" borderId="23" xfId="0" quotePrefix="1" applyNumberFormat="1" applyFont="1" applyFill="1" applyBorder="1" applyAlignment="1">
      <alignment horizontal="right" vertical="center" shrinkToFit="1"/>
    </xf>
    <xf numFmtId="176" fontId="16" fillId="8" borderId="23" xfId="0" applyNumberFormat="1" applyFont="1" applyFill="1" applyBorder="1" applyAlignment="1">
      <alignment horizontal="right" vertical="center" shrinkToFit="1"/>
    </xf>
    <xf numFmtId="41" fontId="13" fillId="0" borderId="18" xfId="0" applyNumberFormat="1" applyFont="1" applyFill="1" applyBorder="1" applyAlignment="1">
      <alignment horizontal="center" vertical="center"/>
    </xf>
    <xf numFmtId="176" fontId="27" fillId="4" borderId="18" xfId="0" applyNumberFormat="1" applyFont="1" applyFill="1" applyBorder="1" applyAlignment="1">
      <alignment horizontal="right" vertical="center"/>
    </xf>
    <xf numFmtId="176" fontId="27" fillId="4" borderId="18" xfId="0" applyNumberFormat="1" applyFont="1" applyFill="1" applyBorder="1" applyAlignment="1">
      <alignment horizontal="center" vertical="center"/>
    </xf>
    <xf numFmtId="176" fontId="7" fillId="4" borderId="18" xfId="0" applyNumberFormat="1" applyFont="1" applyFill="1" applyBorder="1" applyAlignment="1">
      <alignment horizontal="right" vertical="center"/>
    </xf>
    <xf numFmtId="176" fontId="27" fillId="4" borderId="19" xfId="0" applyNumberFormat="1" applyFont="1" applyFill="1" applyBorder="1" applyAlignment="1">
      <alignment horizontal="center" vertical="center"/>
    </xf>
    <xf numFmtId="181" fontId="14" fillId="8" borderId="22" xfId="0" applyNumberFormat="1" applyFont="1" applyFill="1" applyBorder="1" applyAlignment="1">
      <alignment horizontal="right" vertical="center"/>
    </xf>
    <xf numFmtId="181" fontId="14" fillId="8" borderId="23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1" fillId="4" borderId="6" xfId="17" applyFont="1" applyFill="1" applyBorder="1" applyAlignment="1">
      <alignment horizontal="center" vertical="center"/>
    </xf>
    <xf numFmtId="41" fontId="22" fillId="5" borderId="6" xfId="40" applyFont="1" applyFill="1" applyBorder="1" applyAlignment="1">
      <alignment horizontal="center" vertical="center"/>
    </xf>
    <xf numFmtId="3" fontId="22" fillId="0" borderId="6" xfId="0" applyNumberFormat="1" applyFont="1" applyFill="1" applyBorder="1" applyAlignment="1">
      <alignment horizontal="right" vertical="center"/>
    </xf>
    <xf numFmtId="41" fontId="22" fillId="5" borderId="6" xfId="23" applyFont="1" applyFill="1" applyBorder="1" applyAlignment="1">
      <alignment horizontal="center" vertical="center"/>
    </xf>
    <xf numFmtId="185" fontId="14" fillId="4" borderId="6" xfId="17" applyNumberFormat="1" applyFont="1" applyFill="1" applyBorder="1" applyAlignment="1">
      <alignment horizontal="right" vertical="center" shrinkToFit="1"/>
    </xf>
    <xf numFmtId="184" fontId="14" fillId="4" borderId="6" xfId="17" quotePrefix="1" applyNumberFormat="1" applyFont="1" applyFill="1" applyBorder="1" applyAlignment="1">
      <alignment horizontal="right" vertical="center" shrinkToFit="1"/>
    </xf>
    <xf numFmtId="176" fontId="14" fillId="4" borderId="6" xfId="17" applyNumberFormat="1" applyFont="1" applyFill="1" applyBorder="1" applyAlignment="1">
      <alignment horizontal="right" vertical="center" shrinkToFit="1"/>
    </xf>
    <xf numFmtId="41" fontId="22" fillId="0" borderId="6" xfId="23" applyFont="1" applyFill="1" applyBorder="1" applyAlignment="1">
      <alignment horizontal="right" vertical="center"/>
    </xf>
    <xf numFmtId="0" fontId="21" fillId="0" borderId="6" xfId="17" applyFont="1" applyFill="1" applyBorder="1" applyAlignment="1">
      <alignment horizontal="center" vertical="center"/>
    </xf>
    <xf numFmtId="184" fontId="14" fillId="4" borderId="11" xfId="17" quotePrefix="1" applyNumberFormat="1" applyFont="1" applyFill="1" applyBorder="1" applyAlignment="1">
      <alignment horizontal="right" vertical="center" shrinkToFit="1"/>
    </xf>
    <xf numFmtId="0" fontId="21" fillId="4" borderId="13" xfId="17" applyFont="1" applyFill="1" applyBorder="1" applyAlignment="1">
      <alignment horizontal="center" vertical="center"/>
    </xf>
    <xf numFmtId="41" fontId="22" fillId="5" borderId="13" xfId="40" applyFont="1" applyFill="1" applyBorder="1" applyAlignment="1">
      <alignment horizontal="center" vertical="center"/>
    </xf>
    <xf numFmtId="3" fontId="22" fillId="0" borderId="13" xfId="0" applyNumberFormat="1" applyFont="1" applyFill="1" applyBorder="1" applyAlignment="1">
      <alignment horizontal="right" vertical="center"/>
    </xf>
    <xf numFmtId="185" fontId="14" fillId="4" borderId="13" xfId="17" applyNumberFormat="1" applyFont="1" applyFill="1" applyBorder="1" applyAlignment="1">
      <alignment horizontal="right" vertical="center" shrinkToFit="1"/>
    </xf>
    <xf numFmtId="184" fontId="14" fillId="4" borderId="13" xfId="17" quotePrefix="1" applyNumberFormat="1" applyFont="1" applyFill="1" applyBorder="1" applyAlignment="1">
      <alignment horizontal="right" vertical="center" shrinkToFit="1"/>
    </xf>
    <xf numFmtId="176" fontId="14" fillId="4" borderId="13" xfId="17" applyNumberFormat="1" applyFont="1" applyFill="1" applyBorder="1" applyAlignment="1">
      <alignment horizontal="right" vertical="center" shrinkToFit="1"/>
    </xf>
    <xf numFmtId="184" fontId="14" fillId="4" borderId="14" xfId="17" quotePrefix="1" applyNumberFormat="1" applyFont="1" applyFill="1" applyBorder="1" applyAlignment="1">
      <alignment horizontal="right" vertical="center" shrinkToFit="1"/>
    </xf>
    <xf numFmtId="176" fontId="14" fillId="6" borderId="18" xfId="17" applyNumberFormat="1" applyFont="1" applyFill="1" applyBorder="1" applyAlignment="1">
      <alignment horizontal="center" vertical="center"/>
    </xf>
    <xf numFmtId="176" fontId="29" fillId="6" borderId="18" xfId="17" applyNumberFormat="1" applyFont="1" applyFill="1" applyBorder="1" applyAlignment="1">
      <alignment horizontal="center" vertical="center"/>
    </xf>
    <xf numFmtId="9" fontId="14" fillId="6" borderId="18" xfId="17" applyNumberFormat="1" applyFont="1" applyFill="1" applyBorder="1" applyAlignment="1">
      <alignment horizontal="center" vertical="center"/>
    </xf>
    <xf numFmtId="0" fontId="16" fillId="6" borderId="18" xfId="17" applyFont="1" applyFill="1" applyBorder="1" applyAlignment="1">
      <alignment horizontal="center" vertical="center"/>
    </xf>
    <xf numFmtId="180" fontId="14" fillId="6" borderId="19" xfId="17" applyNumberFormat="1" applyFont="1" applyFill="1" applyBorder="1" applyAlignment="1">
      <alignment horizontal="center" vertical="center"/>
    </xf>
    <xf numFmtId="0" fontId="21" fillId="8" borderId="28" xfId="17" applyFont="1" applyFill="1" applyBorder="1" applyAlignment="1">
      <alignment horizontal="center" vertical="center"/>
    </xf>
    <xf numFmtId="183" fontId="21" fillId="8" borderId="28" xfId="17" applyNumberFormat="1" applyFont="1" applyFill="1" applyBorder="1" applyAlignment="1">
      <alignment vertical="center" shrinkToFit="1"/>
    </xf>
    <xf numFmtId="41" fontId="21" fillId="8" borderId="28" xfId="15" applyNumberFormat="1" applyFont="1" applyFill="1" applyBorder="1" applyAlignment="1">
      <alignment horizontal="center" vertical="center" shrinkToFit="1"/>
    </xf>
    <xf numFmtId="185" fontId="14" fillId="8" borderId="28" xfId="17" applyNumberFormat="1" applyFont="1" applyFill="1" applyBorder="1" applyAlignment="1">
      <alignment horizontal="right" vertical="center" shrinkToFit="1"/>
    </xf>
    <xf numFmtId="184" fontId="14" fillId="8" borderId="28" xfId="17" quotePrefix="1" applyNumberFormat="1" applyFont="1" applyFill="1" applyBorder="1" applyAlignment="1">
      <alignment horizontal="right" vertical="center" shrinkToFit="1"/>
    </xf>
    <xf numFmtId="176" fontId="14" fillId="8" borderId="28" xfId="17" applyNumberFormat="1" applyFont="1" applyFill="1" applyBorder="1" applyAlignment="1">
      <alignment horizontal="right" vertical="center" shrinkToFit="1"/>
    </xf>
    <xf numFmtId="184" fontId="14" fillId="8" borderId="29" xfId="17" quotePrefix="1" applyNumberFormat="1" applyFont="1" applyFill="1" applyBorder="1" applyAlignment="1">
      <alignment horizontal="right" vertical="center" shrinkToFit="1"/>
    </xf>
    <xf numFmtId="0" fontId="21" fillId="8" borderId="15" xfId="17" applyFont="1" applyFill="1" applyBorder="1" applyAlignment="1">
      <alignment horizontal="center" vertical="center"/>
    </xf>
    <xf numFmtId="183" fontId="21" fillId="8" borderId="15" xfId="17" applyNumberFormat="1" applyFont="1" applyFill="1" applyBorder="1" applyAlignment="1">
      <alignment vertical="center" shrinkToFit="1"/>
    </xf>
    <xf numFmtId="41" fontId="21" fillId="8" borderId="15" xfId="15" applyNumberFormat="1" applyFont="1" applyFill="1" applyBorder="1" applyAlignment="1">
      <alignment horizontal="center" vertical="center" shrinkToFit="1"/>
    </xf>
    <xf numFmtId="185" fontId="14" fillId="8" borderId="15" xfId="17" applyNumberFormat="1" applyFont="1" applyFill="1" applyBorder="1" applyAlignment="1">
      <alignment horizontal="right" vertical="center" shrinkToFit="1"/>
    </xf>
    <xf numFmtId="184" fontId="14" fillId="8" borderId="15" xfId="17" quotePrefix="1" applyNumberFormat="1" applyFont="1" applyFill="1" applyBorder="1" applyAlignment="1">
      <alignment horizontal="right" vertical="center" shrinkToFit="1"/>
    </xf>
    <xf numFmtId="176" fontId="14" fillId="8" borderId="15" xfId="17" applyNumberFormat="1" applyFont="1" applyFill="1" applyBorder="1" applyAlignment="1">
      <alignment horizontal="right" vertical="center" shrinkToFit="1"/>
    </xf>
    <xf numFmtId="184" fontId="14" fillId="8" borderId="16" xfId="17" quotePrefix="1" applyNumberFormat="1" applyFont="1" applyFill="1" applyBorder="1" applyAlignment="1">
      <alignment horizontal="right" vertical="center" shrinkToFit="1"/>
    </xf>
    <xf numFmtId="0" fontId="21" fillId="9" borderId="6" xfId="17" applyFont="1" applyFill="1" applyBorder="1" applyAlignment="1">
      <alignment horizontal="center" vertical="center"/>
    </xf>
    <xf numFmtId="41" fontId="22" fillId="9" borderId="6" xfId="40" applyFont="1" applyFill="1" applyBorder="1" applyAlignment="1">
      <alignment horizontal="center" vertical="center"/>
    </xf>
    <xf numFmtId="3" fontId="22" fillId="9" borderId="6" xfId="0" applyNumberFormat="1" applyFont="1" applyFill="1" applyBorder="1" applyAlignment="1">
      <alignment horizontal="right" vertical="center"/>
    </xf>
    <xf numFmtId="41" fontId="22" fillId="9" borderId="6" xfId="23" applyFont="1" applyFill="1" applyBorder="1" applyAlignment="1">
      <alignment horizontal="center" vertical="center"/>
    </xf>
    <xf numFmtId="185" fontId="14" fillId="9" borderId="6" xfId="17" applyNumberFormat="1" applyFont="1" applyFill="1" applyBorder="1" applyAlignment="1">
      <alignment horizontal="right" vertical="center" shrinkToFit="1"/>
    </xf>
    <xf numFmtId="184" fontId="14" fillId="9" borderId="6" xfId="17" quotePrefix="1" applyNumberFormat="1" applyFont="1" applyFill="1" applyBorder="1" applyAlignment="1">
      <alignment horizontal="right" vertical="center" shrinkToFit="1"/>
    </xf>
    <xf numFmtId="176" fontId="14" fillId="9" borderId="6" xfId="17" applyNumberFormat="1" applyFont="1" applyFill="1" applyBorder="1" applyAlignment="1">
      <alignment horizontal="right" vertical="center" shrinkToFit="1"/>
    </xf>
    <xf numFmtId="184" fontId="14" fillId="9" borderId="11" xfId="17" quotePrefix="1" applyNumberFormat="1" applyFont="1" applyFill="1" applyBorder="1" applyAlignment="1">
      <alignment horizontal="right" vertical="center" shrinkToFit="1"/>
    </xf>
    <xf numFmtId="41" fontId="22" fillId="9" borderId="6" xfId="23" applyFont="1" applyFill="1" applyBorder="1" applyAlignment="1">
      <alignment horizontal="right" vertical="center"/>
    </xf>
    <xf numFmtId="0" fontId="21" fillId="6" borderId="7" xfId="0" applyFont="1" applyFill="1" applyBorder="1" applyAlignment="1">
      <alignment horizontal="center" vertical="center"/>
    </xf>
    <xf numFmtId="180" fontId="21" fillId="6" borderId="8" xfId="0" quotePrefix="1" applyNumberFormat="1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176" fontId="22" fillId="0" borderId="13" xfId="15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188" fontId="22" fillId="0" borderId="13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76" fontId="22" fillId="0" borderId="13" xfId="15" applyFont="1" applyBorder="1" applyAlignment="1">
      <alignment horizontal="center" vertical="center" shrinkToFit="1"/>
    </xf>
    <xf numFmtId="180" fontId="21" fillId="6" borderId="31" xfId="0" quotePrefix="1" applyNumberFormat="1" applyFont="1" applyFill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/>
    </xf>
    <xf numFmtId="186" fontId="21" fillId="6" borderId="32" xfId="0" applyNumberFormat="1" applyFont="1" applyFill="1" applyBorder="1" applyAlignment="1">
      <alignment horizontal="center" vertical="center"/>
    </xf>
    <xf numFmtId="176" fontId="36" fillId="0" borderId="33" xfId="15" applyFont="1" applyBorder="1" applyAlignment="1">
      <alignment horizontal="center" vertical="center"/>
    </xf>
    <xf numFmtId="188" fontId="22" fillId="0" borderId="25" xfId="0" applyNumberFormat="1" applyFont="1" applyBorder="1" applyAlignment="1">
      <alignment horizontal="center" vertical="center"/>
    </xf>
    <xf numFmtId="187" fontId="21" fillId="6" borderId="32" xfId="0" quotePrefix="1" applyNumberFormat="1" applyFont="1" applyFill="1" applyBorder="1" applyAlignment="1">
      <alignment horizontal="center" vertical="center"/>
    </xf>
    <xf numFmtId="188" fontId="36" fillId="0" borderId="33" xfId="0" applyNumberFormat="1" applyFont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 shrinkToFit="1"/>
    </xf>
    <xf numFmtId="176" fontId="36" fillId="0" borderId="33" xfId="15" applyFont="1" applyBorder="1" applyAlignment="1">
      <alignment horizontal="center" vertical="center" shrinkToFit="1"/>
    </xf>
    <xf numFmtId="0" fontId="23" fillId="0" borderId="0" xfId="17" applyFill="1">
      <alignment vertical="center"/>
    </xf>
    <xf numFmtId="189" fontId="31" fillId="5" borderId="20" xfId="86" applyNumberFormat="1" applyFont="1" applyFill="1" applyBorder="1" applyAlignment="1">
      <alignment horizontal="right" vertical="center"/>
    </xf>
    <xf numFmtId="189" fontId="31" fillId="5" borderId="18" xfId="86" applyNumberFormat="1" applyFont="1" applyFill="1" applyBorder="1" applyAlignment="1">
      <alignment horizontal="right" vertical="center"/>
    </xf>
    <xf numFmtId="182" fontId="32" fillId="5" borderId="6" xfId="87" applyNumberFormat="1" applyFont="1" applyFill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2" fontId="13" fillId="0" borderId="6" xfId="0" applyNumberFormat="1" applyFont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9" fontId="22" fillId="5" borderId="6" xfId="101" applyNumberFormat="1" applyFont="1" applyFill="1" applyBorder="1" applyAlignment="1">
      <alignment horizontal="right" vertical="center"/>
    </xf>
    <xf numFmtId="0" fontId="21" fillId="9" borderId="28" xfId="17" applyFont="1" applyFill="1" applyBorder="1" applyAlignment="1">
      <alignment horizontal="center" vertical="center"/>
    </xf>
    <xf numFmtId="41" fontId="22" fillId="9" borderId="28" xfId="40" applyFont="1" applyFill="1" applyBorder="1" applyAlignment="1">
      <alignment horizontal="center" vertical="center"/>
    </xf>
    <xf numFmtId="3" fontId="22" fillId="9" borderId="28" xfId="0" applyNumberFormat="1" applyFont="1" applyFill="1" applyBorder="1" applyAlignment="1">
      <alignment horizontal="right" vertical="center"/>
    </xf>
    <xf numFmtId="41" fontId="22" fillId="9" borderId="28" xfId="23" applyFont="1" applyFill="1" applyBorder="1" applyAlignment="1">
      <alignment horizontal="center" vertical="center"/>
    </xf>
    <xf numFmtId="185" fontId="14" fillId="9" borderId="28" xfId="17" applyNumberFormat="1" applyFont="1" applyFill="1" applyBorder="1" applyAlignment="1">
      <alignment horizontal="right" vertical="center" shrinkToFit="1"/>
    </xf>
    <xf numFmtId="184" fontId="14" fillId="9" borderId="28" xfId="17" quotePrefix="1" applyNumberFormat="1" applyFont="1" applyFill="1" applyBorder="1" applyAlignment="1">
      <alignment horizontal="right" vertical="center" shrinkToFit="1"/>
    </xf>
    <xf numFmtId="176" fontId="14" fillId="9" borderId="28" xfId="17" applyNumberFormat="1" applyFont="1" applyFill="1" applyBorder="1" applyAlignment="1">
      <alignment horizontal="right" vertical="center" shrinkToFit="1"/>
    </xf>
    <xf numFmtId="184" fontId="14" fillId="9" borderId="35" xfId="17" quotePrefix="1" applyNumberFormat="1" applyFont="1" applyFill="1" applyBorder="1" applyAlignment="1">
      <alignment horizontal="right" vertical="center" shrinkToFit="1"/>
    </xf>
    <xf numFmtId="176" fontId="13" fillId="0" borderId="6" xfId="0" applyNumberFormat="1" applyFont="1" applyFill="1" applyBorder="1" applyAlignment="1">
      <alignment horizontal="center" vertical="center"/>
    </xf>
    <xf numFmtId="176" fontId="13" fillId="4" borderId="15" xfId="0" applyNumberFormat="1" applyFont="1" applyFill="1" applyBorder="1" applyAlignment="1">
      <alignment horizontal="center" vertical="center"/>
    </xf>
    <xf numFmtId="41" fontId="22" fillId="5" borderId="13" xfId="23" applyFont="1" applyFill="1" applyBorder="1" applyAlignment="1">
      <alignment horizontal="center" vertical="center"/>
    </xf>
    <xf numFmtId="188" fontId="22" fillId="0" borderId="25" xfId="15" applyNumberFormat="1" applyFont="1" applyBorder="1" applyAlignment="1">
      <alignment horizontal="center" vertical="center"/>
    </xf>
    <xf numFmtId="189" fontId="22" fillId="0" borderId="6" xfId="101" applyNumberFormat="1" applyFont="1" applyFill="1" applyBorder="1" applyAlignment="1">
      <alignment horizontal="right" vertical="center"/>
    </xf>
    <xf numFmtId="182" fontId="34" fillId="0" borderId="6" xfId="22" applyNumberFormat="1" applyFont="1" applyBorder="1">
      <alignment vertical="center"/>
    </xf>
    <xf numFmtId="182" fontId="31" fillId="0" borderId="6" xfId="22" applyNumberFormat="1" applyFont="1" applyBorder="1" applyAlignment="1">
      <alignment horizontal="right" vertical="center"/>
    </xf>
    <xf numFmtId="176" fontId="13" fillId="0" borderId="20" xfId="19" applyNumberFormat="1" applyFont="1" applyFill="1" applyBorder="1" applyAlignment="1">
      <alignment horizontal="center" vertical="center"/>
    </xf>
    <xf numFmtId="176" fontId="13" fillId="0" borderId="6" xfId="19" applyNumberFormat="1" applyFont="1" applyFill="1" applyBorder="1" applyAlignment="1">
      <alignment horizontal="center" vertical="center"/>
    </xf>
    <xf numFmtId="176" fontId="13" fillId="0" borderId="18" xfId="19" applyNumberFormat="1" applyFont="1" applyFill="1" applyBorder="1" applyAlignment="1">
      <alignment horizontal="center" vertical="center"/>
    </xf>
    <xf numFmtId="176" fontId="13" fillId="0" borderId="20" xfId="19" applyNumberFormat="1" applyFont="1" applyBorder="1" applyAlignment="1">
      <alignment horizontal="right" vertical="center"/>
    </xf>
    <xf numFmtId="176" fontId="13" fillId="0" borderId="18" xfId="19" applyNumberFormat="1" applyFont="1" applyFill="1" applyBorder="1" applyAlignment="1">
      <alignment horizontal="right" vertical="center"/>
    </xf>
    <xf numFmtId="176" fontId="14" fillId="6" borderId="12" xfId="0" applyNumberFormat="1" applyFont="1" applyFill="1" applyBorder="1" applyAlignment="1">
      <alignment horizontal="center" vertical="center"/>
    </xf>
    <xf numFmtId="176" fontId="14" fillId="6" borderId="13" xfId="0" applyNumberFormat="1" applyFont="1" applyFill="1" applyBorder="1" applyAlignment="1">
      <alignment horizontal="center" vertical="center"/>
    </xf>
    <xf numFmtId="176" fontId="14" fillId="6" borderId="25" xfId="0" applyNumberFormat="1" applyFont="1" applyFill="1" applyBorder="1" applyAlignment="1">
      <alignment horizontal="center" vertical="center"/>
    </xf>
    <xf numFmtId="9" fontId="14" fillId="4" borderId="18" xfId="0" applyNumberFormat="1" applyFont="1" applyFill="1" applyBorder="1" applyAlignment="1">
      <alignment horizontal="right"/>
    </xf>
    <xf numFmtId="9" fontId="14" fillId="4" borderId="18" xfId="0" quotePrefix="1" applyNumberFormat="1" applyFont="1" applyFill="1" applyBorder="1" applyAlignment="1">
      <alignment horizontal="right"/>
    </xf>
    <xf numFmtId="9" fontId="14" fillId="4" borderId="19" xfId="0" quotePrefix="1" applyNumberFormat="1" applyFont="1" applyFill="1" applyBorder="1" applyAlignment="1">
      <alignment horizontal="right"/>
    </xf>
    <xf numFmtId="176" fontId="14" fillId="6" borderId="8" xfId="0" applyNumberFormat="1" applyFont="1" applyFill="1" applyBorder="1" applyAlignment="1">
      <alignment horizontal="center" vertical="center"/>
    </xf>
    <xf numFmtId="176" fontId="13" fillId="0" borderId="6" xfId="0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10" xfId="0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 wrapText="1"/>
    </xf>
    <xf numFmtId="176" fontId="14" fillId="8" borderId="22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center" vertical="center"/>
    </xf>
    <xf numFmtId="176" fontId="14" fillId="6" borderId="9" xfId="0" applyNumberFormat="1" applyFont="1" applyFill="1" applyBorder="1" applyAlignment="1">
      <alignment horizontal="center" vertical="center"/>
    </xf>
    <xf numFmtId="176" fontId="13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3" fillId="0" borderId="20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33" fillId="7" borderId="4" xfId="65" applyFont="1" applyFill="1" applyBorder="1" applyAlignment="1">
      <alignment horizontal="center" vertical="center"/>
    </xf>
    <xf numFmtId="0" fontId="33" fillId="7" borderId="5" xfId="65" applyFont="1" applyFill="1" applyBorder="1" applyAlignment="1">
      <alignment horizontal="center" vertical="center"/>
    </xf>
    <xf numFmtId="0" fontId="33" fillId="7" borderId="3" xfId="65" applyFont="1" applyFill="1" applyBorder="1" applyAlignment="1">
      <alignment horizontal="center" vertical="center"/>
    </xf>
    <xf numFmtId="0" fontId="16" fillId="0" borderId="0" xfId="0" applyFont="1" applyBorder="1" applyAlignment="1">
      <alignment horizontal="right"/>
    </xf>
    <xf numFmtId="0" fontId="33" fillId="7" borderId="1" xfId="65" applyFont="1" applyFill="1" applyBorder="1" applyAlignment="1">
      <alignment horizontal="center" vertical="center"/>
    </xf>
    <xf numFmtId="0" fontId="17" fillId="0" borderId="0" xfId="16" applyFont="1" applyAlignment="1">
      <alignment horizontal="left" vertical="center"/>
    </xf>
    <xf numFmtId="0" fontId="15" fillId="0" borderId="0" xfId="16" applyFont="1" applyAlignment="1">
      <alignment horizontal="left" vertical="center"/>
    </xf>
    <xf numFmtId="180" fontId="16" fillId="0" borderId="0" xfId="0" applyNumberFormat="1" applyFont="1" applyBorder="1" applyAlignment="1">
      <alignment horizontal="right"/>
    </xf>
    <xf numFmtId="176" fontId="14" fillId="6" borderId="7" xfId="17" applyNumberFormat="1" applyFont="1" applyFill="1" applyBorder="1" applyAlignment="1">
      <alignment horizontal="center" vertical="center"/>
    </xf>
    <xf numFmtId="176" fontId="14" fillId="6" borderId="26" xfId="17" applyNumberFormat="1" applyFont="1" applyFill="1" applyBorder="1" applyAlignment="1">
      <alignment horizontal="center" vertical="center"/>
    </xf>
    <xf numFmtId="0" fontId="21" fillId="8" borderId="27" xfId="17" applyFont="1" applyFill="1" applyBorder="1" applyAlignment="1">
      <alignment horizontal="center" vertical="center"/>
    </xf>
    <xf numFmtId="0" fontId="21" fillId="8" borderId="30" xfId="17" applyFont="1" applyFill="1" applyBorder="1" applyAlignment="1">
      <alignment horizontal="center" vertical="center"/>
    </xf>
    <xf numFmtId="0" fontId="22" fillId="6" borderId="34" xfId="17" applyFont="1" applyFill="1" applyBorder="1" applyAlignment="1">
      <alignment horizontal="center" vertical="center"/>
    </xf>
    <xf numFmtId="0" fontId="22" fillId="6" borderId="10" xfId="17" applyFont="1" applyFill="1" applyBorder="1" applyAlignment="1">
      <alignment horizontal="center" vertical="center"/>
    </xf>
    <xf numFmtId="176" fontId="14" fillId="6" borderId="8" xfId="17" applyNumberFormat="1" applyFont="1" applyFill="1" applyBorder="1" applyAlignment="1">
      <alignment horizontal="center" vertical="center"/>
    </xf>
    <xf numFmtId="176" fontId="14" fillId="6" borderId="9" xfId="17" applyNumberFormat="1" applyFont="1" applyFill="1" applyBorder="1" applyAlignment="1">
      <alignment horizontal="center" vertical="center"/>
    </xf>
    <xf numFmtId="0" fontId="24" fillId="6" borderId="8" xfId="17" applyFont="1" applyFill="1" applyBorder="1" applyAlignment="1">
      <alignment horizontal="center" vertical="center"/>
    </xf>
    <xf numFmtId="0" fontId="24" fillId="6" borderId="18" xfId="17" applyFont="1" applyFill="1" applyBorder="1" applyAlignment="1">
      <alignment horizontal="center" vertical="center"/>
    </xf>
    <xf numFmtId="0" fontId="22" fillId="6" borderId="12" xfId="17" applyFont="1" applyFill="1" applyBorder="1" applyAlignment="1">
      <alignment horizontal="center" vertical="center"/>
    </xf>
  </cellXfs>
  <cellStyles count="103"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백분율 2" xfId="59" xr:uid="{00000000-0005-0000-0000-00000E000000}"/>
    <cellStyle name="백분율 3" xfId="60" xr:uid="{00000000-0005-0000-0000-00000F000000}"/>
    <cellStyle name="백분율 4" xfId="58" xr:uid="{00000000-0005-0000-0000-000010000000}"/>
    <cellStyle name="쉼표 [0]" xfId="15" builtinId="6"/>
    <cellStyle name="쉼표 [0] 2" xfId="20" xr:uid="{00000000-0005-0000-0000-000012000000}"/>
    <cellStyle name="쉼표 [0] 2 2" xfId="62" xr:uid="{00000000-0005-0000-0000-000013000000}"/>
    <cellStyle name="쉼표 [0] 3" xfId="23" xr:uid="{00000000-0005-0000-0000-000014000000}"/>
    <cellStyle name="쉼표 [0] 3 2" xfId="33" xr:uid="{00000000-0005-0000-0000-000015000000}"/>
    <cellStyle name="쉼표 [0] 3 3" xfId="63" xr:uid="{00000000-0005-0000-0000-000016000000}"/>
    <cellStyle name="쉼표 [0] 4" xfId="40" xr:uid="{00000000-0005-0000-0000-000017000000}"/>
    <cellStyle name="쉼표 [0] 5" xfId="56" xr:uid="{00000000-0005-0000-0000-000018000000}"/>
    <cellStyle name="쉼표 [0] 5 2" xfId="102" xr:uid="{00000000-0005-0000-0000-000019000000}"/>
    <cellStyle name="쉼표 [0] 6" xfId="61" xr:uid="{00000000-0005-0000-0000-00001A000000}"/>
    <cellStyle name="표준" xfId="0" builtinId="0"/>
    <cellStyle name="표준 2" xfId="19" xr:uid="{00000000-0005-0000-0000-00001C000000}"/>
    <cellStyle name="표준 2 2" xfId="64" xr:uid="{00000000-0005-0000-0000-00001D000000}"/>
    <cellStyle name="표준 3" xfId="18" xr:uid="{00000000-0005-0000-0000-00001E000000}"/>
    <cellStyle name="표준 3 10" xfId="71" xr:uid="{00000000-0005-0000-0000-00001F000000}"/>
    <cellStyle name="표준 3 2" xfId="21" xr:uid="{00000000-0005-0000-0000-000020000000}"/>
    <cellStyle name="표준 3 2 2" xfId="29" xr:uid="{00000000-0005-0000-0000-000021000000}"/>
    <cellStyle name="표준 3 2 2 2" xfId="39" xr:uid="{00000000-0005-0000-0000-000022000000}"/>
    <cellStyle name="표준 3 2 2 2 2" xfId="55" xr:uid="{00000000-0005-0000-0000-000023000000}"/>
    <cellStyle name="표준 3 2 2 2 2 2" xfId="101" xr:uid="{00000000-0005-0000-0000-000024000000}"/>
    <cellStyle name="표준 3 2 2 2 3" xfId="86" xr:uid="{00000000-0005-0000-0000-000025000000}"/>
    <cellStyle name="표준 3 2 2 3" xfId="47" xr:uid="{00000000-0005-0000-0000-000026000000}"/>
    <cellStyle name="표준 3 2 2 3 2" xfId="93" xr:uid="{00000000-0005-0000-0000-000027000000}"/>
    <cellStyle name="표준 3 2 2 4" xfId="78" xr:uid="{00000000-0005-0000-0000-000028000000}"/>
    <cellStyle name="표준 3 2 3" xfId="27" xr:uid="{00000000-0005-0000-0000-000029000000}"/>
    <cellStyle name="표준 3 2 3 2" xfId="37" xr:uid="{00000000-0005-0000-0000-00002A000000}"/>
    <cellStyle name="표준 3 2 3 2 2" xfId="53" xr:uid="{00000000-0005-0000-0000-00002B000000}"/>
    <cellStyle name="표준 3 2 3 2 2 2" xfId="99" xr:uid="{00000000-0005-0000-0000-00002C000000}"/>
    <cellStyle name="표준 3 2 3 2 3" xfId="84" xr:uid="{00000000-0005-0000-0000-00002D000000}"/>
    <cellStyle name="표준 3 2 3 3" xfId="45" xr:uid="{00000000-0005-0000-0000-00002E000000}"/>
    <cellStyle name="표준 3 2 3 3 2" xfId="91" xr:uid="{00000000-0005-0000-0000-00002F000000}"/>
    <cellStyle name="표준 3 2 3 4" xfId="76" xr:uid="{00000000-0005-0000-0000-000030000000}"/>
    <cellStyle name="표준 3 2 4" xfId="35" xr:uid="{00000000-0005-0000-0000-000031000000}"/>
    <cellStyle name="표준 3 2 4 2" xfId="51" xr:uid="{00000000-0005-0000-0000-000032000000}"/>
    <cellStyle name="표준 3 2 4 2 2" xfId="97" xr:uid="{00000000-0005-0000-0000-000033000000}"/>
    <cellStyle name="표준 3 2 4 3" xfId="82" xr:uid="{00000000-0005-0000-0000-000034000000}"/>
    <cellStyle name="표준 3 2 5" xfId="43" xr:uid="{00000000-0005-0000-0000-000035000000}"/>
    <cellStyle name="표준 3 2 5 2" xfId="89" xr:uid="{00000000-0005-0000-0000-000036000000}"/>
    <cellStyle name="표준 3 2 6" xfId="25" xr:uid="{00000000-0005-0000-0000-000037000000}"/>
    <cellStyle name="표준 3 2 6 2" xfId="74" xr:uid="{00000000-0005-0000-0000-000038000000}"/>
    <cellStyle name="표준 3 2 7" xfId="72" xr:uid="{00000000-0005-0000-0000-000039000000}"/>
    <cellStyle name="표준 3 3" xfId="28" xr:uid="{00000000-0005-0000-0000-00003A000000}"/>
    <cellStyle name="표준 3 3 2" xfId="38" xr:uid="{00000000-0005-0000-0000-00003B000000}"/>
    <cellStyle name="표준 3 3 2 2" xfId="54" xr:uid="{00000000-0005-0000-0000-00003C000000}"/>
    <cellStyle name="표준 3 3 2 2 2" xfId="100" xr:uid="{00000000-0005-0000-0000-00003D000000}"/>
    <cellStyle name="표준 3 3 2 3" xfId="85" xr:uid="{00000000-0005-0000-0000-00003E000000}"/>
    <cellStyle name="표준 3 3 3" xfId="46" xr:uid="{00000000-0005-0000-0000-00003F000000}"/>
    <cellStyle name="표준 3 3 3 2" xfId="92" xr:uid="{00000000-0005-0000-0000-000040000000}"/>
    <cellStyle name="표준 3 3 4" xfId="77" xr:uid="{00000000-0005-0000-0000-000041000000}"/>
    <cellStyle name="표준 3 4" xfId="26" xr:uid="{00000000-0005-0000-0000-000042000000}"/>
    <cellStyle name="표준 3 4 2" xfId="36" xr:uid="{00000000-0005-0000-0000-000043000000}"/>
    <cellStyle name="표준 3 4 2 2" xfId="52" xr:uid="{00000000-0005-0000-0000-000044000000}"/>
    <cellStyle name="표준 3 4 2 2 2" xfId="98" xr:uid="{00000000-0005-0000-0000-000045000000}"/>
    <cellStyle name="표준 3 4 2 3" xfId="83" xr:uid="{00000000-0005-0000-0000-000046000000}"/>
    <cellStyle name="표준 3 4 3" xfId="44" xr:uid="{00000000-0005-0000-0000-000047000000}"/>
    <cellStyle name="표준 3 4 3 2" xfId="90" xr:uid="{00000000-0005-0000-0000-000048000000}"/>
    <cellStyle name="표준 3 4 4" xfId="75" xr:uid="{00000000-0005-0000-0000-000049000000}"/>
    <cellStyle name="표준 3 5" xfId="30" xr:uid="{00000000-0005-0000-0000-00004A000000}"/>
    <cellStyle name="표준 3 5 2" xfId="48" xr:uid="{00000000-0005-0000-0000-00004B000000}"/>
    <cellStyle name="표준 3 5 2 2" xfId="94" xr:uid="{00000000-0005-0000-0000-00004C000000}"/>
    <cellStyle name="표준 3 5 3" xfId="79" xr:uid="{00000000-0005-0000-0000-00004D000000}"/>
    <cellStyle name="표준 3 6" xfId="34" xr:uid="{00000000-0005-0000-0000-00004E000000}"/>
    <cellStyle name="표준 3 6 2" xfId="50" xr:uid="{00000000-0005-0000-0000-00004F000000}"/>
    <cellStyle name="표준 3 6 2 2" xfId="96" xr:uid="{00000000-0005-0000-0000-000050000000}"/>
    <cellStyle name="표준 3 6 3" xfId="81" xr:uid="{00000000-0005-0000-0000-000051000000}"/>
    <cellStyle name="표준 3 7" xfId="42" xr:uid="{00000000-0005-0000-0000-000052000000}"/>
    <cellStyle name="표준 3 7 2" xfId="88" xr:uid="{00000000-0005-0000-0000-000053000000}"/>
    <cellStyle name="표준 3 8" xfId="24" xr:uid="{00000000-0005-0000-0000-000054000000}"/>
    <cellStyle name="표준 3 8 2" xfId="73" xr:uid="{00000000-0005-0000-0000-000055000000}"/>
    <cellStyle name="표준 3 9" xfId="65" xr:uid="{00000000-0005-0000-0000-000056000000}"/>
    <cellStyle name="표준 4" xfId="22" xr:uid="{00000000-0005-0000-0000-000057000000}"/>
    <cellStyle name="표준 4 2" xfId="66" xr:uid="{00000000-0005-0000-0000-000058000000}"/>
    <cellStyle name="표준 5" xfId="32" xr:uid="{00000000-0005-0000-0000-000059000000}"/>
    <cellStyle name="표준 5 2" xfId="67" xr:uid="{00000000-0005-0000-0000-00005A000000}"/>
    <cellStyle name="표준 6" xfId="31" xr:uid="{00000000-0005-0000-0000-00005B000000}"/>
    <cellStyle name="표준 6 2" xfId="49" xr:uid="{00000000-0005-0000-0000-00005C000000}"/>
    <cellStyle name="표준 6 2 2" xfId="95" xr:uid="{00000000-0005-0000-0000-00005D000000}"/>
    <cellStyle name="표준 6 3" xfId="68" xr:uid="{00000000-0005-0000-0000-00005E000000}"/>
    <cellStyle name="표준 6 4" xfId="80" xr:uid="{00000000-0005-0000-0000-00005F000000}"/>
    <cellStyle name="표준 7" xfId="41" xr:uid="{00000000-0005-0000-0000-000060000000}"/>
    <cellStyle name="표준 7 2" xfId="69" xr:uid="{00000000-0005-0000-0000-000061000000}"/>
    <cellStyle name="표준 7 3" xfId="87" xr:uid="{00000000-0005-0000-0000-000062000000}"/>
    <cellStyle name="표준 8" xfId="70" xr:uid="{00000000-0005-0000-0000-000063000000}"/>
    <cellStyle name="표준 9" xfId="57" xr:uid="{00000000-0005-0000-0000-000064000000}"/>
    <cellStyle name="표준_2008년 03월 평택.당진항 항만운영통계" xfId="16" xr:uid="{00000000-0005-0000-0000-000065000000}"/>
    <cellStyle name="표준_부두별입출항 실적(03)" xfId="17" xr:uid="{00000000-0005-0000-0000-000066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2024.2.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113201331</c:v>
                </c:pt>
                <c:pt idx="1">
                  <c:v>106847350</c:v>
                </c:pt>
                <c:pt idx="2">
                  <c:v>116876152</c:v>
                </c:pt>
                <c:pt idx="3">
                  <c:v>116171568</c:v>
                </c:pt>
                <c:pt idx="4">
                  <c:v>116607017</c:v>
                </c:pt>
                <c:pt idx="5">
                  <c:v>19291339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4640"/>
        <c:axId val="46946944"/>
      </c:lineChart>
      <c:catAx>
        <c:axId val="469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946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4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2024.2.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725047</c:v>
                </c:pt>
                <c:pt idx="1">
                  <c:v>792643</c:v>
                </c:pt>
                <c:pt idx="2">
                  <c:v>936246</c:v>
                </c:pt>
                <c:pt idx="3">
                  <c:v>851953</c:v>
                </c:pt>
                <c:pt idx="4">
                  <c:v>820289</c:v>
                </c:pt>
                <c:pt idx="5">
                  <c:v>125029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9712"/>
        <c:axId val="201054464"/>
      </c:lineChart>
      <c:catAx>
        <c:axId val="14737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054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737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2024.2.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623733</c:v>
                </c:pt>
                <c:pt idx="1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1824"/>
        <c:axId val="144384000"/>
      </c:lineChart>
      <c:catAx>
        <c:axId val="1443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84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1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2024.2.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18416</c:v>
                </c:pt>
                <c:pt idx="1">
                  <c:v>17409</c:v>
                </c:pt>
                <c:pt idx="2">
                  <c:v>16473</c:v>
                </c:pt>
                <c:pt idx="3">
                  <c:v>16626</c:v>
                </c:pt>
                <c:pt idx="4">
                  <c:v>17324</c:v>
                </c:pt>
                <c:pt idx="5">
                  <c:v>2715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3728"/>
        <c:axId val="144395648"/>
      </c:lineChart>
      <c:catAx>
        <c:axId val="144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8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showGridLines="0" tabSelected="1" zoomScaleNormal="100" zoomScaleSheetLayoutView="110" workbookViewId="0">
      <selection activeCell="H17" sqref="H17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33" t="s">
        <v>107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5"/>
      <c r="N3" s="39"/>
      <c r="O3" s="39"/>
      <c r="P3" s="39"/>
    </row>
    <row r="4" spans="2:16" ht="21" customHeight="1">
      <c r="B4" s="121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36" t="s">
        <v>85</v>
      </c>
      <c r="L5" s="236"/>
      <c r="M5" s="236"/>
    </row>
    <row r="6" spans="2:16" ht="21" customHeight="1">
      <c r="B6" s="227" t="s">
        <v>7</v>
      </c>
      <c r="C6" s="228"/>
      <c r="D6" s="228"/>
      <c r="E6" s="74"/>
      <c r="F6" s="219" t="s">
        <v>101</v>
      </c>
      <c r="G6" s="219"/>
      <c r="H6" s="219" t="s">
        <v>102</v>
      </c>
      <c r="I6" s="219"/>
      <c r="J6" s="219" t="s">
        <v>15</v>
      </c>
      <c r="K6" s="219"/>
      <c r="L6" s="219"/>
      <c r="M6" s="226"/>
    </row>
    <row r="7" spans="2:16" ht="21" customHeight="1" thickBot="1">
      <c r="B7" s="229"/>
      <c r="C7" s="230"/>
      <c r="D7" s="230"/>
      <c r="E7" s="77" t="s">
        <v>11</v>
      </c>
      <c r="F7" s="78" t="s">
        <v>109</v>
      </c>
      <c r="G7" s="77" t="s">
        <v>110</v>
      </c>
      <c r="H7" s="77" t="s">
        <v>111</v>
      </c>
      <c r="I7" s="77" t="s">
        <v>112</v>
      </c>
      <c r="J7" s="77" t="s">
        <v>37</v>
      </c>
      <c r="K7" s="79" t="s">
        <v>16</v>
      </c>
      <c r="L7" s="80" t="s">
        <v>18</v>
      </c>
      <c r="M7" s="81" t="s">
        <v>16</v>
      </c>
    </row>
    <row r="8" spans="2:16" ht="20.100000000000001" customHeight="1" thickBot="1">
      <c r="B8" s="221" t="s">
        <v>19</v>
      </c>
      <c r="C8" s="224" t="s">
        <v>12</v>
      </c>
      <c r="D8" s="225"/>
      <c r="E8" s="87">
        <f>SUM(E9:E10)</f>
        <v>17324</v>
      </c>
      <c r="F8" s="87">
        <f>SUM(F9:F10)</f>
        <v>1364</v>
      </c>
      <c r="G8" s="87">
        <f>SUM(G9:G10)</f>
        <v>2758</v>
      </c>
      <c r="H8" s="87">
        <f>SUM(H9:H10)</f>
        <v>1259</v>
      </c>
      <c r="I8" s="87">
        <f>SUM(I9:I10)</f>
        <v>2715</v>
      </c>
      <c r="J8" s="87">
        <f>H8-F8</f>
        <v>-105</v>
      </c>
      <c r="K8" s="88">
        <f>H8/F8</f>
        <v>0.92302052785923749</v>
      </c>
      <c r="L8" s="89">
        <f>I8-G8</f>
        <v>-43</v>
      </c>
      <c r="M8" s="90">
        <f>I8/G8</f>
        <v>0.9844089920232052</v>
      </c>
    </row>
    <row r="9" spans="2:16" ht="20.100000000000001" customHeight="1">
      <c r="B9" s="222"/>
      <c r="C9" s="231" t="s">
        <v>9</v>
      </c>
      <c r="D9" s="231"/>
      <c r="E9" s="186">
        <v>10498</v>
      </c>
      <c r="F9" s="211">
        <v>844</v>
      </c>
      <c r="G9" s="82">
        <f>861+F9</f>
        <v>1705</v>
      </c>
      <c r="H9" s="82">
        <v>767</v>
      </c>
      <c r="I9" s="82">
        <v>1657</v>
      </c>
      <c r="J9" s="83">
        <f t="shared" ref="J9:J29" si="0">H9-F9</f>
        <v>-77</v>
      </c>
      <c r="K9" s="84">
        <f t="shared" ref="K9:K29" si="1">H9/F9</f>
        <v>0.90876777251184837</v>
      </c>
      <c r="L9" s="85">
        <f t="shared" ref="L9:L29" si="2">I9-G9</f>
        <v>-48</v>
      </c>
      <c r="M9" s="86">
        <f t="shared" ref="M9:M29" si="3">I9/G9</f>
        <v>0.97184750733137826</v>
      </c>
    </row>
    <row r="10" spans="2:16" ht="20.100000000000001" customHeight="1" thickBot="1">
      <c r="B10" s="222"/>
      <c r="C10" s="232" t="s">
        <v>10</v>
      </c>
      <c r="D10" s="232"/>
      <c r="E10" s="187">
        <v>6826</v>
      </c>
      <c r="F10" s="212">
        <v>520</v>
      </c>
      <c r="G10" s="91">
        <f>533+F10</f>
        <v>1053</v>
      </c>
      <c r="H10" s="91">
        <v>492</v>
      </c>
      <c r="I10" s="91">
        <v>1058</v>
      </c>
      <c r="J10" s="91">
        <f t="shared" si="0"/>
        <v>-28</v>
      </c>
      <c r="K10" s="92">
        <f t="shared" si="1"/>
        <v>0.94615384615384612</v>
      </c>
      <c r="L10" s="93">
        <f t="shared" si="2"/>
        <v>5</v>
      </c>
      <c r="M10" s="94">
        <f t="shared" si="3"/>
        <v>1.0047483380816715</v>
      </c>
      <c r="O10" t="s">
        <v>100</v>
      </c>
    </row>
    <row r="11" spans="2:16" ht="20.100000000000001" customHeight="1" thickBot="1">
      <c r="B11" s="221" t="s">
        <v>20</v>
      </c>
      <c r="C11" s="224" t="s">
        <v>8</v>
      </c>
      <c r="D11" s="225"/>
      <c r="E11" s="101">
        <f>E12+E16</f>
        <v>116607017</v>
      </c>
      <c r="F11" s="101">
        <f>F12+F16</f>
        <v>10177155</v>
      </c>
      <c r="G11" s="101">
        <f>G12+G16</f>
        <v>20641783</v>
      </c>
      <c r="H11" s="101">
        <f>H12+H16</f>
        <v>8890698</v>
      </c>
      <c r="I11" s="101">
        <f>I12+I16</f>
        <v>19291339</v>
      </c>
      <c r="J11" s="101">
        <f t="shared" si="0"/>
        <v>-1286457</v>
      </c>
      <c r="K11" s="88">
        <f t="shared" si="1"/>
        <v>0.87359365166394731</v>
      </c>
      <c r="L11" s="102">
        <f>I11-G11</f>
        <v>-1350444</v>
      </c>
      <c r="M11" s="90">
        <f t="shared" si="3"/>
        <v>0.93457716322277007</v>
      </c>
    </row>
    <row r="12" spans="2:16" ht="20.100000000000001" customHeight="1">
      <c r="B12" s="222"/>
      <c r="C12" s="231" t="s">
        <v>1</v>
      </c>
      <c r="D12" s="95" t="s">
        <v>0</v>
      </c>
      <c r="E12" s="96">
        <f>SUM(E13:E15)</f>
        <v>105503891</v>
      </c>
      <c r="F12" s="96">
        <f>SUM(F13:F15)</f>
        <v>9384046</v>
      </c>
      <c r="G12" s="96">
        <f>SUM(G13:G15)</f>
        <v>18986535</v>
      </c>
      <c r="H12" s="96">
        <f>SUM(H13:H15)</f>
        <v>8020897</v>
      </c>
      <c r="I12" s="96">
        <f>SUM(I13:I15)</f>
        <v>17485214</v>
      </c>
      <c r="J12" s="97">
        <f t="shared" si="0"/>
        <v>-1363149</v>
      </c>
      <c r="K12" s="98">
        <f t="shared" si="1"/>
        <v>0.85473760465368565</v>
      </c>
      <c r="L12" s="99">
        <f>I12-G12</f>
        <v>-1501321</v>
      </c>
      <c r="M12" s="100">
        <f t="shared" si="3"/>
        <v>0.92092706752443243</v>
      </c>
    </row>
    <row r="13" spans="2:16" ht="20.100000000000001" customHeight="1">
      <c r="B13" s="222"/>
      <c r="C13" s="220"/>
      <c r="D13" s="62" t="s">
        <v>5</v>
      </c>
      <c r="E13" s="188">
        <v>85548211</v>
      </c>
      <c r="F13" s="206">
        <v>7769114</v>
      </c>
      <c r="G13" s="190">
        <f>7999152+F13</f>
        <v>15768266</v>
      </c>
      <c r="H13" s="206">
        <f>565701+6002130</f>
        <v>6567831</v>
      </c>
      <c r="I13" s="190">
        <f>7893246+H13</f>
        <v>14461077</v>
      </c>
      <c r="J13" s="57">
        <f t="shared" si="0"/>
        <v>-1201283</v>
      </c>
      <c r="K13" s="54">
        <f t="shared" si="1"/>
        <v>0.84537709190520305</v>
      </c>
      <c r="L13" s="64">
        <f>I13-G13</f>
        <v>-1307189</v>
      </c>
      <c r="M13" s="68">
        <f t="shared" si="3"/>
        <v>0.9171000159434145</v>
      </c>
      <c r="O13" s="29"/>
    </row>
    <row r="14" spans="2:16" ht="20.100000000000001" customHeight="1">
      <c r="B14" s="222"/>
      <c r="C14" s="220"/>
      <c r="D14" s="62" t="s">
        <v>6</v>
      </c>
      <c r="E14" s="189">
        <v>17063258</v>
      </c>
      <c r="F14" s="206">
        <v>1403632</v>
      </c>
      <c r="G14" s="190">
        <f>1272939+F14</f>
        <v>2676571</v>
      </c>
      <c r="H14" s="206">
        <f>242249+972827</f>
        <v>1215076</v>
      </c>
      <c r="I14" s="190">
        <f>1298611+H14</f>
        <v>2513687</v>
      </c>
      <c r="J14" s="57">
        <f t="shared" si="0"/>
        <v>-188556</v>
      </c>
      <c r="K14" s="54">
        <f t="shared" si="1"/>
        <v>0.86566564455640793</v>
      </c>
      <c r="L14" s="64">
        <f t="shared" si="2"/>
        <v>-162884</v>
      </c>
      <c r="M14" s="68">
        <f t="shared" si="3"/>
        <v>0.93914452484167243</v>
      </c>
    </row>
    <row r="15" spans="2:16" ht="20.100000000000001" customHeight="1">
      <c r="B15" s="222"/>
      <c r="C15" s="220"/>
      <c r="D15" s="62" t="s">
        <v>13</v>
      </c>
      <c r="E15" s="189">
        <v>2892422</v>
      </c>
      <c r="F15" s="206">
        <v>211300</v>
      </c>
      <c r="G15" s="190">
        <f>330398+F15</f>
        <v>541698</v>
      </c>
      <c r="H15" s="206">
        <f>7457+90008+8258+132267</f>
        <v>237990</v>
      </c>
      <c r="I15" s="190">
        <f>272460+H15</f>
        <v>510450</v>
      </c>
      <c r="J15" s="57">
        <f t="shared" si="0"/>
        <v>26690</v>
      </c>
      <c r="K15" s="54">
        <f>H15/F15</f>
        <v>1.1263132986275437</v>
      </c>
      <c r="L15" s="64">
        <f t="shared" si="2"/>
        <v>-31248</v>
      </c>
      <c r="M15" s="68">
        <f t="shared" si="3"/>
        <v>0.94231472148688011</v>
      </c>
    </row>
    <row r="16" spans="2:16" ht="20.100000000000001" customHeight="1">
      <c r="B16" s="222"/>
      <c r="C16" s="220" t="s">
        <v>2</v>
      </c>
      <c r="D16" s="60" t="s">
        <v>0</v>
      </c>
      <c r="E16" s="59">
        <f>SUM(E17:E19)</f>
        <v>11103126</v>
      </c>
      <c r="F16" s="59">
        <f>SUM(F17:F19)</f>
        <v>793109</v>
      </c>
      <c r="G16" s="59">
        <f>SUM(G17:G19)</f>
        <v>1655248</v>
      </c>
      <c r="H16" s="59">
        <f>SUM(H17:H19)</f>
        <v>869801</v>
      </c>
      <c r="I16" s="59">
        <f>SUM(I17:I19)</f>
        <v>1806125</v>
      </c>
      <c r="J16" s="52">
        <f t="shared" si="0"/>
        <v>76692</v>
      </c>
      <c r="K16" s="53">
        <f t="shared" si="1"/>
        <v>1.0966979318101295</v>
      </c>
      <c r="L16" s="61">
        <f t="shared" si="2"/>
        <v>150877</v>
      </c>
      <c r="M16" s="69">
        <f t="shared" si="3"/>
        <v>1.0911506916184162</v>
      </c>
    </row>
    <row r="17" spans="2:13" ht="20.100000000000001" customHeight="1">
      <c r="B17" s="222"/>
      <c r="C17" s="220"/>
      <c r="D17" s="62" t="s">
        <v>3</v>
      </c>
      <c r="E17" s="191">
        <v>7713381</v>
      </c>
      <c r="F17" s="207">
        <v>483573</v>
      </c>
      <c r="G17" s="190">
        <f>611095+F17</f>
        <v>1094668</v>
      </c>
      <c r="H17" s="207">
        <v>600575</v>
      </c>
      <c r="I17" s="190">
        <f>643528+H17</f>
        <v>1244103</v>
      </c>
      <c r="J17" s="57">
        <f t="shared" si="0"/>
        <v>117002</v>
      </c>
      <c r="K17" s="54">
        <f t="shared" si="1"/>
        <v>1.2419531280695986</v>
      </c>
      <c r="L17" s="64">
        <f t="shared" si="2"/>
        <v>149435</v>
      </c>
      <c r="M17" s="68">
        <f t="shared" si="3"/>
        <v>1.1365117094863466</v>
      </c>
    </row>
    <row r="18" spans="2:13" ht="20.100000000000001" customHeight="1">
      <c r="B18" s="222"/>
      <c r="C18" s="220"/>
      <c r="D18" s="62" t="s">
        <v>4</v>
      </c>
      <c r="E18" s="191">
        <v>3389745</v>
      </c>
      <c r="F18" s="207">
        <v>309536</v>
      </c>
      <c r="G18" s="190">
        <f>251044+F18</f>
        <v>560580</v>
      </c>
      <c r="H18" s="207">
        <v>269226</v>
      </c>
      <c r="I18" s="190">
        <f>292796+H18</f>
        <v>562022</v>
      </c>
      <c r="J18" s="57">
        <f t="shared" si="0"/>
        <v>-40310</v>
      </c>
      <c r="K18" s="54">
        <f t="shared" si="1"/>
        <v>0.86977282125503985</v>
      </c>
      <c r="L18" s="64">
        <f t="shared" si="2"/>
        <v>1442</v>
      </c>
      <c r="M18" s="68">
        <f t="shared" si="3"/>
        <v>1.0025723357950693</v>
      </c>
    </row>
    <row r="19" spans="2:13" ht="20.100000000000001" customHeight="1">
      <c r="B19" s="222"/>
      <c r="C19" s="220"/>
      <c r="D19" s="62" t="s">
        <v>17</v>
      </c>
      <c r="E19" s="190">
        <v>0</v>
      </c>
      <c r="F19" s="63">
        <v>0</v>
      </c>
      <c r="G19" s="190">
        <v>0</v>
      </c>
      <c r="H19" s="63">
        <v>0</v>
      </c>
      <c r="I19" s="190">
        <v>0</v>
      </c>
      <c r="J19" s="65">
        <f t="shared" si="0"/>
        <v>0</v>
      </c>
      <c r="K19" s="66">
        <v>0</v>
      </c>
      <c r="L19" s="67">
        <f t="shared" si="2"/>
        <v>0</v>
      </c>
      <c r="M19" s="68" t="s">
        <v>75</v>
      </c>
    </row>
    <row r="20" spans="2:13" ht="20.100000000000001" customHeight="1" thickBot="1">
      <c r="B20" s="75"/>
      <c r="C20" s="103"/>
      <c r="D20" s="202"/>
      <c r="E20" s="104"/>
      <c r="F20" s="105"/>
      <c r="G20" s="105"/>
      <c r="H20" s="105"/>
      <c r="I20" s="104"/>
      <c r="J20" s="106"/>
      <c r="K20" s="216" t="s">
        <v>21</v>
      </c>
      <c r="L20" s="217"/>
      <c r="M20" s="218"/>
    </row>
    <row r="21" spans="2:13" ht="20.100000000000001" customHeight="1" thickBot="1">
      <c r="B21" s="223" t="s">
        <v>86</v>
      </c>
      <c r="C21" s="224" t="s">
        <v>8</v>
      </c>
      <c r="D21" s="225"/>
      <c r="E21" s="109">
        <f>SUM(E22,E26)</f>
        <v>820289</v>
      </c>
      <c r="F21" s="110">
        <f>SUM(F22,F26)</f>
        <v>61176.25</v>
      </c>
      <c r="G21" s="110">
        <f>SUM(G22,G26)</f>
        <v>123228.25</v>
      </c>
      <c r="H21" s="109">
        <f>SUM(H22,H26)</f>
        <v>54795</v>
      </c>
      <c r="I21" s="109">
        <f>SUM(I22,I26)</f>
        <v>125029</v>
      </c>
      <c r="J21" s="111">
        <f t="shared" si="0"/>
        <v>-6381.25</v>
      </c>
      <c r="K21" s="112">
        <f t="shared" si="1"/>
        <v>0.89569072965407326</v>
      </c>
      <c r="L21" s="113">
        <f t="shared" si="2"/>
        <v>1800.75</v>
      </c>
      <c r="M21" s="90">
        <f>I21/G21</f>
        <v>1.0146131264543641</v>
      </c>
    </row>
    <row r="22" spans="2:13" ht="20.100000000000001" customHeight="1">
      <c r="B22" s="222"/>
      <c r="C22" s="231" t="s">
        <v>1</v>
      </c>
      <c r="D22" s="95" t="s">
        <v>0</v>
      </c>
      <c r="E22" s="95">
        <f>SUM(E23:E25)</f>
        <v>820289</v>
      </c>
      <c r="F22" s="95">
        <f>SUM(F23:F25)</f>
        <v>61176.25</v>
      </c>
      <c r="G22" s="95">
        <f>SUM(G23:G25)</f>
        <v>123228.25</v>
      </c>
      <c r="H22" s="95">
        <f>SUM(H23:H25)</f>
        <v>54795</v>
      </c>
      <c r="I22" s="95">
        <f>SUM(I23:I25)</f>
        <v>125029</v>
      </c>
      <c r="J22" s="97">
        <f t="shared" si="0"/>
        <v>-6381.25</v>
      </c>
      <c r="K22" s="107">
        <f t="shared" si="1"/>
        <v>0.89569072965407326</v>
      </c>
      <c r="L22" s="108">
        <f t="shared" si="2"/>
        <v>1800.75</v>
      </c>
      <c r="M22" s="100">
        <f t="shared" si="3"/>
        <v>1.0146131264543641</v>
      </c>
    </row>
    <row r="23" spans="2:13" ht="20.100000000000001" customHeight="1">
      <c r="B23" s="222"/>
      <c r="C23" s="220"/>
      <c r="D23" s="71" t="s">
        <v>5</v>
      </c>
      <c r="E23" s="205">
        <v>406783</v>
      </c>
      <c r="F23" s="208">
        <v>29555.5</v>
      </c>
      <c r="G23" s="72">
        <f>31590+F23</f>
        <v>61145.5</v>
      </c>
      <c r="H23" s="208">
        <v>27327</v>
      </c>
      <c r="I23" s="201">
        <f>35580+H23</f>
        <v>62907</v>
      </c>
      <c r="J23" s="57">
        <f t="shared" si="0"/>
        <v>-2228.5</v>
      </c>
      <c r="K23" s="56">
        <f t="shared" si="1"/>
        <v>0.92459948232985401</v>
      </c>
      <c r="L23" s="58">
        <f t="shared" si="2"/>
        <v>1761.5</v>
      </c>
      <c r="M23" s="68">
        <f t="shared" si="3"/>
        <v>1.0288083342191985</v>
      </c>
    </row>
    <row r="24" spans="2:13" ht="20.100000000000001" customHeight="1">
      <c r="B24" s="222"/>
      <c r="C24" s="220"/>
      <c r="D24" s="70" t="s">
        <v>14</v>
      </c>
      <c r="E24" s="192">
        <v>405018</v>
      </c>
      <c r="F24" s="209">
        <v>31053.75</v>
      </c>
      <c r="G24" s="72">
        <f>29105+F24</f>
        <v>60158.75</v>
      </c>
      <c r="H24" s="209">
        <v>26813</v>
      </c>
      <c r="I24" s="201">
        <f>33747+H24</f>
        <v>60560</v>
      </c>
      <c r="J24" s="57">
        <f t="shared" si="0"/>
        <v>-4240.75</v>
      </c>
      <c r="K24" s="56">
        <f t="shared" si="1"/>
        <v>0.86343839310872272</v>
      </c>
      <c r="L24" s="55">
        <f t="shared" si="2"/>
        <v>401.25</v>
      </c>
      <c r="M24" s="68">
        <f t="shared" si="3"/>
        <v>1.006669852681447</v>
      </c>
    </row>
    <row r="25" spans="2:13" ht="20.100000000000001" customHeight="1">
      <c r="B25" s="222"/>
      <c r="C25" s="220"/>
      <c r="D25" s="70" t="s">
        <v>13</v>
      </c>
      <c r="E25" s="201">
        <v>8488</v>
      </c>
      <c r="F25" s="210">
        <v>567</v>
      </c>
      <c r="G25" s="201">
        <f>1357+F25</f>
        <v>1924</v>
      </c>
      <c r="H25" s="210">
        <f>305+350</f>
        <v>655</v>
      </c>
      <c r="I25" s="201">
        <f>907+H25</f>
        <v>1562</v>
      </c>
      <c r="J25" s="57">
        <f t="shared" si="0"/>
        <v>88</v>
      </c>
      <c r="K25" s="56">
        <f t="shared" si="1"/>
        <v>1.1552028218694885</v>
      </c>
      <c r="L25" s="55">
        <f t="shared" si="2"/>
        <v>-362</v>
      </c>
      <c r="M25" s="68">
        <f t="shared" si="3"/>
        <v>0.81185031185031187</v>
      </c>
    </row>
    <row r="26" spans="2:13" ht="20.100000000000001" customHeight="1">
      <c r="B26" s="222"/>
      <c r="C26" s="220" t="s">
        <v>2</v>
      </c>
      <c r="D26" s="62" t="s">
        <v>49</v>
      </c>
      <c r="E26" s="66">
        <f>SUM(E27:E28)</f>
        <v>0</v>
      </c>
      <c r="F26" s="66">
        <f>SUM(F27:F28)</f>
        <v>0</v>
      </c>
      <c r="G26" s="66">
        <f>SUM(G27:G28)</f>
        <v>0</v>
      </c>
      <c r="H26" s="66">
        <v>0</v>
      </c>
      <c r="I26" s="66">
        <f>SUM(I27:I28)</f>
        <v>0</v>
      </c>
      <c r="J26" s="73">
        <f t="shared" si="0"/>
        <v>0</v>
      </c>
      <c r="K26" s="66">
        <v>0</v>
      </c>
      <c r="L26" s="55">
        <f t="shared" si="2"/>
        <v>0</v>
      </c>
      <c r="M26" s="76">
        <v>0</v>
      </c>
    </row>
    <row r="27" spans="2:13" ht="20.100000000000001" customHeight="1">
      <c r="B27" s="222"/>
      <c r="C27" s="220"/>
      <c r="D27" s="62" t="s">
        <v>49</v>
      </c>
      <c r="E27" s="71">
        <v>0</v>
      </c>
      <c r="F27" s="71">
        <v>0</v>
      </c>
      <c r="G27" s="71">
        <v>0</v>
      </c>
      <c r="H27" s="71">
        <v>0</v>
      </c>
      <c r="I27" s="71">
        <v>0</v>
      </c>
      <c r="J27" s="73">
        <f t="shared" si="0"/>
        <v>0</v>
      </c>
      <c r="K27" s="66">
        <v>0</v>
      </c>
      <c r="L27" s="55">
        <f t="shared" si="2"/>
        <v>0</v>
      </c>
      <c r="M27" s="76">
        <v>0</v>
      </c>
    </row>
    <row r="28" spans="2:13" ht="20.100000000000001" customHeight="1" thickBot="1">
      <c r="B28" s="222"/>
      <c r="C28" s="220"/>
      <c r="D28" s="62" t="s">
        <v>49</v>
      </c>
      <c r="E28" s="114">
        <v>0</v>
      </c>
      <c r="F28" s="114">
        <v>0</v>
      </c>
      <c r="G28" s="114">
        <v>0</v>
      </c>
      <c r="H28" s="114">
        <v>0</v>
      </c>
      <c r="I28" s="114">
        <v>0</v>
      </c>
      <c r="J28" s="115">
        <f t="shared" si="0"/>
        <v>0</v>
      </c>
      <c r="K28" s="116">
        <v>0</v>
      </c>
      <c r="L28" s="117">
        <f t="shared" si="2"/>
        <v>0</v>
      </c>
      <c r="M28" s="118">
        <v>0</v>
      </c>
    </row>
    <row r="29" spans="2:13" s="27" customFormat="1" ht="20.100000000000001" customHeight="1" thickBot="1">
      <c r="B29" s="213" t="s">
        <v>47</v>
      </c>
      <c r="C29" s="214"/>
      <c r="D29" s="215"/>
      <c r="E29" s="119">
        <v>1616558</v>
      </c>
      <c r="F29" s="120">
        <v>152953</v>
      </c>
      <c r="G29" s="120">
        <v>152953</v>
      </c>
      <c r="H29" s="120">
        <v>128190</v>
      </c>
      <c r="I29" s="120">
        <v>128190</v>
      </c>
      <c r="J29" s="111">
        <f t="shared" si="0"/>
        <v>-24763</v>
      </c>
      <c r="K29" s="88">
        <f t="shared" si="1"/>
        <v>0.83810059299261863</v>
      </c>
      <c r="L29" s="89">
        <f t="shared" si="2"/>
        <v>-24763</v>
      </c>
      <c r="M29" s="90">
        <f t="shared" si="3"/>
        <v>0.83810059299261863</v>
      </c>
    </row>
    <row r="30" spans="2:13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B3:M3"/>
    <mergeCell ref="F6:G6"/>
    <mergeCell ref="K5:M5"/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</mergeCells>
  <phoneticPr fontId="8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32"/>
  <sheetViews>
    <sheetView showGridLines="0" topLeftCell="A4" zoomScaleNormal="100" workbookViewId="0">
      <selection activeCell="P10" sqref="P10"/>
    </sheetView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37" t="s">
        <v>87</v>
      </c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40" t="s">
        <v>50</v>
      </c>
      <c r="H5" s="240"/>
      <c r="I5" s="43"/>
      <c r="J5"/>
      <c r="K5"/>
      <c r="L5"/>
      <c r="M5" s="42"/>
      <c r="N5" s="42"/>
      <c r="O5" s="240" t="s">
        <v>88</v>
      </c>
      <c r="P5" s="240"/>
    </row>
    <row r="6" spans="2:29" s="12" customFormat="1" ht="32.25" customHeight="1">
      <c r="B6" s="168" t="s">
        <v>94</v>
      </c>
      <c r="C6" s="169">
        <v>2019</v>
      </c>
      <c r="D6" s="169">
        <v>2020</v>
      </c>
      <c r="E6" s="169">
        <v>2021</v>
      </c>
      <c r="F6" s="176">
        <v>2022</v>
      </c>
      <c r="G6" s="176">
        <v>2023</v>
      </c>
      <c r="H6" s="178" t="s">
        <v>106</v>
      </c>
      <c r="I6" s="47"/>
      <c r="J6" s="168" t="s">
        <v>94</v>
      </c>
      <c r="K6" s="169">
        <v>2019</v>
      </c>
      <c r="L6" s="169">
        <v>2020</v>
      </c>
      <c r="M6" s="169">
        <v>2021</v>
      </c>
      <c r="N6" s="176">
        <v>2022</v>
      </c>
      <c r="O6" s="176">
        <v>2023</v>
      </c>
      <c r="P6" s="181" t="str">
        <f>$H$6</f>
        <v>2024.2.</v>
      </c>
    </row>
    <row r="7" spans="2:29" s="12" customFormat="1" ht="39.200000000000003" customHeight="1" thickBot="1">
      <c r="B7" s="170" t="s">
        <v>92</v>
      </c>
      <c r="C7" s="171">
        <v>18416</v>
      </c>
      <c r="D7" s="171">
        <v>17409</v>
      </c>
      <c r="E7" s="171">
        <v>16473</v>
      </c>
      <c r="F7" s="177">
        <v>16626</v>
      </c>
      <c r="G7" s="177">
        <v>17324</v>
      </c>
      <c r="H7" s="179">
        <f>통계요약!I8</f>
        <v>2715</v>
      </c>
      <c r="I7" s="48"/>
      <c r="J7" s="172" t="s">
        <v>91</v>
      </c>
      <c r="K7" s="173">
        <v>113201331</v>
      </c>
      <c r="L7" s="173">
        <v>106847350</v>
      </c>
      <c r="M7" s="173">
        <v>116876152</v>
      </c>
      <c r="N7" s="180">
        <v>116171568</v>
      </c>
      <c r="O7" s="204">
        <f>통계요약!E11</f>
        <v>116607017</v>
      </c>
      <c r="P7" s="182">
        <f>통계요약!I11</f>
        <v>19291339</v>
      </c>
    </row>
    <row r="8" spans="2:29" s="12" customFormat="1" ht="21" customHeight="1" thickBot="1">
      <c r="B8"/>
      <c r="C8"/>
      <c r="D8"/>
      <c r="E8" s="42"/>
      <c r="F8" s="42"/>
      <c r="G8" s="240" t="s">
        <v>89</v>
      </c>
      <c r="H8" s="240"/>
      <c r="I8" s="43"/>
      <c r="J8" s="13"/>
      <c r="K8" s="14"/>
      <c r="L8" s="14"/>
      <c r="M8" s="42"/>
      <c r="N8" s="42"/>
      <c r="O8" s="240" t="s">
        <v>90</v>
      </c>
      <c r="P8" s="240"/>
    </row>
    <row r="9" spans="2:29" s="12" customFormat="1" ht="32.25" customHeight="1">
      <c r="B9" s="168" t="s">
        <v>94</v>
      </c>
      <c r="C9" s="169">
        <v>2019</v>
      </c>
      <c r="D9" s="169">
        <v>2020</v>
      </c>
      <c r="E9" s="169">
        <v>2021</v>
      </c>
      <c r="F9" s="176">
        <v>2022</v>
      </c>
      <c r="G9" s="176">
        <v>2023</v>
      </c>
      <c r="H9" s="181" t="str">
        <f>$H$6</f>
        <v>2024.2.</v>
      </c>
      <c r="I9" s="49"/>
      <c r="J9" s="168" t="s">
        <v>94</v>
      </c>
      <c r="K9" s="169">
        <v>2019</v>
      </c>
      <c r="L9" s="169">
        <v>2020</v>
      </c>
      <c r="M9" s="169">
        <v>2021</v>
      </c>
      <c r="N9" s="176">
        <v>2022</v>
      </c>
      <c r="O9" s="176">
        <v>2023</v>
      </c>
      <c r="P9" s="181" t="str">
        <f>$H$6</f>
        <v>2024.2.</v>
      </c>
    </row>
    <row r="10" spans="2:29" s="12" customFormat="1" ht="37.5" customHeight="1" thickBot="1">
      <c r="B10" s="174" t="s">
        <v>22</v>
      </c>
      <c r="C10" s="175">
        <v>725047</v>
      </c>
      <c r="D10" s="175">
        <v>792643</v>
      </c>
      <c r="E10" s="175">
        <v>936246</v>
      </c>
      <c r="F10" s="183">
        <v>851953</v>
      </c>
      <c r="G10" s="177">
        <v>820289</v>
      </c>
      <c r="H10" s="184">
        <f>통계요약!I21</f>
        <v>125029</v>
      </c>
      <c r="I10" s="50"/>
      <c r="J10" s="174" t="s">
        <v>93</v>
      </c>
      <c r="K10" s="171">
        <v>623733</v>
      </c>
      <c r="L10" s="171">
        <v>40267</v>
      </c>
      <c r="M10" s="171">
        <v>0</v>
      </c>
      <c r="N10" s="177">
        <v>0</v>
      </c>
      <c r="O10" s="177">
        <v>0</v>
      </c>
      <c r="P10" s="184"/>
      <c r="S10" s="26" t="s">
        <v>105</v>
      </c>
      <c r="AC10" s="26"/>
    </row>
    <row r="11" spans="2:29" ht="21" customHeight="1"/>
    <row r="12" spans="2:29" s="19" customFormat="1" ht="21" customHeight="1">
      <c r="B12" s="239" t="s">
        <v>98</v>
      </c>
      <c r="C12" s="239"/>
      <c r="D12" s="239"/>
      <c r="I12" s="51"/>
    </row>
    <row r="13" spans="2:29" s="12" customFormat="1" ht="21" customHeight="1">
      <c r="B13" s="238" t="s">
        <v>95</v>
      </c>
      <c r="C13" s="238"/>
      <c r="I13" s="46"/>
      <c r="J13" s="238" t="s">
        <v>96</v>
      </c>
      <c r="K13" s="238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38" t="s">
        <v>97</v>
      </c>
      <c r="C23" s="238"/>
      <c r="I23" s="46"/>
      <c r="J23" s="238" t="s">
        <v>99</v>
      </c>
      <c r="K23" s="238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19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4"/>
  <sheetViews>
    <sheetView showGridLines="0" zoomScale="90" zoomScaleNormal="90" workbookViewId="0">
      <selection activeCell="F38" sqref="F38"/>
    </sheetView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33" t="s">
        <v>108</v>
      </c>
      <c r="C3" s="234"/>
      <c r="D3" s="234"/>
      <c r="E3" s="234"/>
      <c r="F3" s="234"/>
      <c r="G3" s="234"/>
      <c r="H3" s="234"/>
      <c r="I3" s="234"/>
      <c r="J3" s="234"/>
      <c r="K3" s="234"/>
      <c r="L3" s="235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41" t="s">
        <v>23</v>
      </c>
      <c r="C6" s="249" t="s">
        <v>24</v>
      </c>
      <c r="D6" s="247" t="s">
        <v>103</v>
      </c>
      <c r="E6" s="247"/>
      <c r="F6" s="247"/>
      <c r="G6" s="247" t="s">
        <v>104</v>
      </c>
      <c r="H6" s="247"/>
      <c r="I6" s="247" t="s">
        <v>25</v>
      </c>
      <c r="J6" s="247"/>
      <c r="K6" s="247"/>
      <c r="L6" s="248"/>
      <c r="X6" s="20" t="s">
        <v>84</v>
      </c>
    </row>
    <row r="7" spans="1:35" ht="21.95" customHeight="1" thickBot="1">
      <c r="B7" s="242"/>
      <c r="C7" s="250"/>
      <c r="D7" s="140" t="s">
        <v>26</v>
      </c>
      <c r="E7" s="140" t="str">
        <f>통계요약!F7</f>
        <v>2월(A)</v>
      </c>
      <c r="F7" s="140" t="str">
        <f>통계요약!G7</f>
        <v xml:space="preserve"> 2월누계(B) </v>
      </c>
      <c r="G7" s="141" t="str">
        <f>통계요약!H7</f>
        <v>2월(C)</v>
      </c>
      <c r="H7" s="140" t="str">
        <f>통계요약!I7</f>
        <v xml:space="preserve"> 2월누계(D) </v>
      </c>
      <c r="I7" s="140" t="s">
        <v>27</v>
      </c>
      <c r="J7" s="142" t="s">
        <v>28</v>
      </c>
      <c r="K7" s="143" t="s">
        <v>29</v>
      </c>
      <c r="L7" s="144" t="s">
        <v>28</v>
      </c>
    </row>
    <row r="8" spans="1:35" ht="21.95" customHeight="1">
      <c r="B8" s="243" t="s">
        <v>30</v>
      </c>
      <c r="C8" s="145" t="s">
        <v>31</v>
      </c>
      <c r="D8" s="146">
        <f>SUM(D10,D12,D14,D16,D18,D20,D22,D26,D24,D30,D32,D34,D36,D28)</f>
        <v>820289</v>
      </c>
      <c r="E8" s="146">
        <f>SUM(E10,E12,E14,E16,E18,E20,E22,E26,E24,E30,E32,E34,E36,E28)</f>
        <v>61176</v>
      </c>
      <c r="F8" s="146">
        <f>SUM(F10,F12,F14,F16,F18,F20,F22,F26,F24,F30,F32,F34,F36,F28)</f>
        <v>123229</v>
      </c>
      <c r="G8" s="146">
        <f>SUM(G10,G12,G14,G16,G18,G20,G22,G26,G24,G30,G32,G34,G36,G28,)</f>
        <v>54794</v>
      </c>
      <c r="H8" s="147">
        <f>SUM(H10,H12,H14,H16,H18,H20,H22,H26,H24,H30,H32,H34,H36,H28,)</f>
        <v>125027</v>
      </c>
      <c r="I8" s="148">
        <f t="shared" ref="I8:I9" si="0">G8-E8</f>
        <v>-6382</v>
      </c>
      <c r="J8" s="149">
        <f t="shared" ref="J8:J9" si="1">(G8/E8*100)-100</f>
        <v>-10.432195632274102</v>
      </c>
      <c r="K8" s="150">
        <f t="shared" ref="K8:K9" si="2">H8-F8</f>
        <v>1798</v>
      </c>
      <c r="L8" s="151">
        <f t="shared" ref="L8:L9" si="3">(H8/F8*100)-100</f>
        <v>1.4590721339944253</v>
      </c>
    </row>
    <row r="9" spans="1:35" ht="21.95" customHeight="1" thickBot="1">
      <c r="B9" s="244"/>
      <c r="C9" s="152" t="s">
        <v>32</v>
      </c>
      <c r="D9" s="153">
        <f>SUM(D11,D13,D15,D17,D19,D21,D23,D25,D27,D31,D33,D35,D37,D29)</f>
        <v>12332332</v>
      </c>
      <c r="E9" s="153">
        <f>SUM(E11,E13,E15,E17,E19,E21,E23,E25,E27,E31,E33,E35,E37,E29)</f>
        <v>905063</v>
      </c>
      <c r="F9" s="153">
        <f>SUM(F11,F13,F15,F17,F19,F21,F23,F25,F27,F31,F33,F35,F37,F29)</f>
        <v>1839282</v>
      </c>
      <c r="G9" s="153">
        <f>SUM(G11,G13,G15,G17,G19,G21,G23,G25,G27,G31,G33,G35,G37,G29)</f>
        <v>823665</v>
      </c>
      <c r="H9" s="154">
        <f>SUM(H11,H13,H15,H17,H19,H21,H23,H25,H27,H31,H33,H35,H37,H29)</f>
        <v>1904512</v>
      </c>
      <c r="I9" s="155">
        <f t="shared" si="0"/>
        <v>-81398</v>
      </c>
      <c r="J9" s="156">
        <f t="shared" si="1"/>
        <v>-8.9936280678803513</v>
      </c>
      <c r="K9" s="157">
        <f t="shared" si="2"/>
        <v>65230</v>
      </c>
      <c r="L9" s="158">
        <f t="shared" si="3"/>
        <v>3.5464925987423328</v>
      </c>
    </row>
    <row r="10" spans="1:35" ht="21.2" customHeight="1">
      <c r="B10" s="245" t="s">
        <v>33</v>
      </c>
      <c r="C10" s="193" t="s">
        <v>31</v>
      </c>
      <c r="D10" s="194">
        <v>55094</v>
      </c>
      <c r="E10" s="195">
        <v>4913</v>
      </c>
      <c r="F10" s="195">
        <v>8538</v>
      </c>
      <c r="G10" s="196">
        <v>3935</v>
      </c>
      <c r="H10" s="196">
        <f>4033+G10</f>
        <v>7968</v>
      </c>
      <c r="I10" s="197">
        <f>IFERROR(G10-E10,"-")</f>
        <v>-978</v>
      </c>
      <c r="J10" s="198">
        <f>IFERROR((G10/E10*100)-100,"-")</f>
        <v>-19.906370852839402</v>
      </c>
      <c r="K10" s="199">
        <f>IFERROR(H10-F10,"-")</f>
        <v>-570</v>
      </c>
      <c r="L10" s="200">
        <f>IFERROR((H10/F10*100)-100,"-")</f>
        <v>-6.6760365425158028</v>
      </c>
      <c r="M10" s="30"/>
      <c r="O10" s="20" t="s">
        <v>51</v>
      </c>
      <c r="U10" s="185"/>
      <c r="V10" s="185"/>
    </row>
    <row r="11" spans="1:35" ht="21.2" customHeight="1">
      <c r="B11" s="246"/>
      <c r="C11" s="123" t="s">
        <v>32</v>
      </c>
      <c r="D11" s="124">
        <v>1043982</v>
      </c>
      <c r="E11" s="125">
        <v>92181</v>
      </c>
      <c r="F11" s="125">
        <v>160866</v>
      </c>
      <c r="G11" s="126">
        <v>70610</v>
      </c>
      <c r="H11" s="126">
        <f>76632+G11</f>
        <v>147242</v>
      </c>
      <c r="I11" s="127">
        <f t="shared" ref="I11:I37" si="4">IFERROR(G11-E11,"-")</f>
        <v>-21571</v>
      </c>
      <c r="J11" s="128">
        <f t="shared" ref="J11:J37" si="5">IFERROR((G11/E11*100)-100,"-")</f>
        <v>-23.400700795174714</v>
      </c>
      <c r="K11" s="129">
        <f t="shared" ref="K11:K37" si="6">IFERROR(H11-F11,"-")</f>
        <v>-13624</v>
      </c>
      <c r="L11" s="132">
        <f t="shared" ref="L11:L37" si="7">IFERROR((H11/F11*100)-100,"-")</f>
        <v>-8.4691606678850633</v>
      </c>
      <c r="O11" s="20" t="s">
        <v>51</v>
      </c>
      <c r="U11" s="185"/>
      <c r="V11" s="185"/>
    </row>
    <row r="12" spans="1:35" ht="21.2" customHeight="1">
      <c r="B12" s="246" t="s">
        <v>34</v>
      </c>
      <c r="C12" s="159" t="s">
        <v>31</v>
      </c>
      <c r="D12" s="160">
        <v>45643</v>
      </c>
      <c r="E12" s="161">
        <v>3943</v>
      </c>
      <c r="F12" s="161">
        <v>8643</v>
      </c>
      <c r="G12" s="162">
        <v>3431</v>
      </c>
      <c r="H12" s="162">
        <f>3743+G12</f>
        <v>7174</v>
      </c>
      <c r="I12" s="163">
        <f t="shared" si="4"/>
        <v>-512</v>
      </c>
      <c r="J12" s="164">
        <f t="shared" si="5"/>
        <v>-12.985036774029922</v>
      </c>
      <c r="K12" s="165">
        <f t="shared" si="6"/>
        <v>-1469</v>
      </c>
      <c r="L12" s="166">
        <f t="shared" si="7"/>
        <v>-16.996413282425081</v>
      </c>
      <c r="O12" s="20" t="s">
        <v>52</v>
      </c>
      <c r="U12" s="185"/>
      <c r="V12" s="185"/>
      <c r="AC12" s="34" t="s">
        <v>77</v>
      </c>
      <c r="AD12" s="34" t="s">
        <v>78</v>
      </c>
      <c r="AE12" s="34" t="s">
        <v>79</v>
      </c>
      <c r="AF12" s="34" t="s">
        <v>80</v>
      </c>
      <c r="AG12" s="34" t="s">
        <v>81</v>
      </c>
    </row>
    <row r="13" spans="1:35" ht="21.2" customHeight="1">
      <c r="B13" s="246"/>
      <c r="C13" s="123" t="s">
        <v>32</v>
      </c>
      <c r="D13" s="124">
        <v>634252</v>
      </c>
      <c r="E13" s="125">
        <v>57347</v>
      </c>
      <c r="F13" s="125">
        <v>125602</v>
      </c>
      <c r="G13" s="126">
        <v>48904</v>
      </c>
      <c r="H13" s="126">
        <f>54104+G13</f>
        <v>103008</v>
      </c>
      <c r="I13" s="127">
        <f t="shared" si="4"/>
        <v>-8443</v>
      </c>
      <c r="J13" s="128">
        <f t="shared" si="5"/>
        <v>-14.722653321010696</v>
      </c>
      <c r="K13" s="129">
        <f t="shared" si="6"/>
        <v>-22594</v>
      </c>
      <c r="L13" s="132">
        <f t="shared" si="7"/>
        <v>-17.988567061034061</v>
      </c>
      <c r="O13" s="20" t="s">
        <v>52</v>
      </c>
      <c r="U13" s="185"/>
      <c r="V13" s="185"/>
      <c r="AC13" s="33" t="s">
        <v>82</v>
      </c>
      <c r="AD13" s="35">
        <f>E10+E12</f>
        <v>8856</v>
      </c>
      <c r="AE13" s="35">
        <f>F10+F12</f>
        <v>17181</v>
      </c>
      <c r="AF13" s="35">
        <f>G10+G12</f>
        <v>7366</v>
      </c>
      <c r="AG13" s="35">
        <f>H10+H12</f>
        <v>15142</v>
      </c>
      <c r="AH13" s="36">
        <f t="shared" ref="AH13:AI15" si="8">(AF13/AD13*100)-100</f>
        <v>-16.824751580849139</v>
      </c>
      <c r="AI13" s="36">
        <f t="shared" si="8"/>
        <v>-11.867760898667129</v>
      </c>
    </row>
    <row r="14" spans="1:35" ht="21.2" customHeight="1">
      <c r="B14" s="246" t="s">
        <v>72</v>
      </c>
      <c r="C14" s="159" t="s">
        <v>31</v>
      </c>
      <c r="D14" s="160">
        <v>0</v>
      </c>
      <c r="E14" s="167">
        <v>0</v>
      </c>
      <c r="F14" s="167">
        <v>0</v>
      </c>
      <c r="G14" s="167">
        <v>0</v>
      </c>
      <c r="H14" s="167">
        <v>0</v>
      </c>
      <c r="I14" s="163">
        <f t="shared" si="4"/>
        <v>0</v>
      </c>
      <c r="J14" s="164" t="str">
        <f t="shared" si="5"/>
        <v>-</v>
      </c>
      <c r="K14" s="165">
        <f t="shared" si="6"/>
        <v>0</v>
      </c>
      <c r="L14" s="166" t="str">
        <f t="shared" si="7"/>
        <v>-</v>
      </c>
      <c r="O14" s="20" t="s">
        <v>73</v>
      </c>
      <c r="U14" s="185"/>
      <c r="V14" s="185"/>
      <c r="AC14" s="33" t="s">
        <v>83</v>
      </c>
      <c r="AD14" s="35">
        <f>E18+E20+E22</f>
        <v>35438</v>
      </c>
      <c r="AE14" s="35">
        <f>F18+F20+F22</f>
        <v>70462</v>
      </c>
      <c r="AF14" s="35">
        <f>G18+G20+G22</f>
        <v>33532</v>
      </c>
      <c r="AG14" s="35">
        <f>H18+H20+H22</f>
        <v>77474</v>
      </c>
      <c r="AH14" s="36">
        <f t="shared" si="8"/>
        <v>-5.3784073593317885</v>
      </c>
      <c r="AI14" s="36">
        <f t="shared" si="8"/>
        <v>9.9514632000227152</v>
      </c>
    </row>
    <row r="15" spans="1:35" ht="21.2" customHeight="1">
      <c r="B15" s="246"/>
      <c r="C15" s="123" t="s">
        <v>32</v>
      </c>
      <c r="D15" s="124">
        <v>0</v>
      </c>
      <c r="E15" s="130">
        <v>0</v>
      </c>
      <c r="F15" s="130">
        <v>0</v>
      </c>
      <c r="G15" s="130">
        <v>0</v>
      </c>
      <c r="H15" s="130">
        <v>0</v>
      </c>
      <c r="I15" s="127">
        <f t="shared" si="4"/>
        <v>0</v>
      </c>
      <c r="J15" s="128" t="str">
        <f t="shared" si="5"/>
        <v>-</v>
      </c>
      <c r="K15" s="129">
        <f t="shared" si="6"/>
        <v>0</v>
      </c>
      <c r="L15" s="132" t="str">
        <f t="shared" si="7"/>
        <v>-</v>
      </c>
      <c r="O15" s="20" t="s">
        <v>73</v>
      </c>
      <c r="AC15" s="33" t="s">
        <v>76</v>
      </c>
      <c r="AD15" s="35">
        <f>E32+E34+E36</f>
        <v>16882</v>
      </c>
      <c r="AE15" s="35">
        <f>F32+F34+F36</f>
        <v>35586</v>
      </c>
      <c r="AF15" s="35">
        <f>G32+G34+G36</f>
        <v>13684</v>
      </c>
      <c r="AG15" s="35">
        <f>H32+H34+H36</f>
        <v>32199</v>
      </c>
      <c r="AH15" s="36">
        <f t="shared" si="8"/>
        <v>-18.943253169055794</v>
      </c>
      <c r="AI15" s="36">
        <f t="shared" si="8"/>
        <v>-9.5177878941156564</v>
      </c>
    </row>
    <row r="16" spans="1:35" ht="21.2" customHeight="1">
      <c r="B16" s="246" t="s">
        <v>46</v>
      </c>
      <c r="C16" s="159" t="s">
        <v>31</v>
      </c>
      <c r="D16" s="167">
        <v>0</v>
      </c>
      <c r="E16" s="167">
        <v>0</v>
      </c>
      <c r="F16" s="167">
        <v>0</v>
      </c>
      <c r="G16" s="167">
        <v>212</v>
      </c>
      <c r="H16" s="167">
        <f>0+G16</f>
        <v>212</v>
      </c>
      <c r="I16" s="163">
        <f t="shared" si="4"/>
        <v>212</v>
      </c>
      <c r="J16" s="164" t="str">
        <f t="shared" si="5"/>
        <v>-</v>
      </c>
      <c r="K16" s="165">
        <f t="shared" si="6"/>
        <v>212</v>
      </c>
      <c r="L16" s="166" t="str">
        <f t="shared" si="7"/>
        <v>-</v>
      </c>
      <c r="O16" s="20" t="s">
        <v>53</v>
      </c>
    </row>
    <row r="17" spans="2:15" ht="21.2" customHeight="1">
      <c r="B17" s="246"/>
      <c r="C17" s="123" t="s">
        <v>45</v>
      </c>
      <c r="D17" s="130">
        <v>0</v>
      </c>
      <c r="E17" s="130">
        <v>0</v>
      </c>
      <c r="F17" s="130">
        <v>0</v>
      </c>
      <c r="G17" s="130">
        <v>5372</v>
      </c>
      <c r="H17" s="130">
        <f>0+G17</f>
        <v>5372</v>
      </c>
      <c r="I17" s="127">
        <f t="shared" si="4"/>
        <v>5372</v>
      </c>
      <c r="J17" s="128" t="str">
        <f t="shared" si="5"/>
        <v>-</v>
      </c>
      <c r="K17" s="129">
        <f t="shared" si="6"/>
        <v>5372</v>
      </c>
      <c r="L17" s="132" t="str">
        <f t="shared" si="7"/>
        <v>-</v>
      </c>
      <c r="O17" s="20" t="s">
        <v>53</v>
      </c>
    </row>
    <row r="18" spans="2:15" ht="21.2" customHeight="1">
      <c r="B18" s="246" t="s">
        <v>35</v>
      </c>
      <c r="C18" s="159" t="s">
        <v>31</v>
      </c>
      <c r="D18" s="160">
        <v>128500</v>
      </c>
      <c r="E18" s="161">
        <v>8529</v>
      </c>
      <c r="F18" s="161">
        <v>18066</v>
      </c>
      <c r="G18" s="162">
        <v>6914</v>
      </c>
      <c r="H18" s="162">
        <f>11581+G18</f>
        <v>18495</v>
      </c>
      <c r="I18" s="163">
        <f t="shared" si="4"/>
        <v>-1615</v>
      </c>
      <c r="J18" s="164">
        <f t="shared" si="5"/>
        <v>-18.935396881228755</v>
      </c>
      <c r="K18" s="165">
        <f t="shared" si="6"/>
        <v>429</v>
      </c>
      <c r="L18" s="166">
        <f t="shared" si="7"/>
        <v>2.3746263699767667</v>
      </c>
      <c r="M18" s="30"/>
      <c r="O18" s="20" t="s">
        <v>54</v>
      </c>
    </row>
    <row r="19" spans="2:15" ht="21.2" customHeight="1">
      <c r="B19" s="246"/>
      <c r="C19" s="123" t="s">
        <v>32</v>
      </c>
      <c r="D19" s="124">
        <v>2073957</v>
      </c>
      <c r="E19" s="125">
        <v>147919</v>
      </c>
      <c r="F19" s="125">
        <v>294973</v>
      </c>
      <c r="G19" s="126">
        <v>120407</v>
      </c>
      <c r="H19" s="126">
        <f>190156+G19</f>
        <v>310563</v>
      </c>
      <c r="I19" s="127">
        <f t="shared" si="4"/>
        <v>-27512</v>
      </c>
      <c r="J19" s="128">
        <f t="shared" si="5"/>
        <v>-18.599368573340811</v>
      </c>
      <c r="K19" s="129">
        <f t="shared" si="6"/>
        <v>15590</v>
      </c>
      <c r="L19" s="132">
        <f t="shared" si="7"/>
        <v>5.2852294955809498</v>
      </c>
      <c r="O19" s="20" t="s">
        <v>55</v>
      </c>
    </row>
    <row r="20" spans="2:15" ht="21.2" customHeight="1">
      <c r="B20" s="246" t="s">
        <v>42</v>
      </c>
      <c r="C20" s="159" t="s">
        <v>31</v>
      </c>
      <c r="D20" s="160">
        <v>206337</v>
      </c>
      <c r="E20" s="161">
        <v>16750</v>
      </c>
      <c r="F20" s="161">
        <v>31170</v>
      </c>
      <c r="G20" s="162">
        <v>14258</v>
      </c>
      <c r="H20" s="162">
        <f>16500+G20</f>
        <v>30758</v>
      </c>
      <c r="I20" s="163">
        <f t="shared" si="4"/>
        <v>-2492</v>
      </c>
      <c r="J20" s="164">
        <f t="shared" si="5"/>
        <v>-14.877611940298507</v>
      </c>
      <c r="K20" s="165">
        <f t="shared" si="6"/>
        <v>-412</v>
      </c>
      <c r="L20" s="166">
        <f t="shared" si="7"/>
        <v>-1.3217837664420955</v>
      </c>
      <c r="O20" s="20" t="s">
        <v>56</v>
      </c>
    </row>
    <row r="21" spans="2:15" ht="21.2" customHeight="1">
      <c r="B21" s="246"/>
      <c r="C21" s="123" t="s">
        <v>32</v>
      </c>
      <c r="D21" s="124">
        <v>2793148</v>
      </c>
      <c r="E21" s="125">
        <v>216351</v>
      </c>
      <c r="F21" s="125">
        <v>413011</v>
      </c>
      <c r="G21" s="126">
        <v>162878</v>
      </c>
      <c r="H21" s="126">
        <f>225093+G21</f>
        <v>387971</v>
      </c>
      <c r="I21" s="127">
        <f t="shared" si="4"/>
        <v>-53473</v>
      </c>
      <c r="J21" s="128">
        <f t="shared" si="5"/>
        <v>-24.715855253731206</v>
      </c>
      <c r="K21" s="129">
        <f t="shared" si="6"/>
        <v>-25040</v>
      </c>
      <c r="L21" s="132">
        <f t="shared" si="7"/>
        <v>-6.0627925164220784</v>
      </c>
      <c r="O21" s="20" t="s">
        <v>57</v>
      </c>
    </row>
    <row r="22" spans="2:15" ht="21.2" customHeight="1">
      <c r="B22" s="246" t="s">
        <v>36</v>
      </c>
      <c r="C22" s="159" t="s">
        <v>31</v>
      </c>
      <c r="D22" s="160">
        <v>160865</v>
      </c>
      <c r="E22" s="161">
        <v>10159</v>
      </c>
      <c r="F22" s="161">
        <v>21226</v>
      </c>
      <c r="G22" s="162">
        <v>12360</v>
      </c>
      <c r="H22" s="162">
        <f>15861+G22</f>
        <v>28221</v>
      </c>
      <c r="I22" s="163">
        <f t="shared" si="4"/>
        <v>2201</v>
      </c>
      <c r="J22" s="164">
        <f t="shared" si="5"/>
        <v>21.665518259671217</v>
      </c>
      <c r="K22" s="165">
        <f t="shared" si="6"/>
        <v>6995</v>
      </c>
      <c r="L22" s="166">
        <f t="shared" si="7"/>
        <v>32.95486667294827</v>
      </c>
      <c r="O22" s="20" t="s">
        <v>58</v>
      </c>
    </row>
    <row r="23" spans="2:15" ht="21.2" customHeight="1">
      <c r="B23" s="246"/>
      <c r="C23" s="123" t="s">
        <v>32</v>
      </c>
      <c r="D23" s="124">
        <v>2398781</v>
      </c>
      <c r="E23" s="130">
        <v>151088</v>
      </c>
      <c r="F23" s="130">
        <v>330812</v>
      </c>
      <c r="G23" s="126">
        <v>207019</v>
      </c>
      <c r="H23" s="126">
        <f>246310+G23</f>
        <v>453329</v>
      </c>
      <c r="I23" s="127">
        <f t="shared" si="4"/>
        <v>55931</v>
      </c>
      <c r="J23" s="128">
        <f t="shared" si="5"/>
        <v>37.018823467118523</v>
      </c>
      <c r="K23" s="129">
        <f t="shared" si="6"/>
        <v>122517</v>
      </c>
      <c r="L23" s="132">
        <f t="shared" si="7"/>
        <v>37.035234513862861</v>
      </c>
      <c r="O23" s="20" t="s">
        <v>59</v>
      </c>
    </row>
    <row r="24" spans="2:15" ht="21.2" customHeight="1">
      <c r="B24" s="246" t="s">
        <v>48</v>
      </c>
      <c r="C24" s="159" t="s">
        <v>31</v>
      </c>
      <c r="D24" s="167">
        <v>0</v>
      </c>
      <c r="E24" s="167">
        <v>0</v>
      </c>
      <c r="F24" s="167">
        <v>0</v>
      </c>
      <c r="G24" s="167">
        <v>0</v>
      </c>
      <c r="H24" s="167">
        <v>0</v>
      </c>
      <c r="I24" s="163">
        <f t="shared" si="4"/>
        <v>0</v>
      </c>
      <c r="J24" s="164" t="str">
        <f t="shared" si="5"/>
        <v>-</v>
      </c>
      <c r="K24" s="165">
        <f t="shared" si="6"/>
        <v>0</v>
      </c>
      <c r="L24" s="166" t="str">
        <f t="shared" si="7"/>
        <v>-</v>
      </c>
      <c r="O24" s="20" t="s">
        <v>60</v>
      </c>
    </row>
    <row r="25" spans="2:15" ht="21.2" customHeight="1">
      <c r="B25" s="246"/>
      <c r="C25" s="131" t="s">
        <v>32</v>
      </c>
      <c r="D25" s="130">
        <v>0</v>
      </c>
      <c r="E25" s="130">
        <v>0</v>
      </c>
      <c r="F25" s="130">
        <v>0</v>
      </c>
      <c r="G25" s="130">
        <v>0</v>
      </c>
      <c r="H25" s="130">
        <v>0</v>
      </c>
      <c r="I25" s="127">
        <f t="shared" si="4"/>
        <v>0</v>
      </c>
      <c r="J25" s="128" t="str">
        <f t="shared" si="5"/>
        <v>-</v>
      </c>
      <c r="K25" s="129">
        <f t="shared" si="6"/>
        <v>0</v>
      </c>
      <c r="L25" s="132" t="str">
        <f t="shared" si="7"/>
        <v>-</v>
      </c>
      <c r="O25" s="20" t="s">
        <v>61</v>
      </c>
    </row>
    <row r="26" spans="2:15" ht="21.2" customHeight="1">
      <c r="B26" s="246" t="s">
        <v>71</v>
      </c>
      <c r="C26" s="159" t="s">
        <v>31</v>
      </c>
      <c r="D26" s="167">
        <v>0</v>
      </c>
      <c r="E26" s="167">
        <v>0</v>
      </c>
      <c r="F26" s="167">
        <v>0</v>
      </c>
      <c r="G26" s="167">
        <v>0</v>
      </c>
      <c r="H26" s="167">
        <v>0</v>
      </c>
      <c r="I26" s="163">
        <f t="shared" si="4"/>
        <v>0</v>
      </c>
      <c r="J26" s="164" t="str">
        <f t="shared" si="5"/>
        <v>-</v>
      </c>
      <c r="K26" s="165">
        <f t="shared" si="6"/>
        <v>0</v>
      </c>
      <c r="L26" s="166" t="str">
        <f t="shared" si="7"/>
        <v>-</v>
      </c>
      <c r="O26" s="20" t="s">
        <v>74</v>
      </c>
    </row>
    <row r="27" spans="2:15" ht="21.2" customHeight="1">
      <c r="B27" s="246"/>
      <c r="C27" s="123" t="s">
        <v>32</v>
      </c>
      <c r="D27" s="130">
        <v>0</v>
      </c>
      <c r="E27" s="130">
        <v>0</v>
      </c>
      <c r="F27" s="130">
        <v>0</v>
      </c>
      <c r="G27" s="130">
        <v>0</v>
      </c>
      <c r="H27" s="130">
        <v>0</v>
      </c>
      <c r="I27" s="127">
        <f t="shared" si="4"/>
        <v>0</v>
      </c>
      <c r="J27" s="128" t="str">
        <f t="shared" si="5"/>
        <v>-</v>
      </c>
      <c r="K27" s="129">
        <f t="shared" si="6"/>
        <v>0</v>
      </c>
      <c r="L27" s="132" t="str">
        <f t="shared" si="7"/>
        <v>-</v>
      </c>
      <c r="O27" s="20" t="s">
        <v>74</v>
      </c>
    </row>
    <row r="28" spans="2:15" ht="21.2" customHeight="1">
      <c r="B28" s="246" t="s">
        <v>43</v>
      </c>
      <c r="C28" s="159" t="s">
        <v>44</v>
      </c>
      <c r="D28" s="160">
        <v>0</v>
      </c>
      <c r="E28" s="167">
        <v>0</v>
      </c>
      <c r="F28" s="167">
        <v>0</v>
      </c>
      <c r="G28" s="167">
        <v>0</v>
      </c>
      <c r="H28" s="167">
        <v>0</v>
      </c>
      <c r="I28" s="163">
        <f t="shared" si="4"/>
        <v>0</v>
      </c>
      <c r="J28" s="164" t="str">
        <f t="shared" si="5"/>
        <v>-</v>
      </c>
      <c r="K28" s="165">
        <f t="shared" si="6"/>
        <v>0</v>
      </c>
      <c r="L28" s="166" t="str">
        <f t="shared" si="7"/>
        <v>-</v>
      </c>
      <c r="O28" s="20" t="s">
        <v>62</v>
      </c>
    </row>
    <row r="29" spans="2:15" ht="21.2" customHeight="1">
      <c r="B29" s="246"/>
      <c r="C29" s="123" t="s">
        <v>45</v>
      </c>
      <c r="D29" s="124">
        <v>0</v>
      </c>
      <c r="E29" s="130">
        <v>0</v>
      </c>
      <c r="F29" s="130">
        <v>0</v>
      </c>
      <c r="G29" s="130">
        <v>0</v>
      </c>
      <c r="H29" s="130">
        <v>0</v>
      </c>
      <c r="I29" s="127">
        <f t="shared" si="4"/>
        <v>0</v>
      </c>
      <c r="J29" s="128" t="str">
        <f t="shared" si="5"/>
        <v>-</v>
      </c>
      <c r="K29" s="129">
        <f t="shared" si="6"/>
        <v>0</v>
      </c>
      <c r="L29" s="132" t="str">
        <f t="shared" si="7"/>
        <v>-</v>
      </c>
      <c r="O29" s="20" t="s">
        <v>62</v>
      </c>
    </row>
    <row r="30" spans="2:15" ht="21.2" customHeight="1">
      <c r="B30" s="246" t="s">
        <v>38</v>
      </c>
      <c r="C30" s="159" t="s">
        <v>31</v>
      </c>
      <c r="D30" s="160">
        <v>0</v>
      </c>
      <c r="E30" s="167">
        <v>0</v>
      </c>
      <c r="F30" s="167">
        <v>0</v>
      </c>
      <c r="G30" s="167">
        <v>0</v>
      </c>
      <c r="H30" s="167">
        <v>0</v>
      </c>
      <c r="I30" s="163">
        <f t="shared" si="4"/>
        <v>0</v>
      </c>
      <c r="J30" s="164" t="str">
        <f t="shared" si="5"/>
        <v>-</v>
      </c>
      <c r="K30" s="165">
        <f t="shared" si="6"/>
        <v>0</v>
      </c>
      <c r="L30" s="166" t="str">
        <f t="shared" si="7"/>
        <v>-</v>
      </c>
      <c r="O30" s="20" t="s">
        <v>63</v>
      </c>
    </row>
    <row r="31" spans="2:15" ht="21.2" customHeight="1">
      <c r="B31" s="246"/>
      <c r="C31" s="123" t="s">
        <v>32</v>
      </c>
      <c r="D31" s="124">
        <v>0</v>
      </c>
      <c r="E31" s="130">
        <v>0</v>
      </c>
      <c r="F31" s="130">
        <v>0</v>
      </c>
      <c r="G31" s="130">
        <v>0</v>
      </c>
      <c r="H31" s="130">
        <v>0</v>
      </c>
      <c r="I31" s="127">
        <f t="shared" si="4"/>
        <v>0</v>
      </c>
      <c r="J31" s="128" t="str">
        <f t="shared" si="5"/>
        <v>-</v>
      </c>
      <c r="K31" s="129">
        <f t="shared" si="6"/>
        <v>0</v>
      </c>
      <c r="L31" s="132" t="str">
        <f t="shared" si="7"/>
        <v>-</v>
      </c>
      <c r="O31" s="20" t="s">
        <v>64</v>
      </c>
    </row>
    <row r="32" spans="2:15" ht="21.2" customHeight="1">
      <c r="B32" s="246" t="s">
        <v>39</v>
      </c>
      <c r="C32" s="159" t="s">
        <v>31</v>
      </c>
      <c r="D32" s="160">
        <v>53812</v>
      </c>
      <c r="E32" s="161">
        <v>3024</v>
      </c>
      <c r="F32" s="161">
        <v>7650</v>
      </c>
      <c r="G32" s="162">
        <v>3312</v>
      </c>
      <c r="H32" s="162">
        <f>4992+G32</f>
        <v>8304</v>
      </c>
      <c r="I32" s="163">
        <f t="shared" si="4"/>
        <v>288</v>
      </c>
      <c r="J32" s="164">
        <f t="shared" si="5"/>
        <v>9.5238095238095326</v>
      </c>
      <c r="K32" s="165">
        <f t="shared" si="6"/>
        <v>654</v>
      </c>
      <c r="L32" s="166">
        <f t="shared" si="7"/>
        <v>8.5490196078431353</v>
      </c>
      <c r="O32" s="20" t="s">
        <v>65</v>
      </c>
    </row>
    <row r="33" spans="2:15" ht="21.2" customHeight="1">
      <c r="B33" s="246"/>
      <c r="C33" s="123" t="s">
        <v>32</v>
      </c>
      <c r="D33" s="124">
        <v>904930</v>
      </c>
      <c r="E33" s="125">
        <v>47941</v>
      </c>
      <c r="F33" s="125">
        <v>122796</v>
      </c>
      <c r="G33" s="126">
        <v>50374</v>
      </c>
      <c r="H33" s="126">
        <f>80914+G33</f>
        <v>131288</v>
      </c>
      <c r="I33" s="127">
        <f t="shared" si="4"/>
        <v>2433</v>
      </c>
      <c r="J33" s="128">
        <f t="shared" si="5"/>
        <v>5.0749880060908339</v>
      </c>
      <c r="K33" s="129">
        <f t="shared" si="6"/>
        <v>8492</v>
      </c>
      <c r="L33" s="132">
        <f t="shared" si="7"/>
        <v>6.9155347079709486</v>
      </c>
      <c r="O33" s="20" t="s">
        <v>66</v>
      </c>
    </row>
    <row r="34" spans="2:15" ht="21.2" customHeight="1">
      <c r="B34" s="246" t="s">
        <v>40</v>
      </c>
      <c r="C34" s="159" t="s">
        <v>31</v>
      </c>
      <c r="D34" s="160">
        <v>123326</v>
      </c>
      <c r="E34" s="161">
        <v>9745</v>
      </c>
      <c r="F34" s="161">
        <v>19696</v>
      </c>
      <c r="G34" s="162">
        <v>7855</v>
      </c>
      <c r="H34" s="162">
        <f>10725+G34</f>
        <v>18580</v>
      </c>
      <c r="I34" s="163">
        <f t="shared" si="4"/>
        <v>-1890</v>
      </c>
      <c r="J34" s="164">
        <f t="shared" si="5"/>
        <v>-19.394561313494094</v>
      </c>
      <c r="K34" s="165">
        <f t="shared" si="6"/>
        <v>-1116</v>
      </c>
      <c r="L34" s="166">
        <f t="shared" si="7"/>
        <v>-5.6661251015434573</v>
      </c>
      <c r="O34" s="20" t="s">
        <v>67</v>
      </c>
    </row>
    <row r="35" spans="2:15" ht="21.2" customHeight="1">
      <c r="B35" s="246"/>
      <c r="C35" s="123" t="s">
        <v>32</v>
      </c>
      <c r="D35" s="124">
        <v>1781224</v>
      </c>
      <c r="E35" s="125">
        <v>127444</v>
      </c>
      <c r="F35" s="125">
        <v>262548</v>
      </c>
      <c r="G35" s="126">
        <v>114852</v>
      </c>
      <c r="H35" s="126">
        <f>163596+G35</f>
        <v>278448</v>
      </c>
      <c r="I35" s="127">
        <f t="shared" si="4"/>
        <v>-12592</v>
      </c>
      <c r="J35" s="128">
        <f t="shared" si="5"/>
        <v>-9.8804180659740695</v>
      </c>
      <c r="K35" s="129">
        <f t="shared" si="6"/>
        <v>15900</v>
      </c>
      <c r="L35" s="132">
        <f t="shared" si="7"/>
        <v>6.0560354678001858</v>
      </c>
      <c r="O35" s="20" t="s">
        <v>68</v>
      </c>
    </row>
    <row r="36" spans="2:15" ht="21.2" customHeight="1">
      <c r="B36" s="246" t="s">
        <v>41</v>
      </c>
      <c r="C36" s="159" t="s">
        <v>31</v>
      </c>
      <c r="D36" s="160">
        <v>46712</v>
      </c>
      <c r="E36" s="161">
        <v>4113</v>
      </c>
      <c r="F36" s="161">
        <v>8240</v>
      </c>
      <c r="G36" s="162">
        <v>2517</v>
      </c>
      <c r="H36" s="162">
        <f>2798+G36</f>
        <v>5315</v>
      </c>
      <c r="I36" s="163">
        <f t="shared" si="4"/>
        <v>-1596</v>
      </c>
      <c r="J36" s="164">
        <f t="shared" si="5"/>
        <v>-38.803792851932897</v>
      </c>
      <c r="K36" s="165">
        <f t="shared" si="6"/>
        <v>-2925</v>
      </c>
      <c r="L36" s="166">
        <f t="shared" si="7"/>
        <v>-35.497572815533985</v>
      </c>
      <c r="O36" s="20" t="s">
        <v>69</v>
      </c>
    </row>
    <row r="37" spans="2:15" ht="21.2" customHeight="1">
      <c r="B37" s="251"/>
      <c r="C37" s="133" t="s">
        <v>32</v>
      </c>
      <c r="D37" s="134">
        <v>702058</v>
      </c>
      <c r="E37" s="135">
        <v>64792</v>
      </c>
      <c r="F37" s="135">
        <v>128674</v>
      </c>
      <c r="G37" s="203">
        <v>43249</v>
      </c>
      <c r="H37" s="203">
        <f>44042+G37</f>
        <v>87291</v>
      </c>
      <c r="I37" s="136">
        <f t="shared" si="4"/>
        <v>-21543</v>
      </c>
      <c r="J37" s="137">
        <f t="shared" si="5"/>
        <v>-33.249475243857262</v>
      </c>
      <c r="K37" s="138">
        <f t="shared" si="6"/>
        <v>-41383</v>
      </c>
      <c r="L37" s="139">
        <f t="shared" si="7"/>
        <v>-32.16112035065359</v>
      </c>
      <c r="O37" s="20" t="s">
        <v>70</v>
      </c>
    </row>
    <row r="38" spans="2:15" ht="21.2" customHeight="1">
      <c r="E38" s="20"/>
      <c r="H38" s="32"/>
    </row>
    <row r="39" spans="2:15" ht="21.2" customHeight="1">
      <c r="E39" s="20"/>
      <c r="H39" s="32"/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0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2024-08-27T05:45:28Z</dcterms:modified>
</cp:coreProperties>
</file>