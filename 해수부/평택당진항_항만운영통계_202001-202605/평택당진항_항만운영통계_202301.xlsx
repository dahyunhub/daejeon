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C:\Users\MOF\Desktop\통계\2023\1월\"/>
    </mc:Choice>
  </mc:AlternateContent>
  <xr:revisionPtr revIDLastSave="0" documentId="13_ncr:1_{36DC5E92-05FC-46A2-B27D-A03C7C85B087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91029"/>
</workbook>
</file>

<file path=xl/calcChain.xml><?xml version="1.0" encoding="utf-8"?>
<calcChain xmlns="http://schemas.openxmlformats.org/spreadsheetml/2006/main">
  <c r="I24" i="21" l="1"/>
  <c r="H24" i="21" l="1"/>
  <c r="G24" i="21"/>
  <c r="F24" i="21"/>
  <c r="M33" i="32" l="1"/>
  <c r="H11" i="21" l="1"/>
  <c r="I15" i="21" l="1"/>
  <c r="I11" i="21"/>
  <c r="H15" i="21"/>
  <c r="H10" i="21" s="1"/>
  <c r="I10" i="21" l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I4" i="32"/>
  <c r="H4" i="32"/>
  <c r="G4" i="32"/>
  <c r="F4" i="32"/>
  <c r="I5" i="32" l="1"/>
  <c r="H5" i="32"/>
  <c r="G5" i="32"/>
  <c r="F5" i="32"/>
  <c r="E5" i="32"/>
  <c r="E4" i="32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AA7" i="33" l="1"/>
  <c r="N6" i="33"/>
  <c r="G6" i="33"/>
  <c r="N3" i="33"/>
  <c r="I3" i="32" l="1"/>
  <c r="H3" i="32"/>
  <c r="G3" i="32"/>
  <c r="E7" i="21" l="1"/>
  <c r="L28" i="21" l="1"/>
  <c r="J28" i="21"/>
  <c r="K28" i="21"/>
  <c r="L26" i="21"/>
  <c r="L27" i="21"/>
  <c r="L18" i="21"/>
  <c r="J11" i="21" l="1"/>
  <c r="J22" i="21" l="1"/>
  <c r="J23" i="21"/>
  <c r="J24" i="21"/>
  <c r="J26" i="21"/>
  <c r="J27" i="21"/>
  <c r="J16" i="21"/>
  <c r="J18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<sst xmlns="http://schemas.openxmlformats.org/spreadsheetml/2006/main" count="157" uniqueCount="106">
  <si>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</si>
  <si>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</si>
  <si>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</si>
  <si>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</si>
  <si>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</si>
  <si>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</si>
  <si>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</si>
  <si>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7" type="noConversion"/>
  </si>
  <si>
    <t xml:space="preserve"> 합  계</t>
    <phoneticPr fontId="7" type="noConversion"/>
  </si>
  <si>
    <t xml:space="preserve"> 외  항</t>
    <phoneticPr fontId="7" type="noConversion"/>
  </si>
  <si>
    <t xml:space="preserve"> 내  항</t>
    <phoneticPr fontId="7" type="noConversion"/>
  </si>
  <si>
    <t>연간누계</t>
    <phoneticPr fontId="7" type="noConversion"/>
  </si>
  <si>
    <t>계</t>
    <phoneticPr fontId="7" type="noConversion"/>
  </si>
  <si>
    <t>환적</t>
    <phoneticPr fontId="7" type="noConversion"/>
  </si>
  <si>
    <t>수출</t>
    <phoneticPr fontId="7" type="noConversion"/>
  </si>
  <si>
    <t>전년동기대비</t>
    <phoneticPr fontId="7" type="noConversion"/>
  </si>
  <si>
    <t>(%)</t>
    <phoneticPr fontId="7" type="noConversion"/>
  </si>
  <si>
    <t>환적</t>
    <phoneticPr fontId="7" type="noConversion"/>
  </si>
  <si>
    <t>D-B</t>
    <phoneticPr fontId="7" type="noConversion"/>
  </si>
  <si>
    <t>컨테</t>
    <phoneticPr fontId="7" type="noConversion"/>
  </si>
  <si>
    <t>이너</t>
    <phoneticPr fontId="7" type="noConversion"/>
  </si>
  <si>
    <t>선박</t>
    <phoneticPr fontId="7" type="noConversion"/>
  </si>
  <si>
    <t>화물</t>
    <phoneticPr fontId="7" type="noConversion"/>
  </si>
  <si>
    <t>(단위:TEU, 100% 기준)</t>
    <phoneticPr fontId="7" type="noConversion"/>
  </si>
  <si>
    <t>(화물)</t>
    <phoneticPr fontId="7" type="noConversion"/>
  </si>
  <si>
    <t xml:space="preserve">   (컨테이너)</t>
    <phoneticPr fontId="7" type="noConversion"/>
  </si>
  <si>
    <t>(평택·당진항)</t>
    <phoneticPr fontId="7" type="noConversion"/>
  </si>
  <si>
    <t xml:space="preserve">  □ 전년 동기대비 비교표</t>
    <phoneticPr fontId="7" type="noConversion"/>
  </si>
  <si>
    <t>■ 연도별 수송실적</t>
    <phoneticPr fontId="23" type="noConversion"/>
  </si>
  <si>
    <t>(단위 : 천톤)</t>
    <phoneticPr fontId="7" type="noConversion"/>
  </si>
  <si>
    <t xml:space="preserve">구분 </t>
    <phoneticPr fontId="7" type="noConversion"/>
  </si>
  <si>
    <t>선박입출항</t>
    <phoneticPr fontId="7" type="noConversion"/>
  </si>
  <si>
    <t>화물입출항</t>
    <phoneticPr fontId="7" type="noConversion"/>
  </si>
  <si>
    <t>(단위 : TEU)</t>
    <phoneticPr fontId="7" type="noConversion"/>
  </si>
  <si>
    <t>(단위 : 명)</t>
    <phoneticPr fontId="7" type="noConversion"/>
  </si>
  <si>
    <t>컨테이너</t>
    <phoneticPr fontId="7" type="noConversion"/>
  </si>
  <si>
    <t>여    객</t>
    <phoneticPr fontId="7" type="noConversion"/>
  </si>
  <si>
    <t xml:space="preserve">  □ 연도별 추이 </t>
  </si>
  <si>
    <t>□ 부두별 컨테이너 물동량</t>
    <phoneticPr fontId="7" type="noConversion"/>
  </si>
  <si>
    <t>구     분</t>
    <phoneticPr fontId="7" type="noConversion"/>
  </si>
  <si>
    <t>단위</t>
    <phoneticPr fontId="23" type="noConversion"/>
  </si>
  <si>
    <t>전년동기대비</t>
    <phoneticPr fontId="7" type="noConversion"/>
  </si>
  <si>
    <t>연간누계</t>
    <phoneticPr fontId="7" type="noConversion"/>
  </si>
  <si>
    <t>C-A</t>
    <phoneticPr fontId="7" type="noConversion"/>
  </si>
  <si>
    <t>(%)</t>
    <phoneticPr fontId="7" type="noConversion"/>
  </si>
  <si>
    <t>D-B</t>
    <phoneticPr fontId="7" type="noConversion"/>
  </si>
  <si>
    <t>합  계</t>
    <phoneticPr fontId="7" type="noConversion"/>
  </si>
  <si>
    <t>TEU</t>
    <phoneticPr fontId="23" type="noConversion"/>
  </si>
  <si>
    <t>톤</t>
    <phoneticPr fontId="23" type="noConversion"/>
  </si>
  <si>
    <t>선박입항 및 화물수송</t>
    <phoneticPr fontId="7" type="noConversion"/>
  </si>
  <si>
    <t xml:space="preserve">     (여객)</t>
    <phoneticPr fontId="7" type="noConversion"/>
  </si>
  <si>
    <t xml:space="preserve">     (화물입출항)</t>
    <phoneticPr fontId="7" type="noConversion"/>
  </si>
  <si>
    <t xml:space="preserve">   (선박입출항)</t>
    <phoneticPr fontId="7" type="noConversion"/>
  </si>
  <si>
    <t>국제여객부두1번</t>
  </si>
  <si>
    <t>국제여객부두2번</t>
  </si>
  <si>
    <t>동부두 6</t>
    <phoneticPr fontId="23" type="noConversion"/>
  </si>
  <si>
    <t>동부두 8</t>
    <phoneticPr fontId="23" type="noConversion"/>
  </si>
  <si>
    <t>C-A</t>
    <phoneticPr fontId="7" type="noConversion"/>
  </si>
  <si>
    <t>동부두 12</t>
    <phoneticPr fontId="23" type="noConversion"/>
  </si>
  <si>
    <t>동부두 14</t>
    <phoneticPr fontId="23" type="noConversion"/>
  </si>
  <si>
    <t>동부두 15</t>
    <phoneticPr fontId="23" type="noConversion"/>
  </si>
  <si>
    <t>동부두 16</t>
    <phoneticPr fontId="23" type="noConversion"/>
  </si>
  <si>
    <t>동부두 7</t>
    <phoneticPr fontId="23" type="noConversion"/>
  </si>
  <si>
    <t>동부두 11</t>
    <phoneticPr fontId="23" type="noConversion"/>
  </si>
  <si>
    <t>TEU</t>
    <phoneticPr fontId="23" type="noConversion"/>
  </si>
  <si>
    <t>톤</t>
    <phoneticPr fontId="23" type="noConversion"/>
  </si>
  <si>
    <t>동부두 5</t>
    <phoneticPr fontId="23" type="noConversion"/>
  </si>
  <si>
    <t>자동차(대)</t>
    <phoneticPr fontId="7" type="noConversion"/>
  </si>
  <si>
    <t>동부두 9</t>
    <phoneticPr fontId="23" type="noConversion"/>
  </si>
  <si>
    <t>소계</t>
    <phoneticPr fontId="7" type="noConversion"/>
  </si>
  <si>
    <t>(단위 : 척)</t>
    <phoneticPr fontId="7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</si>
  <si>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7" type="noConversion"/>
  </si>
  <si>
    <t>국제여객부두 1번선석</t>
  </si>
  <si>
    <t>국제여객부두 2번선석</t>
    <phoneticPr fontId="23" type="noConversion"/>
  </si>
  <si>
    <t>동부두 5번선석</t>
    <phoneticPr fontId="23" type="noConversion"/>
  </si>
  <si>
    <t>동부두 6번선석</t>
    <phoneticPr fontId="23" type="noConversion"/>
  </si>
  <si>
    <t>동부두 6번선석</t>
    <phoneticPr fontId="23" type="noConversion"/>
  </si>
  <si>
    <t>동부두 7번선석</t>
    <phoneticPr fontId="23" type="noConversion"/>
  </si>
  <si>
    <t>동부두 7번선석</t>
    <phoneticPr fontId="23" type="noConversion"/>
  </si>
  <si>
    <t>동부두 8번선석</t>
    <phoneticPr fontId="23" type="noConversion"/>
  </si>
  <si>
    <t>동부두 8번선석</t>
    <phoneticPr fontId="23" type="noConversion"/>
  </si>
  <si>
    <t>동부두 9번선석</t>
    <phoneticPr fontId="23" type="noConversion"/>
  </si>
  <si>
    <t>동부두 9번선석</t>
    <phoneticPr fontId="23" type="noConversion"/>
  </si>
  <si>
    <t>동부두 11번선석</t>
    <phoneticPr fontId="23" type="noConversion"/>
  </si>
  <si>
    <t>동부두 12번선석</t>
    <phoneticPr fontId="23" type="noConversion"/>
  </si>
  <si>
    <t>동부두 12번선석</t>
    <phoneticPr fontId="23" type="noConversion"/>
  </si>
  <si>
    <t>동부두 14번선석</t>
    <phoneticPr fontId="23" type="noConversion"/>
  </si>
  <si>
    <t>동부두 14번선석</t>
    <phoneticPr fontId="23" type="noConversion"/>
  </si>
  <si>
    <t>동부두 15번선석</t>
    <phoneticPr fontId="23" type="noConversion"/>
  </si>
  <si>
    <t>동부두 15번선석</t>
    <phoneticPr fontId="23" type="noConversion"/>
  </si>
  <si>
    <t>동부두 16번선석</t>
    <phoneticPr fontId="23" type="noConversion"/>
  </si>
  <si>
    <t>동부두 16번선석</t>
    <phoneticPr fontId="23" type="noConversion"/>
  </si>
  <si>
    <t>동부두 10</t>
    <phoneticPr fontId="23" type="noConversion"/>
  </si>
  <si>
    <t>동부두 1</t>
    <phoneticPr fontId="23" type="noConversion"/>
  </si>
  <si>
    <t>동부두 1번선석</t>
    <phoneticPr fontId="23" type="noConversion"/>
  </si>
  <si>
    <t>동부두 10번선석</t>
    <phoneticPr fontId="23" type="noConversion"/>
  </si>
  <si>
    <t>1월(A)</t>
    <phoneticPr fontId="7" type="noConversion"/>
  </si>
  <si>
    <t>1월누계(B)</t>
    <phoneticPr fontId="7" type="noConversion"/>
  </si>
  <si>
    <t>1월(C)</t>
    <phoneticPr fontId="7" type="noConversion"/>
  </si>
  <si>
    <t>1월누계(D)</t>
    <phoneticPr fontId="7" type="noConversion"/>
  </si>
  <si>
    <t>순증</t>
    <phoneticPr fontId="23" type="noConversion"/>
  </si>
  <si>
    <t>순증</t>
    <phoneticPr fontId="7" type="noConversion"/>
  </si>
  <si>
    <t>2022년도</t>
    <phoneticPr fontId="7" type="noConversion"/>
  </si>
  <si>
    <t>2023년도</t>
    <phoneticPr fontId="7" type="noConversion"/>
  </si>
  <si>
    <t>2023년도</t>
    <phoneticPr fontId="7" type="noConversion"/>
  </si>
  <si>
    <t>(2023.1월분)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</si>
</sst>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</numFmts>
  <fonts count="40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4"/>
      </bottom>
      <diagonal/>
    </border>
  </borders>
  <cellStyleXfs count="57">
    <xf numFmtId="0" fontId="0" fillId="0" borderId="0"/>
    <xf numFmtId="38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1" applyNumberFormat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9" fillId="0" borderId="0"/>
    <xf numFmtId="0" fontId="8" fillId="0" borderId="0"/>
    <xf numFmtId="10" fontId="9" fillId="0" borderId="0" applyFont="0" applyFill="0" applyBorder="0" applyAlignment="0" applyProtection="0"/>
    <xf numFmtId="9" fontId="10" fillId="0" borderId="2" applyNumberFormat="0" applyBorder="0"/>
    <xf numFmtId="176" fontId="5" fillId="0" borderId="0" applyFont="0" applyFill="0" applyBorder="0" applyAlignment="0" applyProtection="0"/>
    <xf numFmtId="0" fontId="5" fillId="0" borderId="0"/>
    <xf numFmtId="0" fontId="26" fillId="0" borderId="0">
      <alignment vertical="center"/>
    </xf>
    <xf numFmtId="0" fontId="3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2" fillId="0" borderId="0">
      <alignment vertical="center"/>
    </xf>
    <xf numFmtId="0" fontId="3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27">
    <xf numFmtId="0" fontId="0" fillId="0" borderId="0" xfId="0"/>
    <xf numFmtId="176" fontId="13" fillId="0" borderId="0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right" vertical="center"/>
    </xf>
    <xf numFmtId="176" fontId="15" fillId="5" borderId="4" xfId="0" applyNumberFormat="1" applyFont="1" applyFill="1" applyBorder="1" applyAlignment="1">
      <alignment horizontal="center" vertical="center"/>
    </xf>
    <xf numFmtId="176" fontId="15" fillId="5" borderId="1" xfId="0" applyNumberFormat="1" applyFont="1" applyFill="1" applyBorder="1" applyAlignment="1">
      <alignment horizontal="center" vertical="center"/>
    </xf>
    <xf numFmtId="176" fontId="13" fillId="5" borderId="0" xfId="0" applyNumberFormat="1" applyFont="1" applyFill="1" applyBorder="1" applyAlignment="1">
      <alignment horizontal="center" vertical="center"/>
    </xf>
    <xf numFmtId="0" fontId="16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6" fontId="14" fillId="4" borderId="3" xfId="0" applyNumberFormat="1" applyFont="1" applyFill="1" applyBorder="1" applyAlignment="1">
      <alignment horizontal="right" vertical="center"/>
    </xf>
    <xf numFmtId="176" fontId="17" fillId="4" borderId="1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horizontal="right" vertical="center"/>
    </xf>
    <xf numFmtId="9" fontId="14" fillId="4" borderId="5" xfId="0" quotePrefix="1" applyNumberFormat="1" applyFont="1" applyFill="1" applyBorder="1" applyAlignment="1">
      <alignment horizontal="right" vertical="center"/>
    </xf>
    <xf numFmtId="176" fontId="14" fillId="5" borderId="6" xfId="0" applyNumberFormat="1" applyFont="1" applyFill="1" applyBorder="1" applyAlignment="1">
      <alignment horizontal="right" vertical="center"/>
    </xf>
    <xf numFmtId="9" fontId="13" fillId="5" borderId="5" xfId="0" quotePrefix="1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9" fontId="13" fillId="0" borderId="5" xfId="0" quotePrefix="1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9" fontId="17" fillId="4" borderId="7" xfId="0" applyNumberFormat="1" applyFont="1" applyFill="1" applyBorder="1" applyAlignment="1">
      <alignment horizontal="right" vertical="center"/>
    </xf>
    <xf numFmtId="9" fontId="6" fillId="5" borderId="7" xfId="0" applyNumberFormat="1" applyFont="1" applyFill="1" applyBorder="1" applyAlignment="1">
      <alignment horizontal="right" vertical="center"/>
    </xf>
    <xf numFmtId="9" fontId="6" fillId="0" borderId="7" xfId="0" applyNumberFormat="1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176" fontId="14" fillId="6" borderId="15" xfId="0" quotePrefix="1" applyNumberFormat="1" applyFont="1" applyFill="1" applyBorder="1" applyAlignment="1">
      <alignment horizontal="center" vertical="center"/>
    </xf>
    <xf numFmtId="176" fontId="14" fillId="6" borderId="16" xfId="0" applyNumberFormat="1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center" vertical="center"/>
    </xf>
    <xf numFmtId="9" fontId="14" fillId="6" borderId="5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80" fontId="14" fillId="6" borderId="7" xfId="0" applyNumberFormat="1" applyFont="1" applyFill="1" applyBorder="1" applyAlignment="1">
      <alignment horizontal="center" vertical="center"/>
    </xf>
    <xf numFmtId="182" fontId="14" fillId="4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9" fontId="6" fillId="5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76" fontId="13" fillId="0" borderId="4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1" fontId="13" fillId="0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5" fillId="0" borderId="0" xfId="16"/>
    <xf numFmtId="0" fontId="24" fillId="6" borderId="19" xfId="0" applyFont="1" applyFill="1" applyBorder="1" applyAlignment="1">
      <alignment horizontal="center" vertical="center"/>
    </xf>
    <xf numFmtId="180" fontId="24" fillId="6" borderId="20" xfId="0" quotePrefix="1" applyNumberFormat="1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83" fontId="25" fillId="0" borderId="0" xfId="0" applyNumberFormat="1" applyFont="1" applyBorder="1" applyAlignment="1">
      <alignment vertical="center"/>
    </xf>
    <xf numFmtId="0" fontId="5" fillId="0" borderId="0" xfId="16" applyAlignment="1">
      <alignment horizontal="right"/>
    </xf>
    <xf numFmtId="180" fontId="5" fillId="0" borderId="0" xfId="16" applyNumberFormat="1" applyAlignment="1">
      <alignment horizontal="right"/>
    </xf>
    <xf numFmtId="0" fontId="6" fillId="0" borderId="0" xfId="16" applyFont="1" applyAlignment="1">
      <alignment horizontal="right" vertical="center"/>
    </xf>
    <xf numFmtId="180" fontId="6" fillId="0" borderId="0" xfId="16" applyNumberFormat="1" applyFont="1" applyAlignment="1">
      <alignment horizontal="right" vertical="center"/>
    </xf>
    <xf numFmtId="0" fontId="18" fillId="0" borderId="0" xfId="16" applyFont="1" applyAlignment="1">
      <alignment vertical="center"/>
    </xf>
    <xf numFmtId="0" fontId="16" fillId="0" borderId="0" xfId="16" applyFont="1" applyAlignment="1">
      <alignment vertical="center"/>
    </xf>
    <xf numFmtId="0" fontId="26" fillId="0" borderId="0" xfId="17">
      <alignment vertical="center"/>
    </xf>
    <xf numFmtId="0" fontId="26" fillId="0" borderId="0" xfId="17" applyAlignment="1">
      <alignment horizontal="right"/>
    </xf>
    <xf numFmtId="180" fontId="26" fillId="0" borderId="0" xfId="17" applyNumberFormat="1" applyAlignment="1">
      <alignment horizontal="right"/>
    </xf>
    <xf numFmtId="0" fontId="6" fillId="0" borderId="0" xfId="17" applyFont="1" applyAlignment="1">
      <alignment horizontal="right" vertical="center"/>
    </xf>
    <xf numFmtId="180" fontId="6" fillId="0" borderId="0" xfId="17" applyNumberFormat="1" applyFont="1" applyAlignment="1">
      <alignment horizontal="right" vertical="center"/>
    </xf>
    <xf numFmtId="0" fontId="28" fillId="0" borderId="22" xfId="0" applyFont="1" applyBorder="1" applyAlignment="1">
      <alignment horizontal="center" vertical="center"/>
    </xf>
    <xf numFmtId="0" fontId="29" fillId="0" borderId="0" xfId="17" applyFont="1">
      <alignment vertical="center"/>
    </xf>
    <xf numFmtId="182" fontId="30" fillId="0" borderId="4" xfId="0" applyNumberFormat="1" applyFont="1" applyFill="1" applyBorder="1" applyAlignment="1">
      <alignment horizontal="right" vertical="center"/>
    </xf>
    <xf numFmtId="9" fontId="30" fillId="0" borderId="5" xfId="0" quotePrefix="1" applyNumberFormat="1" applyFont="1" applyFill="1" applyBorder="1" applyAlignment="1">
      <alignment horizontal="right" vertical="center"/>
    </xf>
    <xf numFmtId="9" fontId="31" fillId="0" borderId="7" xfId="0" applyNumberFormat="1" applyFont="1" applyFill="1" applyBorder="1" applyAlignment="1">
      <alignment horizontal="right" vertical="center"/>
    </xf>
    <xf numFmtId="182" fontId="30" fillId="5" borderId="4" xfId="0" applyNumberFormat="1" applyFont="1" applyFill="1" applyBorder="1" applyAlignment="1">
      <alignment horizontal="right" vertical="center"/>
    </xf>
    <xf numFmtId="9" fontId="30" fillId="5" borderId="5" xfId="0" quotePrefix="1" applyNumberFormat="1" applyFont="1" applyFill="1" applyBorder="1" applyAlignment="1">
      <alignment horizontal="right" vertical="center"/>
    </xf>
    <xf numFmtId="9" fontId="31" fillId="5" borderId="7" xfId="0" applyNumberFormat="1" applyFont="1" applyFill="1" applyBorder="1" applyAlignment="1">
      <alignment horizontal="right" vertical="center"/>
    </xf>
    <xf numFmtId="176" fontId="32" fillId="0" borderId="4" xfId="0" applyNumberFormat="1" applyFont="1" applyFill="1" applyBorder="1" applyAlignment="1">
      <alignment horizontal="center" vertical="center"/>
    </xf>
    <xf numFmtId="176" fontId="32" fillId="5" borderId="4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right" vertical="center"/>
    </xf>
    <xf numFmtId="9" fontId="31" fillId="5" borderId="1" xfId="0" applyNumberFormat="1" applyFont="1" applyFill="1" applyBorder="1" applyAlignment="1">
      <alignment horizontal="right" vertical="center"/>
    </xf>
    <xf numFmtId="176" fontId="31" fillId="5" borderId="1" xfId="0" applyNumberFormat="1" applyFont="1" applyFill="1" applyBorder="1" applyAlignment="1">
      <alignment horizontal="right" vertical="center"/>
    </xf>
    <xf numFmtId="176" fontId="14" fillId="4" borderId="3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right" vertical="center" shrinkToFit="1"/>
    </xf>
    <xf numFmtId="9" fontId="14" fillId="4" borderId="5" xfId="0" quotePrefix="1" applyNumberFormat="1" applyFont="1" applyFill="1" applyBorder="1" applyAlignment="1">
      <alignment horizontal="right" vertical="center" shrinkToFit="1"/>
    </xf>
    <xf numFmtId="176" fontId="17" fillId="4" borderId="1" xfId="0" applyNumberFormat="1" applyFont="1" applyFill="1" applyBorder="1" applyAlignment="1">
      <alignment horizontal="right" vertical="center" shrinkToFit="1"/>
    </xf>
    <xf numFmtId="0" fontId="18" fillId="0" borderId="0" xfId="16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4" fillId="4" borderId="12" xfId="0" applyNumberFormat="1" applyFont="1" applyFill="1" applyBorder="1" applyAlignment="1">
      <alignment horizontal="right" vertical="center"/>
    </xf>
    <xf numFmtId="176" fontId="14" fillId="4" borderId="24" xfId="0" applyNumberFormat="1" applyFont="1" applyFill="1" applyBorder="1" applyAlignment="1">
      <alignment horizontal="right" vertical="center" shrinkToFit="1"/>
    </xf>
    <xf numFmtId="9" fontId="14" fillId="4" borderId="13" xfId="0" quotePrefix="1" applyNumberFormat="1" applyFont="1" applyFill="1" applyBorder="1" applyAlignment="1">
      <alignment horizontal="right" vertical="center"/>
    </xf>
    <xf numFmtId="176" fontId="17" fillId="4" borderId="12" xfId="0" applyNumberFormat="1" applyFont="1" applyFill="1" applyBorder="1" applyAlignment="1">
      <alignment horizontal="right" vertical="center"/>
    </xf>
    <xf numFmtId="9" fontId="17" fillId="4" borderId="14" xfId="0" applyNumberFormat="1" applyFont="1" applyFill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36" fillId="6" borderId="1" xfId="17" applyNumberFormat="1" applyFont="1" applyFill="1" applyBorder="1" applyAlignment="1">
      <alignment horizontal="center" vertical="center"/>
    </xf>
    <xf numFmtId="183" fontId="25" fillId="0" borderId="12" xfId="0" applyNumberFormat="1" applyFont="1" applyBorder="1" applyAlignment="1">
      <alignment horizontal="right" vertical="center"/>
    </xf>
    <xf numFmtId="183" fontId="33" fillId="0" borderId="23" xfId="0" applyNumberFormat="1" applyFont="1" applyBorder="1" applyAlignment="1">
      <alignment horizontal="right" vertical="center"/>
    </xf>
    <xf numFmtId="183" fontId="25" fillId="0" borderId="12" xfId="0" applyNumberFormat="1" applyFont="1" applyBorder="1" applyAlignment="1">
      <alignment horizontal="right" vertical="center" shrinkToFit="1"/>
    </xf>
    <xf numFmtId="183" fontId="33" fillId="0" borderId="23" xfId="0" applyNumberFormat="1" applyFont="1" applyBorder="1" applyAlignment="1">
      <alignment horizontal="right" vertical="center" shrinkToFit="1"/>
    </xf>
    <xf numFmtId="176" fontId="35" fillId="0" borderId="23" xfId="15" applyFont="1" applyBorder="1" applyAlignment="1">
      <alignment horizontal="right" vertical="center" shrinkToFit="1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5" xfId="0" applyNumberFormat="1" applyFont="1" applyFill="1" applyBorder="1" applyAlignment="1">
      <alignment horizontal="center" vertical="center"/>
    </xf>
    <xf numFmtId="0" fontId="26" fillId="0" borderId="0" xfId="17" applyFont="1">
      <alignment vertical="center"/>
    </xf>
    <xf numFmtId="186" fontId="24" fillId="6" borderId="21" xfId="0" applyNumberFormat="1" applyFont="1" applyFill="1" applyBorder="1" applyAlignment="1">
      <alignment horizontal="center" vertical="center"/>
    </xf>
    <xf numFmtId="187" fontId="24" fillId="6" borderId="21" xfId="0" quotePrefix="1" applyNumberFormat="1" applyFont="1" applyFill="1" applyBorder="1" applyAlignment="1">
      <alignment horizontal="center" vertical="center"/>
    </xf>
    <xf numFmtId="183" fontId="25" fillId="0" borderId="1" xfId="17" applyNumberFormat="1" applyFont="1" applyBorder="1" applyAlignment="1">
      <alignment vertical="center" shrinkToFit="1"/>
    </xf>
    <xf numFmtId="184" fontId="14" fillId="5" borderId="12" xfId="17" quotePrefix="1" applyNumberFormat="1" applyFont="1" applyFill="1" applyBorder="1" applyAlignment="1">
      <alignment horizontal="right" vertical="center" shrinkToFit="1"/>
    </xf>
    <xf numFmtId="184" fontId="14" fillId="5" borderId="14" xfId="17" quotePrefix="1" applyNumberFormat="1" applyFont="1" applyFill="1" applyBorder="1" applyAlignment="1">
      <alignment horizontal="right" vertical="center" shrinkToFit="1"/>
    </xf>
    <xf numFmtId="176" fontId="13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8" fontId="13" fillId="0" borderId="4" xfId="0" applyNumberFormat="1" applyFont="1" applyBorder="1" applyAlignment="1">
      <alignment horizontal="right" vertical="center"/>
    </xf>
    <xf numFmtId="182" fontId="13" fillId="5" borderId="3" xfId="0" applyNumberFormat="1" applyFont="1" applyFill="1" applyBorder="1" applyAlignment="1">
      <alignment horizontal="right" vertical="center"/>
    </xf>
    <xf numFmtId="182" fontId="13" fillId="0" borderId="3" xfId="0" applyNumberFormat="1" applyFont="1" applyFill="1" applyBorder="1" applyAlignment="1">
      <alignment horizontal="right" vertical="center"/>
    </xf>
    <xf numFmtId="182" fontId="30" fillId="5" borderId="3" xfId="0" applyNumberFormat="1" applyFont="1" applyFill="1" applyBorder="1" applyAlignment="1">
      <alignment horizontal="right" vertical="center"/>
    </xf>
    <xf numFmtId="182" fontId="30" fillId="0" borderId="3" xfId="0" applyNumberFormat="1" applyFont="1" applyFill="1" applyBorder="1" applyAlignment="1">
      <alignment horizontal="right" vertical="center"/>
    </xf>
    <xf numFmtId="182" fontId="31" fillId="5" borderId="1" xfId="0" applyNumberFormat="1" applyFont="1" applyFill="1" applyBorder="1" applyAlignment="1">
      <alignment horizontal="right" vertical="center"/>
    </xf>
    <xf numFmtId="182" fontId="6" fillId="5" borderId="1" xfId="0" applyNumberFormat="1" applyFont="1" applyFill="1" applyBorder="1" applyAlignment="1">
      <alignment horizontal="right" vertical="center"/>
    </xf>
    <xf numFmtId="182" fontId="31" fillId="0" borderId="1" xfId="0" applyNumberFormat="1" applyFont="1" applyFill="1" applyBorder="1" applyAlignment="1">
      <alignment horizontal="right" vertical="center"/>
    </xf>
    <xf numFmtId="182" fontId="17" fillId="4" borderId="1" xfId="0" applyNumberFormat="1" applyFont="1" applyFill="1" applyBorder="1" applyAlignment="1">
      <alignment horizontal="right" vertical="center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left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3" fillId="7" borderId="11" xfId="0" applyNumberFormat="1" applyFont="1" applyFill="1" applyBorder="1" applyAlignment="1">
      <alignment vertical="center"/>
    </xf>
    <xf numFmtId="183" fontId="35" fillId="0" borderId="12" xfId="0" applyNumberFormat="1" applyFont="1" applyBorder="1" applyAlignment="1">
      <alignment horizontal="right" vertical="center"/>
    </xf>
    <xf numFmtId="176" fontId="25" fillId="0" borderId="12" xfId="15" applyFont="1" applyBorder="1" applyAlignment="1">
      <alignment horizontal="right" vertical="center"/>
    </xf>
    <xf numFmtId="41" fontId="25" fillId="8" borderId="0" xfId="40" applyFont="1" applyFill="1" applyBorder="1" applyAlignment="1">
      <alignment horizontal="center" vertical="center"/>
    </xf>
    <xf numFmtId="176" fontId="14" fillId="6" borderId="20" xfId="17" quotePrefix="1" applyNumberFormat="1" applyFont="1" applyFill="1" applyBorder="1" applyAlignment="1">
      <alignment horizontal="center" vertical="center"/>
    </xf>
    <xf numFmtId="176" fontId="14" fillId="6" borderId="1" xfId="17" applyNumberFormat="1" applyFont="1" applyFill="1" applyBorder="1" applyAlignment="1">
      <alignment horizontal="center" vertical="center"/>
    </xf>
    <xf numFmtId="9" fontId="14" fillId="6" borderId="1" xfId="17" applyNumberFormat="1" applyFont="1" applyFill="1" applyBorder="1" applyAlignment="1">
      <alignment horizontal="center" vertical="center"/>
    </xf>
    <xf numFmtId="0" fontId="17" fillId="6" borderId="1" xfId="17" applyFont="1" applyFill="1" applyBorder="1" applyAlignment="1">
      <alignment horizontal="center" vertical="center"/>
    </xf>
    <xf numFmtId="0" fontId="24" fillId="5" borderId="1" xfId="17" applyFont="1" applyFill="1" applyBorder="1" applyAlignment="1">
      <alignment horizontal="center" vertical="center"/>
    </xf>
    <xf numFmtId="185" fontId="14" fillId="4" borderId="1" xfId="17" applyNumberFormat="1" applyFont="1" applyFill="1" applyBorder="1" applyAlignment="1">
      <alignment horizontal="right" vertical="center" shrinkToFit="1"/>
    </xf>
    <xf numFmtId="184" fontId="14" fillId="4" borderId="1" xfId="17" quotePrefix="1" applyNumberFormat="1" applyFont="1" applyFill="1" applyBorder="1" applyAlignment="1">
      <alignment horizontal="right" vertical="center" shrinkToFit="1"/>
    </xf>
    <xf numFmtId="176" fontId="17" fillId="4" borderId="1" xfId="17" applyNumberFormat="1" applyFont="1" applyFill="1" applyBorder="1" applyAlignment="1">
      <alignment horizontal="right" vertical="center" shrinkToFit="1"/>
    </xf>
    <xf numFmtId="185" fontId="14" fillId="5" borderId="1" xfId="17" applyNumberFormat="1" applyFont="1" applyFill="1" applyBorder="1" applyAlignment="1">
      <alignment horizontal="right" vertical="center" shrinkToFit="1"/>
    </xf>
    <xf numFmtId="184" fontId="14" fillId="5" borderId="1" xfId="17" quotePrefix="1" applyNumberFormat="1" applyFont="1" applyFill="1" applyBorder="1" applyAlignment="1">
      <alignment horizontal="right" vertical="center" shrinkToFit="1"/>
    </xf>
    <xf numFmtId="176" fontId="17" fillId="5" borderId="1" xfId="17" applyNumberFormat="1" applyFont="1" applyFill="1" applyBorder="1" applyAlignment="1">
      <alignment horizontal="right" vertical="center" shrinkToFit="1"/>
    </xf>
    <xf numFmtId="183" fontId="24" fillId="4" borderId="1" xfId="17" applyNumberFormat="1" applyFont="1" applyFill="1" applyBorder="1" applyAlignment="1">
      <alignment vertical="center" shrinkToFit="1"/>
    </xf>
    <xf numFmtId="0" fontId="24" fillId="0" borderId="1" xfId="17" applyFont="1" applyFill="1" applyBorder="1" applyAlignment="1">
      <alignment horizontal="center" vertical="center"/>
    </xf>
    <xf numFmtId="185" fontId="14" fillId="0" borderId="1" xfId="17" applyNumberFormat="1" applyFont="1" applyFill="1" applyBorder="1" applyAlignment="1">
      <alignment horizontal="right" vertical="center" shrinkToFit="1"/>
    </xf>
    <xf numFmtId="41" fontId="25" fillId="0" borderId="1" xfId="17" applyNumberFormat="1" applyFont="1" applyBorder="1" applyAlignment="1">
      <alignment vertical="center" shrinkToFit="1"/>
    </xf>
    <xf numFmtId="180" fontId="14" fillId="6" borderId="7" xfId="17" applyNumberFormat="1" applyFont="1" applyFill="1" applyBorder="1" applyAlignment="1">
      <alignment horizontal="center" vertical="center"/>
    </xf>
    <xf numFmtId="184" fontId="14" fillId="4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/>
    </xf>
    <xf numFmtId="0" fontId="24" fillId="5" borderId="12" xfId="17" applyFont="1" applyFill="1" applyBorder="1" applyAlignment="1">
      <alignment horizontal="center" vertical="center"/>
    </xf>
    <xf numFmtId="185" fontId="14" fillId="5" borderId="12" xfId="17" applyNumberFormat="1" applyFont="1" applyFill="1" applyBorder="1" applyAlignment="1">
      <alignment horizontal="right" vertical="center" shrinkToFit="1"/>
    </xf>
    <xf numFmtId="176" fontId="17" fillId="5" borderId="12" xfId="17" applyNumberFormat="1" applyFont="1" applyFill="1" applyBorder="1" applyAlignment="1">
      <alignment horizontal="right" vertical="center" shrinkToFit="1"/>
    </xf>
    <xf numFmtId="41" fontId="25" fillId="0" borderId="7" xfId="17" applyNumberFormat="1" applyFont="1" applyBorder="1" applyAlignment="1">
      <alignment vertical="center" shrinkToFit="1"/>
    </xf>
    <xf numFmtId="0" fontId="24" fillId="4" borderId="1" xfId="17" applyFont="1" applyFill="1" applyBorder="1" applyAlignment="1">
      <alignment horizontal="center" vertical="center"/>
    </xf>
    <xf numFmtId="41" fontId="25" fillId="8" borderId="39" xfId="40" applyFont="1" applyFill="1" applyBorder="1" applyAlignment="1">
      <alignment horizontal="center" vertical="center"/>
    </xf>
    <xf numFmtId="41" fontId="25" fillId="8" borderId="39" xfId="23" applyFont="1" applyFill="1" applyBorder="1" applyAlignment="1">
      <alignment vertical="center"/>
    </xf>
    <xf numFmtId="41" fontId="25" fillId="8" borderId="40" xfId="40" applyFont="1" applyFill="1" applyBorder="1" applyAlignment="1">
      <alignment horizontal="center" vertical="center"/>
    </xf>
    <xf numFmtId="41" fontId="25" fillId="8" borderId="40" xfId="23" applyFont="1" applyFill="1" applyBorder="1" applyAlignment="1">
      <alignment vertical="center"/>
    </xf>
    <xf numFmtId="189" fontId="38" fillId="8" borderId="1" xfId="39" applyNumberFormat="1" applyFont="1" applyFill="1" applyBorder="1" applyAlignment="1">
      <alignment horizontal="right" vertical="center"/>
    </xf>
    <xf numFmtId="182" fontId="39" fillId="8" borderId="1" xfId="41" applyNumberFormat="1" applyFont="1" applyFill="1" applyBorder="1" applyAlignment="1">
      <alignment horizontal="right" vertical="center"/>
    </xf>
    <xf numFmtId="182" fontId="39" fillId="8" borderId="1" xfId="55" applyNumberFormat="1" applyFont="1" applyFill="1" applyBorder="1" applyAlignment="1">
      <alignment horizontal="right" vertical="center"/>
    </xf>
    <xf numFmtId="182" fontId="39" fillId="8" borderId="1" xfId="55" applyNumberFormat="1" applyFont="1" applyFill="1" applyBorder="1" applyAlignment="1">
      <alignment horizontal="right" vertical="center"/>
    </xf>
    <xf numFmtId="189" fontId="25" fillId="8" borderId="1" xfId="39" applyNumberFormat="1" applyFont="1" applyFill="1" applyBorder="1" applyAlignment="1">
      <alignment horizontal="right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5" borderId="5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horizontal="center" vertical="center"/>
    </xf>
    <xf numFmtId="176" fontId="13" fillId="0" borderId="3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25" xfId="0" applyNumberFormat="1" applyFont="1" applyFill="1" applyBorder="1" applyAlignment="1">
      <alignment horizontal="center" vertical="center"/>
    </xf>
    <xf numFmtId="176" fontId="13" fillId="5" borderId="16" xfId="0" applyNumberFormat="1" applyFont="1" applyFill="1" applyBorder="1" applyAlignment="1">
      <alignment horizontal="center" vertical="center"/>
    </xf>
    <xf numFmtId="176" fontId="14" fillId="7" borderId="9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center" vertical="center"/>
    </xf>
    <xf numFmtId="176" fontId="14" fillId="7" borderId="11" xfId="0" applyNumberFormat="1" applyFont="1" applyFill="1" applyBorder="1" applyAlignment="1">
      <alignment horizontal="center" vertical="center"/>
    </xf>
    <xf numFmtId="176" fontId="14" fillId="4" borderId="5" xfId="0" applyNumberFormat="1" applyFont="1" applyFill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9" fontId="14" fillId="5" borderId="6" xfId="0" applyNumberFormat="1" applyFont="1" applyFill="1" applyBorder="1" applyAlignment="1">
      <alignment horizontal="right"/>
    </xf>
    <xf numFmtId="9" fontId="14" fillId="5" borderId="6" xfId="0" quotePrefix="1" applyNumberFormat="1" applyFont="1" applyFill="1" applyBorder="1" applyAlignment="1">
      <alignment horizontal="right"/>
    </xf>
    <xf numFmtId="9" fontId="14" fillId="5" borderId="26" xfId="0" quotePrefix="1" applyNumberFormat="1" applyFont="1" applyFill="1" applyBorder="1" applyAlignment="1">
      <alignment horizontal="right"/>
    </xf>
    <xf numFmtId="176" fontId="14" fillId="6" borderId="20" xfId="0" applyNumberFormat="1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center" vertical="center"/>
    </xf>
    <xf numFmtId="176" fontId="13" fillId="2" borderId="25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6" fontId="14" fillId="6" borderId="27" xfId="0" applyNumberFormat="1" applyFont="1" applyFill="1" applyBorder="1" applyAlignment="1">
      <alignment horizontal="center" vertical="center"/>
    </xf>
    <xf numFmtId="176" fontId="14" fillId="6" borderId="15" xfId="0" applyNumberFormat="1" applyFont="1" applyFill="1" applyBorder="1" applyAlignment="1">
      <alignment horizontal="center" vertical="center"/>
    </xf>
    <xf numFmtId="176" fontId="14" fillId="6" borderId="21" xfId="0" applyNumberFormat="1" applyFont="1" applyFill="1" applyBorder="1" applyAlignment="1">
      <alignment horizontal="center" vertical="center"/>
    </xf>
    <xf numFmtId="176" fontId="14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2" fillId="0" borderId="0" xfId="0" applyNumberFormat="1" applyFont="1" applyAlignment="1">
      <alignment horizontal="center" wrapText="1"/>
    </xf>
    <xf numFmtId="176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 vertical="top" wrapText="1"/>
    </xf>
    <xf numFmtId="176" fontId="14" fillId="6" borderId="37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4" fillId="6" borderId="33" xfId="0" applyNumberFormat="1" applyFont="1" applyFill="1" applyBorder="1" applyAlignment="1">
      <alignment horizontal="center" vertical="center"/>
    </xf>
    <xf numFmtId="176" fontId="14" fillId="6" borderId="34" xfId="0" applyNumberFormat="1" applyFont="1" applyFill="1" applyBorder="1" applyAlignment="1">
      <alignment horizontal="center" vertical="center"/>
    </xf>
    <xf numFmtId="176" fontId="14" fillId="6" borderId="2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176" fontId="14" fillId="6" borderId="20" xfId="17" applyNumberFormat="1" applyFont="1" applyFill="1" applyBorder="1" applyAlignment="1">
      <alignment horizontal="center" vertical="center"/>
    </xf>
    <xf numFmtId="176" fontId="14" fillId="6" borderId="38" xfId="17" applyNumberFormat="1" applyFont="1" applyFill="1" applyBorder="1" applyAlignment="1">
      <alignment horizontal="center" vertical="center"/>
    </xf>
    <xf numFmtId="0" fontId="24" fillId="4" borderId="36" xfId="17" applyFont="1" applyFill="1" applyBorder="1" applyAlignment="1">
      <alignment horizontal="center" vertical="center"/>
    </xf>
    <xf numFmtId="0" fontId="24" fillId="4" borderId="1" xfId="17" applyFont="1" applyFill="1" applyBorder="1" applyAlignment="1">
      <alignment horizontal="center" vertical="center"/>
    </xf>
    <xf numFmtId="0" fontId="25" fillId="0" borderId="36" xfId="17" applyFont="1" applyBorder="1" applyAlignment="1">
      <alignment horizontal="center" vertical="center"/>
    </xf>
    <xf numFmtId="0" fontId="25" fillId="0" borderId="1" xfId="17" applyFont="1" applyBorder="1" applyAlignment="1">
      <alignment horizontal="center" vertical="center"/>
    </xf>
    <xf numFmtId="176" fontId="14" fillId="6" borderId="19" xfId="17" applyNumberFormat="1" applyFont="1" applyFill="1" applyBorder="1" applyAlignment="1">
      <alignment horizontal="center" vertical="center"/>
    </xf>
    <xf numFmtId="0" fontId="26" fillId="6" borderId="20" xfId="17" applyFill="1" applyBorder="1">
      <alignment vertical="center"/>
    </xf>
    <xf numFmtId="0" fontId="26" fillId="6" borderId="36" xfId="17" applyFill="1" applyBorder="1">
      <alignment vertical="center"/>
    </xf>
    <xf numFmtId="0" fontId="26" fillId="6" borderId="1" xfId="17" applyFill="1" applyBorder="1">
      <alignment vertical="center"/>
    </xf>
    <xf numFmtId="0" fontId="27" fillId="6" borderId="20" xfId="17" applyFont="1" applyFill="1" applyBorder="1" applyAlignment="1">
      <alignment horizontal="center" vertical="center"/>
    </xf>
    <xf numFmtId="0" fontId="27" fillId="6" borderId="1" xfId="17" applyFont="1" applyFill="1" applyBorder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5" fillId="0" borderId="12" xfId="17" applyFont="1" applyBorder="1" applyAlignment="1">
      <alignment horizontal="center" vertical="center"/>
    </xf>
    <xf numFmtId="0" fontId="25" fillId="0" borderId="36" xfId="17" applyFont="1" applyFill="1" applyBorder="1" applyAlignment="1">
      <alignment horizontal="center" vertical="center"/>
    </xf>
    <xf numFmtId="0" fontId="25" fillId="0" borderId="1" xfId="17" applyFont="1" applyFill="1" applyBorder="1" applyAlignment="1">
      <alignment horizontal="center" vertical="center"/>
    </xf>
  </cellXfs>
  <cellStyles count="57"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쉼표 [0]" xfId="15" builtinId="6"/>
    <cellStyle name="쉼표 [0] 2" xfId="20" xr:uid="{00000000-0005-0000-0000-00000F000000}"/>
    <cellStyle name="쉼표 [0] 3" xfId="23" xr:uid="{00000000-0005-0000-0000-000010000000}"/>
    <cellStyle name="쉼표 [0] 3 2" xfId="33" xr:uid="{00000000-0005-0000-0000-000011000000}"/>
    <cellStyle name="쉼표 [0] 4" xfId="40" xr:uid="{00000000-0005-0000-0000-000012000000}"/>
    <cellStyle name="쉼표 [0] 5" xfId="56" xr:uid="{00000000-0005-0000-0000-000013000000}"/>
    <cellStyle name="표준" xfId="0" builtinId="0"/>
    <cellStyle name="표준 2" xfId="19" xr:uid="{00000000-0005-0000-0000-000015000000}"/>
    <cellStyle name="표준 3" xfId="18" xr:uid="{00000000-0005-0000-0000-000016000000}"/>
    <cellStyle name="표준 3 2" xfId="21" xr:uid="{00000000-0005-0000-0000-000017000000}"/>
    <cellStyle name="표준 3 2 2" xfId="29" xr:uid="{00000000-0005-0000-0000-000018000000}"/>
    <cellStyle name="표준 3 2 2 2" xfId="39" xr:uid="{00000000-0005-0000-0000-000019000000}"/>
    <cellStyle name="표준 3 2 2 2 2" xfId="55" xr:uid="{00000000-0005-0000-0000-00001A000000}"/>
    <cellStyle name="표준 3 2 2 3" xfId="47" xr:uid="{00000000-0005-0000-0000-00001B000000}"/>
    <cellStyle name="표준 3 2 3" xfId="27" xr:uid="{00000000-0005-0000-0000-00001C000000}"/>
    <cellStyle name="표준 3 2 3 2" xfId="37" xr:uid="{00000000-0005-0000-0000-00001D000000}"/>
    <cellStyle name="표준 3 2 3 2 2" xfId="53" xr:uid="{00000000-0005-0000-0000-00001E000000}"/>
    <cellStyle name="표준 3 2 3 3" xfId="45" xr:uid="{00000000-0005-0000-0000-00001F000000}"/>
    <cellStyle name="표준 3 2 4" xfId="35" xr:uid="{00000000-0005-0000-0000-000020000000}"/>
    <cellStyle name="표준 3 2 4 2" xfId="51" xr:uid="{00000000-0005-0000-0000-000021000000}"/>
    <cellStyle name="표준 3 2 5" xfId="43" xr:uid="{00000000-0005-0000-0000-000022000000}"/>
    <cellStyle name="표준 3 2 6" xfId="25" xr:uid="{00000000-0005-0000-0000-000023000000}"/>
    <cellStyle name="표준 3 3" xfId="28" xr:uid="{00000000-0005-0000-0000-000024000000}"/>
    <cellStyle name="표준 3 3 2" xfId="38" xr:uid="{00000000-0005-0000-0000-000025000000}"/>
    <cellStyle name="표준 3 3 2 2" xfId="54" xr:uid="{00000000-0005-0000-0000-000026000000}"/>
    <cellStyle name="표준 3 3 3" xfId="46" xr:uid="{00000000-0005-0000-0000-000027000000}"/>
    <cellStyle name="표준 3 4" xfId="26" xr:uid="{00000000-0005-0000-0000-000028000000}"/>
    <cellStyle name="표준 3 4 2" xfId="36" xr:uid="{00000000-0005-0000-0000-000029000000}"/>
    <cellStyle name="표준 3 4 2 2" xfId="52" xr:uid="{00000000-0005-0000-0000-00002A000000}"/>
    <cellStyle name="표준 3 4 3" xfId="44" xr:uid="{00000000-0005-0000-0000-00002B000000}"/>
    <cellStyle name="표준 3 5" xfId="30" xr:uid="{00000000-0005-0000-0000-00002C000000}"/>
    <cellStyle name="표준 3 5 2" xfId="48" xr:uid="{00000000-0005-0000-0000-00002D000000}"/>
    <cellStyle name="표준 3 6" xfId="34" xr:uid="{00000000-0005-0000-0000-00002E000000}"/>
    <cellStyle name="표준 3 6 2" xfId="50" xr:uid="{00000000-0005-0000-0000-00002F000000}"/>
    <cellStyle name="표준 3 7" xfId="42" xr:uid="{00000000-0005-0000-0000-000030000000}"/>
    <cellStyle name="표준 3 8" xfId="24" xr:uid="{00000000-0005-0000-0000-000031000000}"/>
    <cellStyle name="표준 4" xfId="22" xr:uid="{00000000-0005-0000-0000-000032000000}"/>
    <cellStyle name="표준 5" xfId="32" xr:uid="{00000000-0005-0000-0000-000033000000}"/>
    <cellStyle name="표준 6" xfId="31" xr:uid="{00000000-0005-0000-0000-000034000000}"/>
    <cellStyle name="표준 6 2" xfId="49" xr:uid="{00000000-0005-0000-0000-000035000000}"/>
    <cellStyle name="표준 7" xfId="41" xr:uid="{00000000-0005-0000-0000-000036000000}"/>
    <cellStyle name="표준_2008년 03월 평택.당진항 항만운영통계" xfId="16" xr:uid="{00000000-0005-0000-0000-000037000000}"/>
    <cellStyle name="표준_부두별입출항 실적(03)" xfId="17" xr:uid="{00000000-0005-0000-0000-000038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11079805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10428099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79971584"/>
        <c:axId val="179973120"/>
        <c:axId val="0"/>
      </c:bar3DChart>
      <c:catAx>
        <c:axId val="179971584"/>
        <c:scaling>
          <c:orientation val="minMax"/>
        </c:scaling>
        <c:delete val="1"/>
        <c:axPos val="b"/>
        <c:majorTickMark val="out"/>
        <c:minorTickMark val="none"/>
        <c:tickLblPos val="none"/>
        <c:crossAx val="179973120"/>
        <c:crosses val="autoZero"/>
        <c:auto val="1"/>
        <c:lblAlgn val="ctr"/>
        <c:lblOffset val="100"/>
        <c:noMultiLvlLbl val="0"/>
      </c:catAx>
      <c:valAx>
        <c:axId val="179973120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79971584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88435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62008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80022656"/>
        <c:axId val="210961536"/>
        <c:axId val="0"/>
      </c:bar3DChart>
      <c:catAx>
        <c:axId val="180022656"/>
        <c:scaling>
          <c:orientation val="minMax"/>
        </c:scaling>
        <c:delete val="1"/>
        <c:axPos val="b"/>
        <c:majorTickMark val="out"/>
        <c:minorTickMark val="none"/>
        <c:tickLblPos val="none"/>
        <c:crossAx val="210961536"/>
        <c:crosses val="autoZero"/>
        <c:auto val="1"/>
        <c:lblAlgn val="ctr"/>
        <c:lblOffset val="100"/>
        <c:noMultiLvlLbl val="0"/>
      </c:catAx>
      <c:valAx>
        <c:axId val="210961536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0022656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 formatCode="0.00_);[Red]\(0.00\)">
                  <c:v>23.01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115147</c:v>
                </c:pt>
                <c:pt idx="1">
                  <c:v>113201</c:v>
                </c:pt>
                <c:pt idx="2">
                  <c:v>106847</c:v>
                </c:pt>
                <c:pt idx="3">
                  <c:v>116876</c:v>
                </c:pt>
                <c:pt idx="4">
                  <c:v>116137</c:v>
                </c:pt>
                <c:pt idx="5">
                  <c:v>11059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45984"/>
        <c:axId val="179548160"/>
      </c:lineChart>
      <c:catAx>
        <c:axId val="179545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79548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95481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795459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 formatCode="0.00_);[Red]\(0.00\)">
                  <c:v>23.01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689852</c:v>
                </c:pt>
                <c:pt idx="1">
                  <c:v>725047</c:v>
                </c:pt>
                <c:pt idx="2">
                  <c:v>792643</c:v>
                </c:pt>
                <c:pt idx="3">
                  <c:v>936246</c:v>
                </c:pt>
                <c:pt idx="4">
                  <c:v>851953</c:v>
                </c:pt>
                <c:pt idx="5">
                  <c:v>62008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64544"/>
        <c:axId val="179566464"/>
      </c:lineChart>
      <c:catAx>
        <c:axId val="179564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79566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9566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7956454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 formatCode="0.00_);[Red]\(0.00\)">
                  <c:v>23.01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452480</c:v>
                </c:pt>
                <c:pt idx="1">
                  <c:v>623733</c:v>
                </c:pt>
                <c:pt idx="2">
                  <c:v>40267</c:v>
                </c:pt>
                <c:pt idx="3" formatCode="_ * #,##0_ ;_ * \-#,##0_ ;_ * &quot;-&quot;_ ;_ @_ ">
                  <c:v>0</c:v>
                </c:pt>
                <c:pt idx="4" formatCode="_ * #,##0_ ;_ * \-#,##0_ ;_ * &quot;-&quot;_ ;_ @_ ">
                  <c:v>0</c:v>
                </c:pt>
                <c:pt idx="5" formatCode="_ * #,##0_ ;_ * \-#,##0_ ;_ * &quot;-&quot;_ ;_ @_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658112"/>
        <c:axId val="179680768"/>
      </c:lineChart>
      <c:catAx>
        <c:axId val="17965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79680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96807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796581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 formatCode="0.00_);\(0.00\)">
                  <c:v>23.01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1385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91456"/>
        <c:axId val="180301824"/>
      </c:lineChart>
      <c:catAx>
        <c:axId val="180291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03018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03018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029145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 formatCode="0.00_);\(0.00\)">
                  <c:v>23.01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1385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26400"/>
        <c:axId val="180328320"/>
      </c:lineChart>
      <c:catAx>
        <c:axId val="180326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03283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03283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032640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:a16="http://schemas.microsoft.com/office/drawing/2014/main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:a16="http://schemas.microsoft.com/office/drawing/2014/main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tabSelected="1" topLeftCell="A3" zoomScaleNormal="100" zoomScaleSheetLayoutView="110" workbookViewId="0">
      <pane xSplit="4" ySplit="5" topLeftCell="E9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8" t="s">
        <v>26</v>
      </c>
      <c r="L1" s="186"/>
      <c r="M1" s="186"/>
    </row>
    <row r="2" spans="2:15" ht="33" customHeight="1">
      <c r="B2" s="196" t="s">
        <v>49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pans="2:15" ht="27.75" customHeight="1">
      <c r="B3" s="198" t="s">
        <v>105</v>
      </c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</row>
    <row r="4" spans="2:15" ht="21.2" customHeight="1" thickBot="1">
      <c r="B4" s="169" t="s">
        <v>71</v>
      </c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</row>
    <row r="5" spans="2:15" ht="21.2" customHeight="1">
      <c r="B5" s="190" t="s">
        <v>7</v>
      </c>
      <c r="C5" s="191"/>
      <c r="D5" s="192"/>
      <c r="E5" s="35"/>
      <c r="F5" s="188" t="s">
        <v>102</v>
      </c>
      <c r="G5" s="199"/>
      <c r="H5" s="182" t="s">
        <v>103</v>
      </c>
      <c r="I5" s="182"/>
      <c r="J5" s="187" t="s">
        <v>15</v>
      </c>
      <c r="K5" s="188"/>
      <c r="L5" s="188"/>
      <c r="M5" s="189"/>
    </row>
    <row r="6" spans="2:15" ht="20.25" customHeight="1">
      <c r="B6" s="193"/>
      <c r="C6" s="194"/>
      <c r="D6" s="195"/>
      <c r="E6" s="36" t="s">
        <v>11</v>
      </c>
      <c r="F6" s="104" t="s">
        <v>96</v>
      </c>
      <c r="G6" s="37" t="s">
        <v>97</v>
      </c>
      <c r="H6" s="104" t="s">
        <v>98</v>
      </c>
      <c r="I6" s="105" t="s">
        <v>99</v>
      </c>
      <c r="J6" s="37" t="s">
        <v>57</v>
      </c>
      <c r="K6" s="38" t="s">
        <v>16</v>
      </c>
      <c r="L6" s="39" t="s">
        <v>18</v>
      </c>
      <c r="M6" s="40" t="s">
        <v>16</v>
      </c>
    </row>
    <row r="7" spans="2:15" ht="21.2" customHeight="1">
      <c r="B7" s="174" t="s">
        <v>21</v>
      </c>
      <c r="C7" s="177" t="s">
        <v>12</v>
      </c>
      <c r="D7" s="178"/>
      <c r="E7" s="13">
        <f>SUM(E8:E9)</f>
        <v>16626</v>
      </c>
      <c r="F7" s="13">
        <f>SUM(F8:F9)</f>
        <v>1545</v>
      </c>
      <c r="G7" s="13">
        <f>SUM(G8:G9)</f>
        <v>1545</v>
      </c>
      <c r="H7" s="13">
        <f>SUM(H8:H9)</f>
        <v>1385</v>
      </c>
      <c r="I7" s="13">
        <f>SUM(I8:I9)</f>
        <v>1385</v>
      </c>
      <c r="J7" s="13">
        <f>H7-F7</f>
        <v>-160</v>
      </c>
      <c r="K7" s="16">
        <f>H7/F7</f>
        <v>0.8964401294498382</v>
      </c>
      <c r="L7" s="14">
        <f>I7-G7</f>
        <v>-160</v>
      </c>
      <c r="M7" s="24">
        <f>I7/G7</f>
        <v>0.8964401294498382</v>
      </c>
    </row>
    <row r="8" spans="2:15" ht="19.5" customHeight="1">
      <c r="B8" s="175"/>
      <c r="C8" s="165" t="s">
        <v>9</v>
      </c>
      <c r="D8" s="166"/>
      <c r="E8" s="159">
        <v>10009</v>
      </c>
      <c r="F8" s="20">
        <v>906</v>
      </c>
      <c r="G8" s="20">
        <v>906</v>
      </c>
      <c r="H8" s="20">
        <v>861</v>
      </c>
      <c r="I8" s="20">
        <v>861</v>
      </c>
      <c r="J8" s="4">
        <f t="shared" ref="J8:J28" si="0">H8-F8</f>
        <v>-45</v>
      </c>
      <c r="K8" s="18">
        <f t="shared" ref="K8:K28" si="1">H8/F8</f>
        <v>0.95033112582781454</v>
      </c>
      <c r="L8" s="19">
        <f t="shared" ref="L8:L28" si="2">I8-G8</f>
        <v>-45</v>
      </c>
      <c r="M8" s="25">
        <f t="shared" ref="M8:M28" si="3">I8/G8</f>
        <v>0.95033112582781454</v>
      </c>
    </row>
    <row r="9" spans="2:15" ht="19.5" customHeight="1">
      <c r="B9" s="176"/>
      <c r="C9" s="167" t="s">
        <v>10</v>
      </c>
      <c r="D9" s="168"/>
      <c r="E9" s="159">
        <v>6617</v>
      </c>
      <c r="F9" s="21">
        <v>639</v>
      </c>
      <c r="G9" s="21">
        <v>639</v>
      </c>
      <c r="H9" s="21">
        <v>524</v>
      </c>
      <c r="I9" s="21">
        <v>524</v>
      </c>
      <c r="J9" s="21">
        <f t="shared" si="0"/>
        <v>-115</v>
      </c>
      <c r="K9" s="22">
        <f t="shared" si="1"/>
        <v>0.8200312989045383</v>
      </c>
      <c r="L9" s="23">
        <f t="shared" si="2"/>
        <v>-115</v>
      </c>
      <c r="M9" s="26">
        <f t="shared" si="3"/>
        <v>0.8200312989045383</v>
      </c>
    </row>
    <row r="10" spans="2:15" ht="21.2" customHeight="1">
      <c r="B10" s="174" t="s">
        <v>22</v>
      </c>
      <c r="C10" s="177" t="s">
        <v>8</v>
      </c>
      <c r="D10" s="178"/>
      <c r="E10" s="41">
        <f>E11+E15</f>
        <v>116137277</v>
      </c>
      <c r="F10" s="41">
        <f>F11+F15</f>
        <v>11079805</v>
      </c>
      <c r="G10" s="41">
        <f>G11+G15</f>
        <v>11079805</v>
      </c>
      <c r="H10" s="41">
        <f>H11+H15</f>
        <v>10428099</v>
      </c>
      <c r="I10" s="41">
        <f>I11+I15</f>
        <v>10428099</v>
      </c>
      <c r="J10" s="41">
        <f t="shared" si="0"/>
        <v>-651706</v>
      </c>
      <c r="K10" s="16">
        <f t="shared" si="1"/>
        <v>0.94118073377645184</v>
      </c>
      <c r="L10" s="122">
        <f>I10-G10</f>
        <v>-651706</v>
      </c>
      <c r="M10" s="24">
        <f t="shared" si="3"/>
        <v>0.94118073377645184</v>
      </c>
    </row>
    <row r="11" spans="2:15" ht="19.5" customHeight="1">
      <c r="B11" s="175"/>
      <c r="C11" s="171" t="s">
        <v>1</v>
      </c>
      <c r="D11" s="78" t="s">
        <v>0</v>
      </c>
      <c r="E11" s="74">
        <f>SUM(E12:E14)</f>
        <v>104335502</v>
      </c>
      <c r="F11" s="74">
        <f>SUM(F12:F14)</f>
        <v>9975080</v>
      </c>
      <c r="G11" s="74">
        <f>SUM(G12:G14)</f>
        <v>9975080</v>
      </c>
      <c r="H11" s="74">
        <f>SUM(H12:H14)</f>
        <v>9578637</v>
      </c>
      <c r="I11" s="74">
        <f>SUM(I12:I14)</f>
        <v>9578637</v>
      </c>
      <c r="J11" s="117">
        <f>H11-F11</f>
        <v>-396443</v>
      </c>
      <c r="K11" s="75">
        <f t="shared" si="1"/>
        <v>0.96025665959571249</v>
      </c>
      <c r="L11" s="119">
        <f>I11-G11</f>
        <v>-396443</v>
      </c>
      <c r="M11" s="76">
        <f t="shared" si="3"/>
        <v>0.96025665959571249</v>
      </c>
    </row>
    <row r="12" spans="2:15" ht="19.5" customHeight="1">
      <c r="B12" s="175"/>
      <c r="C12" s="172"/>
      <c r="D12" s="5" t="s">
        <v>5</v>
      </c>
      <c r="E12" s="160">
        <v>85021042</v>
      </c>
      <c r="F12" s="42">
        <v>8017191</v>
      </c>
      <c r="G12" s="42">
        <v>8017191</v>
      </c>
      <c r="H12" s="42">
        <v>7993340</v>
      </c>
      <c r="I12" s="42">
        <v>7993340</v>
      </c>
      <c r="J12" s="115">
        <f t="shared" si="0"/>
        <v>-23851</v>
      </c>
      <c r="K12" s="18">
        <f t="shared" si="1"/>
        <v>0.99702501786473596</v>
      </c>
      <c r="L12" s="120">
        <f t="shared" si="2"/>
        <v>-23851</v>
      </c>
      <c r="M12" s="25">
        <f t="shared" si="3"/>
        <v>0.99702501786473596</v>
      </c>
      <c r="O12" s="113"/>
    </row>
    <row r="13" spans="2:15" ht="19.5" customHeight="1">
      <c r="B13" s="175"/>
      <c r="C13" s="172"/>
      <c r="D13" s="5" t="s">
        <v>6</v>
      </c>
      <c r="E13" s="161">
        <v>15759226</v>
      </c>
      <c r="F13" s="42">
        <v>1626741</v>
      </c>
      <c r="G13" s="42">
        <v>1626741</v>
      </c>
      <c r="H13" s="42">
        <v>1254899</v>
      </c>
      <c r="I13" s="42">
        <v>1254899</v>
      </c>
      <c r="J13" s="115">
        <f t="shared" si="0"/>
        <v>-371842</v>
      </c>
      <c r="K13" s="18">
        <f t="shared" si="1"/>
        <v>0.77141905195725691</v>
      </c>
      <c r="L13" s="120">
        <f t="shared" si="2"/>
        <v>-371842</v>
      </c>
      <c r="M13" s="25">
        <f t="shared" si="3"/>
        <v>0.77141905195725691</v>
      </c>
    </row>
    <row r="14" spans="2:15" ht="19.5" customHeight="1">
      <c r="B14" s="175"/>
      <c r="C14" s="173"/>
      <c r="D14" s="5" t="s">
        <v>13</v>
      </c>
      <c r="E14" s="161">
        <v>3555234</v>
      </c>
      <c r="F14" s="42">
        <v>331148</v>
      </c>
      <c r="G14" s="42">
        <v>331148</v>
      </c>
      <c r="H14" s="114">
        <v>330398</v>
      </c>
      <c r="I14" s="114">
        <v>330398</v>
      </c>
      <c r="J14" s="115">
        <f t="shared" si="0"/>
        <v>-750</v>
      </c>
      <c r="K14" s="18">
        <f>H14/F14</f>
        <v>0.9977351516542452</v>
      </c>
      <c r="L14" s="120">
        <f t="shared" si="2"/>
        <v>-750</v>
      </c>
      <c r="M14" s="25">
        <f t="shared" si="3"/>
        <v>0.9977351516542452</v>
      </c>
    </row>
    <row r="15" spans="2:15" ht="19.5" customHeight="1">
      <c r="B15" s="175"/>
      <c r="C15" s="183" t="s">
        <v>2</v>
      </c>
      <c r="D15" s="77" t="s">
        <v>0</v>
      </c>
      <c r="E15" s="71">
        <f>SUM(E16:E18)</f>
        <v>11801775</v>
      </c>
      <c r="F15" s="71">
        <f>SUM(F16:F18)</f>
        <v>1104725</v>
      </c>
      <c r="G15" s="71">
        <f>SUM(G16:G18)</f>
        <v>1104725</v>
      </c>
      <c r="H15" s="71">
        <f>SUM(H16:H18)</f>
        <v>849462</v>
      </c>
      <c r="I15" s="71">
        <f>SUM(I16:I18)</f>
        <v>849462</v>
      </c>
      <c r="J15" s="118">
        <f t="shared" si="0"/>
        <v>-255263</v>
      </c>
      <c r="K15" s="72">
        <f t="shared" si="1"/>
        <v>0.76893525538029828</v>
      </c>
      <c r="L15" s="121">
        <f t="shared" si="2"/>
        <v>-255263</v>
      </c>
      <c r="M15" s="73">
        <f t="shared" si="3"/>
        <v>0.76893525538029828</v>
      </c>
    </row>
    <row r="16" spans="2:15" ht="19.5" customHeight="1">
      <c r="B16" s="175"/>
      <c r="C16" s="184"/>
      <c r="D16" s="5" t="s">
        <v>3</v>
      </c>
      <c r="E16" s="162">
        <v>8295705</v>
      </c>
      <c r="F16" s="42">
        <v>715563</v>
      </c>
      <c r="G16" s="42">
        <v>715563</v>
      </c>
      <c r="H16" s="42">
        <v>611095</v>
      </c>
      <c r="I16" s="42">
        <v>611095</v>
      </c>
      <c r="J16" s="116">
        <f t="shared" si="0"/>
        <v>-104468</v>
      </c>
      <c r="K16" s="18">
        <f t="shared" si="1"/>
        <v>0.85400586670915068</v>
      </c>
      <c r="L16" s="120">
        <f t="shared" si="2"/>
        <v>-104468</v>
      </c>
      <c r="M16" s="25">
        <f t="shared" si="3"/>
        <v>0.85400586670915068</v>
      </c>
    </row>
    <row r="17" spans="1:13" ht="19.5" customHeight="1">
      <c r="B17" s="175"/>
      <c r="C17" s="184"/>
      <c r="D17" s="6" t="s">
        <v>4</v>
      </c>
      <c r="E17" s="162">
        <v>3506070</v>
      </c>
      <c r="F17" s="43">
        <v>389162</v>
      </c>
      <c r="G17" s="43">
        <v>389162</v>
      </c>
      <c r="H17" s="43">
        <v>238367</v>
      </c>
      <c r="I17" s="43">
        <v>238367</v>
      </c>
      <c r="J17" s="116">
        <f t="shared" si="0"/>
        <v>-150795</v>
      </c>
      <c r="K17" s="18">
        <f t="shared" si="1"/>
        <v>0.61251355476639546</v>
      </c>
      <c r="L17" s="120">
        <f t="shared" si="2"/>
        <v>-150795</v>
      </c>
      <c r="M17" s="25">
        <f t="shared" si="3"/>
        <v>0.61251355476639546</v>
      </c>
    </row>
    <row r="18" spans="1:13" ht="19.5" customHeight="1">
      <c r="B18" s="176"/>
      <c r="C18" s="185"/>
      <c r="D18" s="6" t="s">
        <v>17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116">
        <f t="shared" si="0"/>
        <v>0</v>
      </c>
      <c r="K18" s="80">
        <v>0</v>
      </c>
      <c r="L18" s="120">
        <f t="shared" si="2"/>
        <v>0</v>
      </c>
      <c r="M18" s="25" t="s">
        <v>101</v>
      </c>
    </row>
    <row r="19" spans="1:13" ht="20.100000000000001" customHeight="1">
      <c r="B19" s="27"/>
      <c r="C19" s="28"/>
      <c r="D19" s="7"/>
      <c r="E19" s="15"/>
      <c r="F19" s="1"/>
      <c r="G19" s="1"/>
      <c r="H19" s="1"/>
      <c r="I19" s="15"/>
      <c r="J19" s="17"/>
      <c r="K19" s="179" t="s">
        <v>23</v>
      </c>
      <c r="L19" s="180"/>
      <c r="M19" s="181"/>
    </row>
    <row r="20" spans="1:13" ht="21.2" customHeight="1">
      <c r="B20" s="123"/>
      <c r="C20" s="177" t="s">
        <v>8</v>
      </c>
      <c r="D20" s="178"/>
      <c r="E20" s="84">
        <f>SUM(E21,E25)</f>
        <v>851953</v>
      </c>
      <c r="F20" s="3">
        <f>SUM(F21,F25)</f>
        <v>88435</v>
      </c>
      <c r="G20" s="3">
        <f>SUM(G21,G25)</f>
        <v>88435</v>
      </c>
      <c r="H20" s="84">
        <f>SUM(H21,H25)</f>
        <v>62008</v>
      </c>
      <c r="I20" s="84">
        <f>SUM(I21,I25)</f>
        <v>62008</v>
      </c>
      <c r="J20" s="85">
        <f t="shared" si="0"/>
        <v>-26427</v>
      </c>
      <c r="K20" s="86">
        <f t="shared" si="1"/>
        <v>0.70117035110533155</v>
      </c>
      <c r="L20" s="87">
        <f t="shared" si="2"/>
        <v>-26427</v>
      </c>
      <c r="M20" s="24">
        <f>I20/G20</f>
        <v>0.70117035110533155</v>
      </c>
    </row>
    <row r="21" spans="1:13" ht="19.5" customHeight="1">
      <c r="B21" s="124"/>
      <c r="C21" s="164" t="s">
        <v>1</v>
      </c>
      <c r="D21" s="79" t="s">
        <v>0</v>
      </c>
      <c r="E21" s="80">
        <f>SUM(E22:E24)</f>
        <v>851953</v>
      </c>
      <c r="F21" s="80">
        <f>SUM(F22:F24)</f>
        <v>88435</v>
      </c>
      <c r="G21" s="80">
        <f>SUM(G22:G24)</f>
        <v>88435</v>
      </c>
      <c r="H21" s="80">
        <f>SUM(H22:H24)</f>
        <v>62008</v>
      </c>
      <c r="I21" s="80">
        <f>SUM(I22:I24)</f>
        <v>62008</v>
      </c>
      <c r="J21" s="81">
        <f t="shared" si="0"/>
        <v>-26427</v>
      </c>
      <c r="K21" s="82">
        <f t="shared" si="1"/>
        <v>0.70117035110533155</v>
      </c>
      <c r="L21" s="83">
        <f t="shared" si="2"/>
        <v>-26427</v>
      </c>
      <c r="M21" s="76">
        <f t="shared" si="3"/>
        <v>0.70117035110533155</v>
      </c>
    </row>
    <row r="22" spans="1:13" ht="19.5" customHeight="1">
      <c r="B22" s="125" t="s">
        <v>19</v>
      </c>
      <c r="C22" s="164"/>
      <c r="D22" s="46" t="s">
        <v>5</v>
      </c>
      <c r="E22" s="163">
        <v>416040.5</v>
      </c>
      <c r="F22" s="48">
        <v>44857</v>
      </c>
      <c r="G22" s="48">
        <v>44857</v>
      </c>
      <c r="H22" s="48">
        <v>31545.5</v>
      </c>
      <c r="I22" s="48">
        <v>31545.5</v>
      </c>
      <c r="J22" s="112">
        <f t="shared" si="0"/>
        <v>-13311.5</v>
      </c>
      <c r="K22" s="45">
        <f t="shared" si="1"/>
        <v>0.70324587020977769</v>
      </c>
      <c r="L22" s="23">
        <f t="shared" si="2"/>
        <v>-13311.5</v>
      </c>
      <c r="M22" s="25">
        <f t="shared" si="3"/>
        <v>0.70324587020977769</v>
      </c>
    </row>
    <row r="23" spans="1:13" ht="19.5" customHeight="1">
      <c r="B23" s="125" t="s">
        <v>20</v>
      </c>
      <c r="C23" s="164"/>
      <c r="D23" s="2" t="s">
        <v>14</v>
      </c>
      <c r="E23" s="163">
        <v>418271.5</v>
      </c>
      <c r="F23" s="48">
        <v>42778</v>
      </c>
      <c r="G23" s="48">
        <v>42778</v>
      </c>
      <c r="H23" s="48">
        <v>29104.5</v>
      </c>
      <c r="I23" s="48">
        <v>29104.5</v>
      </c>
      <c r="J23" s="112">
        <f t="shared" si="0"/>
        <v>-13673.5</v>
      </c>
      <c r="K23" s="45">
        <f t="shared" si="1"/>
        <v>0.68036140071999629</v>
      </c>
      <c r="L23" s="19">
        <f t="shared" si="2"/>
        <v>-13673.5</v>
      </c>
      <c r="M23" s="25">
        <f t="shared" si="3"/>
        <v>0.68036140071999629</v>
      </c>
    </row>
    <row r="24" spans="1:13" ht="19.5" customHeight="1">
      <c r="B24" s="126"/>
      <c r="C24" s="164"/>
      <c r="D24" s="2" t="s">
        <v>13</v>
      </c>
      <c r="E24" s="163">
        <v>17641</v>
      </c>
      <c r="F24" s="48">
        <f>493+307</f>
        <v>800</v>
      </c>
      <c r="G24" s="48">
        <f>493+307</f>
        <v>800</v>
      </c>
      <c r="H24" s="48">
        <f>378+980</f>
        <v>1358</v>
      </c>
      <c r="I24" s="48">
        <f>378+980</f>
        <v>1358</v>
      </c>
      <c r="J24" s="112">
        <f t="shared" si="0"/>
        <v>558</v>
      </c>
      <c r="K24" s="45">
        <f t="shared" si="1"/>
        <v>1.6975</v>
      </c>
      <c r="L24" s="19">
        <f t="shared" si="2"/>
        <v>558</v>
      </c>
      <c r="M24" s="25">
        <f t="shared" si="3"/>
        <v>1.6975</v>
      </c>
    </row>
    <row r="25" spans="1:13" ht="19.5" customHeight="1">
      <c r="B25" s="124"/>
      <c r="C25" s="202" t="s">
        <v>2</v>
      </c>
      <c r="D25" s="79" t="s">
        <v>69</v>
      </c>
      <c r="E25" s="80">
        <f>SUM(E26:E27)</f>
        <v>0</v>
      </c>
      <c r="F25" s="80">
        <f>SUM(F26:F27)</f>
        <v>0</v>
      </c>
      <c r="G25" s="80">
        <f>SUM(G26:G27)</f>
        <v>0</v>
      </c>
      <c r="H25" s="80">
        <v>0</v>
      </c>
      <c r="I25" s="80">
        <f>SUM(I26:I27)</f>
        <v>0</v>
      </c>
      <c r="J25" s="81">
        <f t="shared" si="0"/>
        <v>0</v>
      </c>
      <c r="K25" s="80">
        <v>0</v>
      </c>
      <c r="L25" s="19">
        <f t="shared" si="2"/>
        <v>0</v>
      </c>
      <c r="M25" s="80">
        <v>0</v>
      </c>
    </row>
    <row r="26" spans="1:13" ht="19.5" customHeight="1">
      <c r="B26" s="124"/>
      <c r="C26" s="202"/>
      <c r="D26" s="79" t="s">
        <v>69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81">
        <f t="shared" si="0"/>
        <v>0</v>
      </c>
      <c r="K26" s="80">
        <v>0</v>
      </c>
      <c r="L26" s="19">
        <f t="shared" si="2"/>
        <v>0</v>
      </c>
      <c r="M26" s="80">
        <v>0</v>
      </c>
    </row>
    <row r="27" spans="1:13" ht="19.5" customHeight="1">
      <c r="B27" s="127"/>
      <c r="C27" s="202"/>
      <c r="D27" s="79" t="s">
        <v>69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81">
        <f t="shared" si="0"/>
        <v>0</v>
      </c>
      <c r="K27" s="80">
        <v>0</v>
      </c>
      <c r="L27" s="19">
        <f t="shared" si="2"/>
        <v>0</v>
      </c>
      <c r="M27" s="80">
        <v>0</v>
      </c>
    </row>
    <row r="28" spans="1:13" s="91" customFormat="1" ht="21.2" customHeight="1" thickBot="1">
      <c r="B28" s="203" t="s">
        <v>67</v>
      </c>
      <c r="C28" s="204"/>
      <c r="D28" s="205"/>
      <c r="E28" s="92">
        <v>1635970</v>
      </c>
      <c r="F28" s="92">
        <v>142514</v>
      </c>
      <c r="G28" s="92">
        <v>142514</v>
      </c>
      <c r="H28" s="92">
        <v>152953</v>
      </c>
      <c r="I28" s="92">
        <v>152953</v>
      </c>
      <c r="J28" s="93">
        <f t="shared" si="0"/>
        <v>10439</v>
      </c>
      <c r="K28" s="94">
        <f t="shared" si="1"/>
        <v>1.0732489439634001</v>
      </c>
      <c r="L28" s="95">
        <f t="shared" si="2"/>
        <v>10439</v>
      </c>
      <c r="M28" s="96">
        <f t="shared" si="3"/>
        <v>1.0732489439634001</v>
      </c>
    </row>
    <row r="29" spans="1:13" ht="12.75" customHeight="1">
      <c r="B29" s="29"/>
      <c r="C29" s="29"/>
      <c r="D29" s="29"/>
      <c r="E29" s="30"/>
      <c r="F29" s="31"/>
      <c r="G29" s="31"/>
      <c r="H29" s="31"/>
      <c r="I29" s="31"/>
      <c r="J29" s="30"/>
      <c r="K29" s="32"/>
      <c r="L29" s="33"/>
      <c r="M29" s="34"/>
    </row>
    <row r="30" spans="1:13" s="208" customFormat="1" ht="18.75" customHeight="1">
      <c r="A30" s="208" t="s">
        <v>27</v>
      </c>
    </row>
    <row r="31" spans="1:13" s="47" customFormat="1" ht="21.2" customHeight="1">
      <c r="B31" s="207" t="s">
        <v>24</v>
      </c>
      <c r="C31" s="207"/>
      <c r="D31" s="89"/>
      <c r="E31" s="89"/>
      <c r="F31" s="89"/>
      <c r="G31" s="89"/>
      <c r="H31" s="207" t="s">
        <v>25</v>
      </c>
      <c r="I31" s="207"/>
    </row>
    <row r="32" spans="1:13" s="44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44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44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44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206" customFormat="1" ht="24" customHeight="1"/>
    <row r="41" spans="2:13" ht="19.5" customHeight="1">
      <c r="B41" s="200"/>
      <c r="C41" s="201"/>
      <c r="D41" s="201"/>
      <c r="E41" s="201"/>
      <c r="F41" s="201"/>
      <c r="G41" s="201"/>
      <c r="H41" s="201"/>
      <c r="I41" s="201"/>
      <c r="J41" s="201"/>
      <c r="K41" s="201"/>
      <c r="L41" s="201"/>
      <c r="M41" s="201"/>
    </row>
    <row r="42" spans="2:13" ht="19.5" customHeight="1">
      <c r="B42" s="200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7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"/>
  <sheetViews>
    <sheetView zoomScale="85" zoomScaleNormal="85" workbookViewId="0">
      <selection activeCell="K5" sqref="K5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2" customFormat="1" ht="18.75">
      <c r="A1" s="51" t="s">
        <v>28</v>
      </c>
    </row>
    <row r="2" spans="1:27" s="52" customFormat="1" ht="15" thickBot="1">
      <c r="A2"/>
      <c r="B2"/>
      <c r="C2"/>
      <c r="D2" s="97"/>
      <c r="E2" s="97"/>
      <c r="F2" s="209" t="s">
        <v>70</v>
      </c>
      <c r="G2" s="209"/>
      <c r="H2"/>
      <c r="I2"/>
      <c r="J2"/>
      <c r="K2" s="97"/>
      <c r="L2" s="97"/>
      <c r="M2" s="209" t="s">
        <v>29</v>
      </c>
      <c r="N2" s="209"/>
    </row>
    <row r="3" spans="1:27" s="52" customFormat="1" ht="32.25" customHeight="1">
      <c r="A3" s="53" t="s">
        <v>30</v>
      </c>
      <c r="B3" s="54">
        <v>18</v>
      </c>
      <c r="C3" s="54">
        <v>19</v>
      </c>
      <c r="D3" s="54">
        <v>20</v>
      </c>
      <c r="E3" s="54">
        <v>21</v>
      </c>
      <c r="F3" s="54">
        <v>22</v>
      </c>
      <c r="G3" s="107">
        <v>23.01</v>
      </c>
      <c r="H3" s="55" t="s">
        <v>30</v>
      </c>
      <c r="I3" s="54">
        <v>18</v>
      </c>
      <c r="J3" s="54">
        <v>19</v>
      </c>
      <c r="K3" s="54">
        <v>20</v>
      </c>
      <c r="L3" s="54">
        <v>21</v>
      </c>
      <c r="M3" s="54">
        <v>22</v>
      </c>
      <c r="N3" s="108">
        <f>$G$3</f>
        <v>23.01</v>
      </c>
    </row>
    <row r="4" spans="1:27" s="52" customFormat="1" ht="39.200000000000003" customHeight="1" thickBot="1">
      <c r="A4" s="69" t="s">
        <v>31</v>
      </c>
      <c r="B4" s="99">
        <v>18829</v>
      </c>
      <c r="C4" s="99">
        <v>18416</v>
      </c>
      <c r="D4" s="99">
        <v>17409</v>
      </c>
      <c r="E4" s="99">
        <v>16473</v>
      </c>
      <c r="F4" s="99">
        <v>16626</v>
      </c>
      <c r="G4" s="100">
        <f>통계요약!I7</f>
        <v>1385</v>
      </c>
      <c r="H4" s="69" t="s">
        <v>32</v>
      </c>
      <c r="I4" s="99">
        <v>115147</v>
      </c>
      <c r="J4" s="99">
        <v>113201</v>
      </c>
      <c r="K4" s="99">
        <v>106847</v>
      </c>
      <c r="L4" s="99">
        <v>116876</v>
      </c>
      <c r="M4" s="99">
        <v>116137</v>
      </c>
      <c r="N4" s="128">
        <v>11059</v>
      </c>
    </row>
    <row r="5" spans="1:27" s="52" customFormat="1" ht="30.2" customHeight="1" thickBot="1">
      <c r="A5"/>
      <c r="B5"/>
      <c r="C5"/>
      <c r="D5" s="97"/>
      <c r="E5" s="97"/>
      <c r="F5" s="210" t="s">
        <v>33</v>
      </c>
      <c r="G5" s="210"/>
      <c r="H5" s="56"/>
      <c r="I5" s="57"/>
      <c r="J5" s="57"/>
      <c r="K5" s="97"/>
      <c r="L5" s="97"/>
      <c r="M5" s="210" t="s">
        <v>34</v>
      </c>
      <c r="N5" s="210"/>
    </row>
    <row r="6" spans="1:27" s="52" customFormat="1" ht="32.25" customHeight="1">
      <c r="A6" s="53" t="s">
        <v>30</v>
      </c>
      <c r="B6" s="54">
        <v>18</v>
      </c>
      <c r="C6" s="54">
        <v>19</v>
      </c>
      <c r="D6" s="54">
        <v>20</v>
      </c>
      <c r="E6" s="54">
        <v>21</v>
      </c>
      <c r="F6" s="54">
        <v>22</v>
      </c>
      <c r="G6" s="108">
        <f>$G$3</f>
        <v>23.01</v>
      </c>
      <c r="H6" s="55" t="s">
        <v>30</v>
      </c>
      <c r="I6" s="54">
        <v>18</v>
      </c>
      <c r="J6" s="54">
        <v>19</v>
      </c>
      <c r="K6" s="54">
        <v>20</v>
      </c>
      <c r="L6" s="54">
        <v>21</v>
      </c>
      <c r="M6" s="54">
        <v>22</v>
      </c>
      <c r="N6" s="108">
        <f>$G$3</f>
        <v>23.01</v>
      </c>
    </row>
    <row r="7" spans="1:27" s="52" customFormat="1" ht="37.5" customHeight="1" thickBot="1">
      <c r="A7" s="69" t="s">
        <v>35</v>
      </c>
      <c r="B7" s="101">
        <v>689852</v>
      </c>
      <c r="C7" s="101">
        <v>725047</v>
      </c>
      <c r="D7" s="101">
        <v>792643</v>
      </c>
      <c r="E7" s="101">
        <v>936246</v>
      </c>
      <c r="F7" s="101">
        <v>851953</v>
      </c>
      <c r="G7" s="102">
        <f>통계요약!I20</f>
        <v>62008</v>
      </c>
      <c r="H7" s="69" t="s">
        <v>36</v>
      </c>
      <c r="I7" s="99">
        <v>452480</v>
      </c>
      <c r="J7" s="99">
        <v>623733</v>
      </c>
      <c r="K7" s="99">
        <v>40267</v>
      </c>
      <c r="L7" s="129">
        <v>0</v>
      </c>
      <c r="M7" s="129">
        <v>0</v>
      </c>
      <c r="N7" s="103">
        <v>0</v>
      </c>
      <c r="AA7" s="90">
        <f>(19166/188141)^(1/4)-1</f>
        <v>-0.43504740355323723</v>
      </c>
    </row>
    <row r="12" spans="1:27" s="63" customFormat="1" ht="25.5" customHeight="1">
      <c r="A12" s="63" t="s">
        <v>37</v>
      </c>
    </row>
    <row r="13" spans="1:27" s="52" customFormat="1" ht="21.2" customHeight="1">
      <c r="A13" s="88" t="s">
        <v>52</v>
      </c>
      <c r="H13" s="88" t="s">
        <v>51</v>
      </c>
      <c r="I13" s="58"/>
      <c r="J13" s="59"/>
      <c r="K13" s="60"/>
      <c r="L13" s="61"/>
      <c r="M13" s="61"/>
      <c r="N13" s="61"/>
    </row>
    <row r="14" spans="1:27" s="52" customFormat="1" ht="24" customHeight="1">
      <c r="I14" s="58"/>
      <c r="J14" s="59"/>
      <c r="K14" s="60"/>
      <c r="L14" s="61"/>
      <c r="M14" s="61"/>
      <c r="N14" s="61"/>
    </row>
    <row r="15" spans="1:27" s="52" customFormat="1" ht="24" customHeight="1">
      <c r="I15" s="58"/>
      <c r="J15" s="59"/>
      <c r="K15" s="60"/>
      <c r="L15" s="61"/>
      <c r="M15" s="61"/>
      <c r="N15" s="61"/>
    </row>
    <row r="16" spans="1:27" s="52" customFormat="1" ht="24" customHeight="1">
      <c r="I16" s="58"/>
      <c r="J16" s="59"/>
      <c r="K16" s="60"/>
      <c r="L16" s="61"/>
      <c r="M16" s="61"/>
      <c r="N16" s="61"/>
    </row>
    <row r="17" spans="1:14" s="52" customFormat="1" ht="24" customHeight="1">
      <c r="I17" s="58"/>
      <c r="J17" s="59"/>
      <c r="K17" s="60"/>
      <c r="L17" s="61"/>
      <c r="M17" s="61"/>
      <c r="N17" s="61"/>
    </row>
    <row r="18" spans="1:14" s="52" customFormat="1" ht="24" customHeight="1">
      <c r="I18" s="58"/>
      <c r="J18" s="59"/>
      <c r="K18" s="60"/>
      <c r="L18" s="61"/>
      <c r="M18" s="61"/>
      <c r="N18" s="61"/>
    </row>
    <row r="19" spans="1:14" s="52" customFormat="1" ht="24" customHeight="1">
      <c r="I19" s="58"/>
      <c r="J19" s="59"/>
      <c r="K19" s="60"/>
      <c r="L19" s="61"/>
      <c r="M19" s="61"/>
      <c r="N19" s="61"/>
    </row>
    <row r="20" spans="1:14" s="52" customFormat="1" ht="24" customHeight="1">
      <c r="I20" s="58"/>
      <c r="J20" s="59"/>
      <c r="K20" s="60"/>
      <c r="L20" s="61"/>
      <c r="M20" s="61"/>
      <c r="N20" s="61"/>
    </row>
    <row r="21" spans="1:14" s="52" customFormat="1" ht="24" customHeight="1">
      <c r="I21" s="58"/>
      <c r="J21" s="59"/>
      <c r="K21" s="60"/>
      <c r="L21" s="61"/>
      <c r="M21" s="61"/>
      <c r="N21" s="61"/>
    </row>
    <row r="22" spans="1:14" s="52" customFormat="1" ht="36" customHeight="1">
      <c r="I22" s="58"/>
      <c r="J22" s="59"/>
      <c r="K22" s="60"/>
      <c r="L22" s="61"/>
      <c r="M22" s="61"/>
      <c r="N22" s="61"/>
    </row>
    <row r="23" spans="1:14" s="52" customFormat="1" ht="27.75" customHeight="1">
      <c r="A23" s="62" t="s">
        <v>25</v>
      </c>
      <c r="H23" s="88" t="s">
        <v>50</v>
      </c>
      <c r="I23" s="58"/>
      <c r="J23" s="59"/>
      <c r="K23" s="60"/>
      <c r="L23" s="61"/>
      <c r="M23" s="61"/>
      <c r="N23" s="61"/>
    </row>
    <row r="24" spans="1:14" s="52" customFormat="1" ht="24" customHeight="1">
      <c r="I24" s="58"/>
      <c r="J24" s="59"/>
      <c r="K24" s="60"/>
      <c r="L24" s="61"/>
      <c r="M24" s="61"/>
      <c r="N24" s="61"/>
    </row>
    <row r="25" spans="1:14" s="52" customFormat="1" ht="24" customHeight="1">
      <c r="I25" s="58"/>
      <c r="J25" s="59"/>
      <c r="K25" s="60"/>
      <c r="L25" s="61"/>
      <c r="M25" s="61"/>
      <c r="N25" s="61"/>
    </row>
    <row r="26" spans="1:14" s="52" customFormat="1" ht="24" customHeight="1">
      <c r="I26" s="58"/>
      <c r="J26" s="59"/>
      <c r="K26" s="60"/>
      <c r="L26" s="61"/>
      <c r="M26" s="61"/>
      <c r="N26" s="61"/>
    </row>
    <row r="27" spans="1:14" s="52" customFormat="1" ht="24" customHeight="1">
      <c r="I27" s="58"/>
      <c r="J27" s="59"/>
      <c r="K27" s="60"/>
      <c r="L27" s="61"/>
      <c r="M27" s="61"/>
      <c r="N27" s="61"/>
    </row>
    <row r="28" spans="1:14" s="52" customFormat="1" ht="24" customHeight="1">
      <c r="I28" s="58"/>
      <c r="J28" s="59"/>
      <c r="K28" s="60"/>
      <c r="L28" s="61"/>
      <c r="M28" s="61"/>
      <c r="N28" s="61"/>
    </row>
    <row r="29" spans="1:14" s="52" customFormat="1" ht="24" customHeight="1">
      <c r="I29" s="58"/>
      <c r="J29" s="59"/>
      <c r="K29" s="60"/>
      <c r="L29" s="61"/>
      <c r="M29" s="61"/>
      <c r="N29" s="61"/>
    </row>
    <row r="30" spans="1:14" s="52" customFormat="1" ht="24" customHeight="1">
      <c r="I30" s="58"/>
      <c r="J30" s="59"/>
      <c r="K30" s="60"/>
      <c r="L30" s="61"/>
      <c r="M30" s="61"/>
      <c r="N30" s="61"/>
    </row>
    <row r="31" spans="1:14" s="52" customFormat="1" ht="24" customHeight="1">
      <c r="I31" s="58"/>
      <c r="J31" s="59"/>
      <c r="K31" s="60"/>
      <c r="L31" s="61"/>
      <c r="M31" s="61"/>
      <c r="N31" s="61"/>
    </row>
  </sheetData>
  <mergeCells count="4">
    <mergeCell ref="F2:G2"/>
    <mergeCell ref="M2:N2"/>
    <mergeCell ref="F5:G5"/>
    <mergeCell ref="M5:N5"/>
  </mergeCells>
  <phoneticPr fontId="22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K13" sqref="K13"/>
    </sheetView>
  </sheetViews>
  <sheetFormatPr defaultColWidth="10" defaultRowHeight="13.5"/>
  <cols>
    <col min="1" max="1" width="10" style="64" customWidth="1"/>
    <col min="2" max="2" width="5.75" style="64" customWidth="1"/>
    <col min="3" max="3" width="1" style="64" customWidth="1"/>
    <col min="4" max="4" width="8" style="64" customWidth="1"/>
    <col min="5" max="5" width="14.875" style="64" bestFit="1" customWidth="1"/>
    <col min="6" max="6" width="11" style="64" customWidth="1"/>
    <col min="7" max="7" width="13.25" style="64" customWidth="1"/>
    <col min="8" max="8" width="11" style="64" customWidth="1"/>
    <col min="9" max="9" width="13.25" style="64" customWidth="1"/>
    <col min="10" max="10" width="12.25" style="64" customWidth="1"/>
    <col min="11" max="11" width="11" style="64" customWidth="1"/>
    <col min="12" max="12" width="12.75" style="64" customWidth="1"/>
    <col min="13" max="13" width="11" style="64" customWidth="1"/>
    <col min="14" max="16384" width="10" style="64"/>
  </cols>
  <sheetData>
    <row r="1" spans="1:16" ht="50.25" customHeight="1" thickBot="1">
      <c r="A1" s="70" t="s">
        <v>38</v>
      </c>
      <c r="F1" s="106"/>
      <c r="G1" s="106"/>
      <c r="H1" s="106"/>
      <c r="I1" s="106"/>
      <c r="J1" s="65"/>
      <c r="K1" s="66"/>
      <c r="L1" s="67"/>
      <c r="M1" s="68"/>
    </row>
    <row r="2" spans="1:16" ht="21.95" customHeight="1">
      <c r="A2" s="217" t="s">
        <v>39</v>
      </c>
      <c r="B2" s="218"/>
      <c r="C2" s="218"/>
      <c r="D2" s="221" t="s">
        <v>40</v>
      </c>
      <c r="E2" s="131"/>
      <c r="F2" s="211" t="s">
        <v>102</v>
      </c>
      <c r="G2" s="211"/>
      <c r="H2" s="211" t="s">
        <v>104</v>
      </c>
      <c r="I2" s="211"/>
      <c r="J2" s="211" t="s">
        <v>41</v>
      </c>
      <c r="K2" s="211"/>
      <c r="L2" s="211"/>
      <c r="M2" s="212"/>
    </row>
    <row r="3" spans="1:16" ht="21.95" customHeight="1">
      <c r="A3" s="219"/>
      <c r="B3" s="220"/>
      <c r="C3" s="220"/>
      <c r="D3" s="222"/>
      <c r="E3" s="132" t="s">
        <v>42</v>
      </c>
      <c r="F3" s="132" t="str">
        <f>통계요약!F6</f>
        <v>1월(A)</v>
      </c>
      <c r="G3" s="132" t="str">
        <f>통계요약!G6</f>
        <v>1월누계(B)</v>
      </c>
      <c r="H3" s="98" t="str">
        <f>통계요약!H6</f>
        <v>1월(C)</v>
      </c>
      <c r="I3" s="132" t="str">
        <f>통계요약!I6</f>
        <v>1월누계(D)</v>
      </c>
      <c r="J3" s="132" t="s">
        <v>43</v>
      </c>
      <c r="K3" s="133" t="s">
        <v>44</v>
      </c>
      <c r="L3" s="134" t="s">
        <v>45</v>
      </c>
      <c r="M3" s="146" t="s">
        <v>44</v>
      </c>
    </row>
    <row r="4" spans="1:16" ht="21.95" customHeight="1">
      <c r="A4" s="213" t="s">
        <v>46</v>
      </c>
      <c r="B4" s="214"/>
      <c r="C4" s="214"/>
      <c r="D4" s="154" t="s">
        <v>47</v>
      </c>
      <c r="E4" s="142">
        <f>SUM(E6,E8,E10,E12,E14,E16,E18,E22,E20,E26,E28,E30,E32,E24,)</f>
        <v>851873</v>
      </c>
      <c r="F4" s="142">
        <f>SUM(F6,F8,F10,F12,F14,F16,F18,F22,F20,F26,F28,F30,F32,F24,)</f>
        <v>88435</v>
      </c>
      <c r="G4" s="142">
        <f>SUM(G6,G8,G10,G12,G14,G16,G18,G22,G20,G26,G28,G30,G32,G24,)</f>
        <v>88435</v>
      </c>
      <c r="H4" s="142">
        <f>SUM(H6,H8,H10,H12,H14,H16,H18,H22,H20,H26,H28,H30,H32,H24,)</f>
        <v>62008</v>
      </c>
      <c r="I4" s="142">
        <f>SUM(I6,I8,I10,I12,I14,I16,I18,I22,I20,I26,I28,I30,I32,I24,)</f>
        <v>62008</v>
      </c>
      <c r="J4" s="136">
        <f t="shared" ref="J4:J31" si="0">H4-F4</f>
        <v>-26427</v>
      </c>
      <c r="K4" s="137">
        <f t="shared" ref="K4:K33" si="1">(H4/F4*100)-100</f>
        <v>-29.882964889466848</v>
      </c>
      <c r="L4" s="138">
        <f t="shared" ref="L4:L31" si="2">I4-G4</f>
        <v>-26427</v>
      </c>
      <c r="M4" s="147">
        <f t="shared" ref="M4:M33" si="3">(I4/G4*100)-100</f>
        <v>-29.882964889466848</v>
      </c>
    </row>
    <row r="5" spans="1:16" ht="21.95" customHeight="1">
      <c r="A5" s="213"/>
      <c r="B5" s="214"/>
      <c r="C5" s="214"/>
      <c r="D5" s="154" t="s">
        <v>48</v>
      </c>
      <c r="E5" s="142">
        <f>SUM(E7,E9,E11,E13,E15,E17,E19,E21,E23,E27,E29,E31,E33,E25)</f>
        <v>13133494</v>
      </c>
      <c r="F5" s="142">
        <f>SUM(F7,F9,F11,F13,F15,F17,F19,F21,F23,F27,F29,F31,F33,F25)</f>
        <v>1376435</v>
      </c>
      <c r="G5" s="142">
        <f>SUM(G7,G9,G11,G13,G15,G17,G19,G21,G23,G27,G29,G31,G33,G25)</f>
        <v>1376435</v>
      </c>
      <c r="H5" s="142">
        <f>SUM(H7,H9,H11,H13,H15,H17,H19,H21,H23,H27,H29,H31,H33,H25)</f>
        <v>933247</v>
      </c>
      <c r="I5" s="142">
        <f>SUM(I7,I9,I11,I13,I15,I17,I19,I21,I23,I27,I29,I31,I33,I25)</f>
        <v>933247</v>
      </c>
      <c r="J5" s="136">
        <f t="shared" si="0"/>
        <v>-443188</v>
      </c>
      <c r="K5" s="137">
        <f t="shared" si="1"/>
        <v>-32.198251279573682</v>
      </c>
      <c r="L5" s="138">
        <f t="shared" si="2"/>
        <v>-443188</v>
      </c>
      <c r="M5" s="147">
        <f t="shared" si="3"/>
        <v>-32.198251279573682</v>
      </c>
    </row>
    <row r="6" spans="1:16" ht="21.2" customHeight="1">
      <c r="A6" s="215" t="s">
        <v>53</v>
      </c>
      <c r="B6" s="216"/>
      <c r="C6" s="216"/>
      <c r="D6" s="135" t="s">
        <v>47</v>
      </c>
      <c r="E6" s="155">
        <v>56152</v>
      </c>
      <c r="F6" s="156">
        <v>5443</v>
      </c>
      <c r="G6" s="156">
        <v>5443</v>
      </c>
      <c r="H6" s="156">
        <v>3625</v>
      </c>
      <c r="I6" s="156">
        <v>3625</v>
      </c>
      <c r="J6" s="139">
        <f t="shared" ref="J6:J20" si="4">H6-F6</f>
        <v>-1818</v>
      </c>
      <c r="K6" s="140">
        <f t="shared" ref="K6:K19" si="5">(H6/F6*100)-100</f>
        <v>-33.400698144405666</v>
      </c>
      <c r="L6" s="141">
        <f>I6-G6</f>
        <v>-1818</v>
      </c>
      <c r="M6" s="148">
        <f>(I6/G6*100)-100</f>
        <v>-33.400698144405666</v>
      </c>
      <c r="P6" s="64" t="s">
        <v>72</v>
      </c>
    </row>
    <row r="7" spans="1:16" ht="21.2" customHeight="1">
      <c r="A7" s="215"/>
      <c r="B7" s="216"/>
      <c r="C7" s="216"/>
      <c r="D7" s="135" t="s">
        <v>48</v>
      </c>
      <c r="E7" s="155">
        <v>1063612</v>
      </c>
      <c r="F7" s="156">
        <v>100934</v>
      </c>
      <c r="G7" s="156">
        <v>100934</v>
      </c>
      <c r="H7" s="156">
        <v>68685</v>
      </c>
      <c r="I7" s="156">
        <v>68685</v>
      </c>
      <c r="J7" s="139">
        <f t="shared" si="4"/>
        <v>-32249</v>
      </c>
      <c r="K7" s="140">
        <f t="shared" si="5"/>
        <v>-31.950581568153453</v>
      </c>
      <c r="L7" s="141">
        <f t="shared" si="2"/>
        <v>-32249</v>
      </c>
      <c r="M7" s="148">
        <f t="shared" si="3"/>
        <v>-31.950581568153453</v>
      </c>
      <c r="P7" s="64" t="s">
        <v>72</v>
      </c>
    </row>
    <row r="8" spans="1:16" ht="21.2" customHeight="1">
      <c r="A8" s="215" t="s">
        <v>54</v>
      </c>
      <c r="B8" s="216"/>
      <c r="C8" s="216"/>
      <c r="D8" s="135" t="s">
        <v>47</v>
      </c>
      <c r="E8" s="155">
        <v>70330.75</v>
      </c>
      <c r="F8" s="156">
        <v>7270</v>
      </c>
      <c r="G8" s="156">
        <v>7270</v>
      </c>
      <c r="H8" s="156">
        <v>4699.5</v>
      </c>
      <c r="I8" s="156">
        <v>4699.5</v>
      </c>
      <c r="J8" s="139">
        <f t="shared" si="4"/>
        <v>-2570.5</v>
      </c>
      <c r="K8" s="140">
        <f t="shared" si="5"/>
        <v>-35.357634112792297</v>
      </c>
      <c r="L8" s="141">
        <f>I8-G8</f>
        <v>-2570.5</v>
      </c>
      <c r="M8" s="148">
        <f>(I8/G8*100)-100</f>
        <v>-35.357634112792297</v>
      </c>
      <c r="P8" s="64" t="s">
        <v>73</v>
      </c>
    </row>
    <row r="9" spans="1:16" ht="21.2" customHeight="1">
      <c r="A9" s="215"/>
      <c r="B9" s="216"/>
      <c r="C9" s="216"/>
      <c r="D9" s="135" t="s">
        <v>48</v>
      </c>
      <c r="E9" s="155">
        <v>1023659</v>
      </c>
      <c r="F9" s="156">
        <v>112330</v>
      </c>
      <c r="G9" s="156">
        <v>112330</v>
      </c>
      <c r="H9" s="156">
        <v>68255</v>
      </c>
      <c r="I9" s="156">
        <v>68255</v>
      </c>
      <c r="J9" s="139">
        <f t="shared" si="4"/>
        <v>-44075</v>
      </c>
      <c r="K9" s="140">
        <f t="shared" si="5"/>
        <v>-39.237069349238851</v>
      </c>
      <c r="L9" s="141">
        <f t="shared" si="2"/>
        <v>-44075</v>
      </c>
      <c r="M9" s="148">
        <f t="shared" si="3"/>
        <v>-39.237069349238851</v>
      </c>
      <c r="P9" s="64" t="s">
        <v>73</v>
      </c>
    </row>
    <row r="10" spans="1:16" ht="21.2" customHeight="1">
      <c r="A10" s="215" t="s">
        <v>93</v>
      </c>
      <c r="B10" s="216"/>
      <c r="C10" s="216"/>
      <c r="D10" s="135" t="s">
        <v>47</v>
      </c>
      <c r="E10" s="155">
        <v>11</v>
      </c>
      <c r="F10" s="145">
        <v>0</v>
      </c>
      <c r="G10" s="145">
        <v>0</v>
      </c>
      <c r="H10" s="145">
        <v>0</v>
      </c>
      <c r="I10" s="145">
        <v>0</v>
      </c>
      <c r="J10" s="139">
        <f t="shared" si="4"/>
        <v>0</v>
      </c>
      <c r="K10" s="145">
        <v>0</v>
      </c>
      <c r="L10" s="141">
        <f t="shared" si="2"/>
        <v>0</v>
      </c>
      <c r="M10" s="153">
        <v>0</v>
      </c>
      <c r="P10" s="64" t="s">
        <v>94</v>
      </c>
    </row>
    <row r="11" spans="1:16" ht="21.2" customHeight="1">
      <c r="A11" s="215"/>
      <c r="B11" s="216"/>
      <c r="C11" s="216"/>
      <c r="D11" s="135" t="s">
        <v>48</v>
      </c>
      <c r="E11" s="155">
        <v>39</v>
      </c>
      <c r="F11" s="145">
        <v>0</v>
      </c>
      <c r="G11" s="145">
        <v>0</v>
      </c>
      <c r="H11" s="145">
        <v>0</v>
      </c>
      <c r="I11" s="145">
        <v>0</v>
      </c>
      <c r="J11" s="139">
        <f t="shared" si="4"/>
        <v>0</v>
      </c>
      <c r="K11" s="145">
        <v>0</v>
      </c>
      <c r="L11" s="141">
        <f t="shared" si="2"/>
        <v>0</v>
      </c>
      <c r="M11" s="153">
        <v>0</v>
      </c>
      <c r="P11" s="64" t="s">
        <v>94</v>
      </c>
    </row>
    <row r="12" spans="1:16" ht="21.2" customHeight="1">
      <c r="A12" s="215" t="s">
        <v>66</v>
      </c>
      <c r="B12" s="216"/>
      <c r="C12" s="216"/>
      <c r="D12" s="135" t="s">
        <v>47</v>
      </c>
      <c r="E12" s="145"/>
      <c r="F12" s="145">
        <v>0</v>
      </c>
      <c r="G12" s="145">
        <v>0</v>
      </c>
      <c r="H12" s="145">
        <v>0</v>
      </c>
      <c r="I12" s="145">
        <v>0</v>
      </c>
      <c r="J12" s="139">
        <f t="shared" si="4"/>
        <v>0</v>
      </c>
      <c r="K12" s="145">
        <v>0</v>
      </c>
      <c r="L12" s="141">
        <f t="shared" si="2"/>
        <v>0</v>
      </c>
      <c r="M12" s="153">
        <v>0</v>
      </c>
      <c r="P12" s="64" t="s">
        <v>74</v>
      </c>
    </row>
    <row r="13" spans="1:16" ht="21.2" customHeight="1">
      <c r="A13" s="215"/>
      <c r="B13" s="216"/>
      <c r="C13" s="216"/>
      <c r="D13" s="135" t="s">
        <v>65</v>
      </c>
      <c r="E13" s="145"/>
      <c r="F13" s="145">
        <v>0</v>
      </c>
      <c r="G13" s="145">
        <v>0</v>
      </c>
      <c r="H13" s="145">
        <v>0</v>
      </c>
      <c r="I13" s="145">
        <v>0</v>
      </c>
      <c r="J13" s="139">
        <f t="shared" si="4"/>
        <v>0</v>
      </c>
      <c r="K13" s="145">
        <v>0</v>
      </c>
      <c r="L13" s="141">
        <f t="shared" si="2"/>
        <v>0</v>
      </c>
      <c r="M13" s="153">
        <v>0</v>
      </c>
      <c r="P13" s="64" t="s">
        <v>74</v>
      </c>
    </row>
    <row r="14" spans="1:16" ht="21.2" customHeight="1">
      <c r="A14" s="215" t="s">
        <v>55</v>
      </c>
      <c r="B14" s="216"/>
      <c r="C14" s="216"/>
      <c r="D14" s="135" t="s">
        <v>47</v>
      </c>
      <c r="E14" s="155">
        <v>127735.25</v>
      </c>
      <c r="F14" s="156">
        <v>11288</v>
      </c>
      <c r="G14" s="156">
        <v>11288</v>
      </c>
      <c r="H14" s="156">
        <v>9536.5</v>
      </c>
      <c r="I14" s="156">
        <v>9536.5</v>
      </c>
      <c r="J14" s="139">
        <f t="shared" si="4"/>
        <v>-1751.5</v>
      </c>
      <c r="K14" s="140">
        <f t="shared" si="5"/>
        <v>-15.516477675407515</v>
      </c>
      <c r="L14" s="141">
        <f t="shared" si="2"/>
        <v>-1751.5</v>
      </c>
      <c r="M14" s="148">
        <f>(I14/G14*100)-100</f>
        <v>-15.516477675407515</v>
      </c>
      <c r="P14" s="64" t="s">
        <v>75</v>
      </c>
    </row>
    <row r="15" spans="1:16" ht="21.2" customHeight="1">
      <c r="A15" s="215"/>
      <c r="B15" s="216"/>
      <c r="C15" s="216"/>
      <c r="D15" s="135" t="s">
        <v>48</v>
      </c>
      <c r="E15" s="155">
        <v>2021215</v>
      </c>
      <c r="F15" s="156">
        <v>183109</v>
      </c>
      <c r="G15" s="156">
        <v>183109</v>
      </c>
      <c r="H15" s="156">
        <v>147054</v>
      </c>
      <c r="I15" s="156">
        <v>147054</v>
      </c>
      <c r="J15" s="139">
        <f t="shared" si="4"/>
        <v>-36055</v>
      </c>
      <c r="K15" s="140">
        <f t="shared" si="5"/>
        <v>-19.690457596295104</v>
      </c>
      <c r="L15" s="141">
        <f t="shared" si="2"/>
        <v>-36055</v>
      </c>
      <c r="M15" s="148">
        <f t="shared" si="3"/>
        <v>-19.690457596295104</v>
      </c>
      <c r="P15" s="64" t="s">
        <v>76</v>
      </c>
    </row>
    <row r="16" spans="1:16" ht="21.2" customHeight="1">
      <c r="A16" s="215" t="s">
        <v>62</v>
      </c>
      <c r="B16" s="216"/>
      <c r="C16" s="216"/>
      <c r="D16" s="135" t="s">
        <v>47</v>
      </c>
      <c r="E16" s="155">
        <v>206399</v>
      </c>
      <c r="F16" s="156">
        <v>19616</v>
      </c>
      <c r="G16" s="156">
        <v>19616</v>
      </c>
      <c r="H16" s="156">
        <v>14376</v>
      </c>
      <c r="I16" s="156">
        <v>14376</v>
      </c>
      <c r="J16" s="139">
        <f t="shared" si="4"/>
        <v>-5240</v>
      </c>
      <c r="K16" s="140">
        <f t="shared" si="5"/>
        <v>-26.712887438825447</v>
      </c>
      <c r="L16" s="141">
        <f t="shared" si="2"/>
        <v>-5240</v>
      </c>
      <c r="M16" s="148">
        <f t="shared" si="3"/>
        <v>-26.712887438825447</v>
      </c>
      <c r="P16" s="64" t="s">
        <v>77</v>
      </c>
    </row>
    <row r="17" spans="1:16" ht="21.2" customHeight="1">
      <c r="A17" s="215"/>
      <c r="B17" s="216"/>
      <c r="C17" s="216"/>
      <c r="D17" s="135" t="s">
        <v>48</v>
      </c>
      <c r="E17" s="155">
        <v>2900266</v>
      </c>
      <c r="F17" s="156">
        <v>278747</v>
      </c>
      <c r="G17" s="156">
        <v>278747</v>
      </c>
      <c r="H17" s="156">
        <v>195688</v>
      </c>
      <c r="I17" s="156">
        <v>195688</v>
      </c>
      <c r="J17" s="139">
        <f t="shared" si="4"/>
        <v>-83059</v>
      </c>
      <c r="K17" s="140">
        <f t="shared" si="5"/>
        <v>-29.797271360768008</v>
      </c>
      <c r="L17" s="141">
        <f t="shared" si="2"/>
        <v>-83059</v>
      </c>
      <c r="M17" s="148">
        <f t="shared" si="3"/>
        <v>-29.797271360768008</v>
      </c>
      <c r="P17" s="64" t="s">
        <v>78</v>
      </c>
    </row>
    <row r="18" spans="1:16" ht="21.2" customHeight="1">
      <c r="A18" s="215" t="s">
        <v>56</v>
      </c>
      <c r="B18" s="216"/>
      <c r="C18" s="216"/>
      <c r="D18" s="135" t="s">
        <v>47</v>
      </c>
      <c r="E18" s="155">
        <v>120730</v>
      </c>
      <c r="F18" s="156">
        <v>14980</v>
      </c>
      <c r="G18" s="156">
        <v>14980</v>
      </c>
      <c r="H18" s="156">
        <v>11067</v>
      </c>
      <c r="I18" s="156">
        <v>11067</v>
      </c>
      <c r="J18" s="139">
        <f t="shared" si="4"/>
        <v>-3913</v>
      </c>
      <c r="K18" s="140">
        <f t="shared" si="5"/>
        <v>-26.121495327102807</v>
      </c>
      <c r="L18" s="141">
        <f t="shared" si="2"/>
        <v>-3913</v>
      </c>
      <c r="M18" s="149">
        <f t="shared" si="3"/>
        <v>-26.121495327102807</v>
      </c>
      <c r="P18" s="64" t="s">
        <v>79</v>
      </c>
    </row>
    <row r="19" spans="1:16" ht="21.2" customHeight="1">
      <c r="A19" s="215"/>
      <c r="B19" s="216"/>
      <c r="C19" s="216"/>
      <c r="D19" s="135" t="s">
        <v>48</v>
      </c>
      <c r="E19" s="155">
        <v>1935255</v>
      </c>
      <c r="F19" s="156">
        <v>233679</v>
      </c>
      <c r="G19" s="156">
        <v>233679</v>
      </c>
      <c r="H19" s="156">
        <v>179724</v>
      </c>
      <c r="I19" s="156">
        <v>179724</v>
      </c>
      <c r="J19" s="139">
        <f t="shared" si="4"/>
        <v>-53955</v>
      </c>
      <c r="K19" s="140">
        <f t="shared" si="5"/>
        <v>-23.089366181813503</v>
      </c>
      <c r="L19" s="141">
        <f t="shared" si="2"/>
        <v>-53955</v>
      </c>
      <c r="M19" s="149">
        <f t="shared" si="3"/>
        <v>-23.089366181813503</v>
      </c>
      <c r="P19" s="64" t="s">
        <v>80</v>
      </c>
    </row>
    <row r="20" spans="1:16" ht="21.2" customHeight="1">
      <c r="A20" s="225" t="s">
        <v>68</v>
      </c>
      <c r="B20" s="226"/>
      <c r="C20" s="226"/>
      <c r="D20" s="143" t="s">
        <v>47</v>
      </c>
      <c r="E20" s="145"/>
      <c r="F20" s="145">
        <v>0</v>
      </c>
      <c r="G20" s="145">
        <v>0</v>
      </c>
      <c r="H20" s="145">
        <v>0</v>
      </c>
      <c r="I20" s="145">
        <v>0</v>
      </c>
      <c r="J20" s="144">
        <f t="shared" si="4"/>
        <v>0</v>
      </c>
      <c r="K20" s="145">
        <v>0</v>
      </c>
      <c r="L20" s="141">
        <f t="shared" si="2"/>
        <v>0</v>
      </c>
      <c r="M20" s="153">
        <v>0</v>
      </c>
      <c r="P20" s="64" t="s">
        <v>81</v>
      </c>
    </row>
    <row r="21" spans="1:16" ht="21.2" customHeight="1">
      <c r="A21" s="225"/>
      <c r="B21" s="226"/>
      <c r="C21" s="226"/>
      <c r="D21" s="143" t="s">
        <v>48</v>
      </c>
      <c r="E21" s="145"/>
      <c r="F21" s="145">
        <v>0</v>
      </c>
      <c r="G21" s="145">
        <v>0</v>
      </c>
      <c r="H21" s="145">
        <v>0</v>
      </c>
      <c r="I21" s="145">
        <v>0</v>
      </c>
      <c r="J21" s="144">
        <f t="shared" si="0"/>
        <v>0</v>
      </c>
      <c r="K21" s="145">
        <v>0</v>
      </c>
      <c r="L21" s="141">
        <f t="shared" si="2"/>
        <v>0</v>
      </c>
      <c r="M21" s="153">
        <v>0</v>
      </c>
      <c r="P21" s="64" t="s">
        <v>82</v>
      </c>
    </row>
    <row r="22" spans="1:16" ht="21.2" customHeight="1">
      <c r="A22" s="215" t="s">
        <v>92</v>
      </c>
      <c r="B22" s="216"/>
      <c r="C22" s="216"/>
      <c r="D22" s="135" t="s">
        <v>47</v>
      </c>
      <c r="E22" s="145"/>
      <c r="F22" s="145">
        <v>0</v>
      </c>
      <c r="G22" s="145">
        <v>0</v>
      </c>
      <c r="H22" s="145">
        <v>0</v>
      </c>
      <c r="I22" s="145">
        <v>0</v>
      </c>
      <c r="J22" s="144">
        <f t="shared" si="0"/>
        <v>0</v>
      </c>
      <c r="K22" s="145">
        <v>0</v>
      </c>
      <c r="L22" s="141">
        <f t="shared" si="2"/>
        <v>0</v>
      </c>
      <c r="M22" s="153">
        <v>0</v>
      </c>
      <c r="P22" s="64" t="s">
        <v>95</v>
      </c>
    </row>
    <row r="23" spans="1:16" ht="21.2" customHeight="1">
      <c r="A23" s="215"/>
      <c r="B23" s="216"/>
      <c r="C23" s="216"/>
      <c r="D23" s="135" t="s">
        <v>48</v>
      </c>
      <c r="E23" s="145"/>
      <c r="F23" s="145">
        <v>0</v>
      </c>
      <c r="G23" s="145">
        <v>0</v>
      </c>
      <c r="H23" s="145">
        <v>0</v>
      </c>
      <c r="I23" s="145">
        <v>0</v>
      </c>
      <c r="J23" s="144">
        <f t="shared" si="0"/>
        <v>0</v>
      </c>
      <c r="K23" s="145">
        <v>0</v>
      </c>
      <c r="L23" s="141">
        <f t="shared" si="2"/>
        <v>0</v>
      </c>
      <c r="M23" s="153">
        <v>0</v>
      </c>
      <c r="P23" s="64" t="s">
        <v>95</v>
      </c>
    </row>
    <row r="24" spans="1:16" ht="21.2" customHeight="1">
      <c r="A24" s="215" t="s">
        <v>63</v>
      </c>
      <c r="B24" s="216"/>
      <c r="C24" s="216"/>
      <c r="D24" s="135" t="s">
        <v>64</v>
      </c>
      <c r="E24" s="155">
        <v>107</v>
      </c>
      <c r="F24" s="145">
        <v>0</v>
      </c>
      <c r="G24" s="145">
        <v>0</v>
      </c>
      <c r="H24" s="145">
        <v>0</v>
      </c>
      <c r="I24" s="145">
        <v>0</v>
      </c>
      <c r="J24" s="144">
        <f t="shared" si="0"/>
        <v>0</v>
      </c>
      <c r="K24" s="145">
        <v>0</v>
      </c>
      <c r="L24" s="141">
        <f t="shared" si="2"/>
        <v>0</v>
      </c>
      <c r="M24" s="153">
        <v>0</v>
      </c>
      <c r="P24" s="64" t="s">
        <v>83</v>
      </c>
    </row>
    <row r="25" spans="1:16" ht="21.2" customHeight="1">
      <c r="A25" s="215"/>
      <c r="B25" s="216"/>
      <c r="C25" s="216"/>
      <c r="D25" s="135" t="s">
        <v>65</v>
      </c>
      <c r="E25" s="155">
        <v>244</v>
      </c>
      <c r="F25" s="145">
        <v>0</v>
      </c>
      <c r="G25" s="145">
        <v>0</v>
      </c>
      <c r="H25" s="145">
        <v>0</v>
      </c>
      <c r="I25" s="145">
        <v>0</v>
      </c>
      <c r="J25" s="144">
        <f t="shared" si="0"/>
        <v>0</v>
      </c>
      <c r="K25" s="145">
        <v>0</v>
      </c>
      <c r="L25" s="141">
        <f t="shared" si="2"/>
        <v>0</v>
      </c>
      <c r="M25" s="153">
        <v>0</v>
      </c>
      <c r="P25" s="64" t="s">
        <v>83</v>
      </c>
    </row>
    <row r="26" spans="1:16" ht="21.2" customHeight="1">
      <c r="A26" s="215" t="s">
        <v>58</v>
      </c>
      <c r="B26" s="216"/>
      <c r="C26" s="216"/>
      <c r="D26" s="135" t="s">
        <v>47</v>
      </c>
      <c r="E26" s="155">
        <v>212</v>
      </c>
      <c r="F26" s="156">
        <v>20</v>
      </c>
      <c r="G26" s="156">
        <v>20</v>
      </c>
      <c r="H26" s="109">
        <v>0</v>
      </c>
      <c r="I26" s="109">
        <v>0</v>
      </c>
      <c r="J26" s="144">
        <f t="shared" si="0"/>
        <v>-20</v>
      </c>
      <c r="K26" s="140" t="s">
        <v>100</v>
      </c>
      <c r="L26" s="141">
        <f t="shared" si="2"/>
        <v>-20</v>
      </c>
      <c r="M26" s="148" t="s">
        <v>100</v>
      </c>
      <c r="P26" s="64" t="s">
        <v>84</v>
      </c>
    </row>
    <row r="27" spans="1:16" ht="21.2" customHeight="1">
      <c r="A27" s="215"/>
      <c r="B27" s="216"/>
      <c r="C27" s="216"/>
      <c r="D27" s="135" t="s">
        <v>48</v>
      </c>
      <c r="E27" s="155">
        <v>1888</v>
      </c>
      <c r="F27" s="156">
        <v>173</v>
      </c>
      <c r="G27" s="156">
        <v>173</v>
      </c>
      <c r="H27" s="109">
        <v>0</v>
      </c>
      <c r="I27" s="109">
        <v>0</v>
      </c>
      <c r="J27" s="144">
        <f t="shared" si="0"/>
        <v>-173</v>
      </c>
      <c r="K27" s="140" t="s">
        <v>100</v>
      </c>
      <c r="L27" s="141">
        <f t="shared" si="2"/>
        <v>-173</v>
      </c>
      <c r="M27" s="148" t="s">
        <v>100</v>
      </c>
      <c r="P27" s="64" t="s">
        <v>85</v>
      </c>
    </row>
    <row r="28" spans="1:16" ht="21.2" customHeight="1">
      <c r="A28" s="215" t="s">
        <v>59</v>
      </c>
      <c r="B28" s="216"/>
      <c r="C28" s="216"/>
      <c r="D28" s="135" t="s">
        <v>47</v>
      </c>
      <c r="E28" s="155">
        <v>87855</v>
      </c>
      <c r="F28" s="156">
        <v>8946</v>
      </c>
      <c r="G28" s="156">
        <v>8946</v>
      </c>
      <c r="H28" s="156">
        <v>4626</v>
      </c>
      <c r="I28" s="156">
        <v>4626</v>
      </c>
      <c r="J28" s="144">
        <f t="shared" si="0"/>
        <v>-4320</v>
      </c>
      <c r="K28" s="140">
        <f t="shared" si="1"/>
        <v>-48.289738430583505</v>
      </c>
      <c r="L28" s="141">
        <f t="shared" si="2"/>
        <v>-4320</v>
      </c>
      <c r="M28" s="148">
        <f t="shared" si="3"/>
        <v>-48.289738430583505</v>
      </c>
      <c r="P28" s="64" t="s">
        <v>86</v>
      </c>
    </row>
    <row r="29" spans="1:16" ht="21.2" customHeight="1">
      <c r="A29" s="215"/>
      <c r="B29" s="216"/>
      <c r="C29" s="216"/>
      <c r="D29" s="135" t="s">
        <v>48</v>
      </c>
      <c r="E29" s="155">
        <v>1481921</v>
      </c>
      <c r="F29" s="156">
        <v>157551</v>
      </c>
      <c r="G29" s="156">
        <v>157551</v>
      </c>
      <c r="H29" s="156">
        <v>74855</v>
      </c>
      <c r="I29" s="156">
        <v>74855</v>
      </c>
      <c r="J29" s="144">
        <f t="shared" si="0"/>
        <v>-82696</v>
      </c>
      <c r="K29" s="140">
        <f t="shared" si="1"/>
        <v>-52.488400581399041</v>
      </c>
      <c r="L29" s="141">
        <f t="shared" si="2"/>
        <v>-82696</v>
      </c>
      <c r="M29" s="148">
        <f t="shared" si="3"/>
        <v>-52.488400581399041</v>
      </c>
      <c r="P29" s="64" t="s">
        <v>87</v>
      </c>
    </row>
    <row r="30" spans="1:16" ht="21.2" customHeight="1">
      <c r="A30" s="215" t="s">
        <v>60</v>
      </c>
      <c r="B30" s="216"/>
      <c r="C30" s="216"/>
      <c r="D30" s="135" t="s">
        <v>47</v>
      </c>
      <c r="E30" s="155">
        <v>136389</v>
      </c>
      <c r="F30" s="156">
        <v>15941</v>
      </c>
      <c r="G30" s="156">
        <v>15941</v>
      </c>
      <c r="H30" s="156">
        <v>9951</v>
      </c>
      <c r="I30" s="156">
        <v>9951</v>
      </c>
      <c r="J30" s="139">
        <f t="shared" si="0"/>
        <v>-5990</v>
      </c>
      <c r="K30" s="140">
        <f t="shared" si="1"/>
        <v>-37.576061727620605</v>
      </c>
      <c r="L30" s="141">
        <f t="shared" si="2"/>
        <v>-5990</v>
      </c>
      <c r="M30" s="148">
        <f t="shared" si="3"/>
        <v>-37.576061727620605</v>
      </c>
      <c r="P30" s="64" t="s">
        <v>88</v>
      </c>
    </row>
    <row r="31" spans="1:16" ht="21.2" customHeight="1">
      <c r="A31" s="215"/>
      <c r="B31" s="216"/>
      <c r="C31" s="216"/>
      <c r="D31" s="135" t="s">
        <v>48</v>
      </c>
      <c r="E31" s="155">
        <v>1982852</v>
      </c>
      <c r="F31" s="156">
        <v>224321</v>
      </c>
      <c r="G31" s="156">
        <v>224321</v>
      </c>
      <c r="H31" s="156">
        <v>135104</v>
      </c>
      <c r="I31" s="156">
        <v>135104</v>
      </c>
      <c r="J31" s="139">
        <f t="shared" si="0"/>
        <v>-89217</v>
      </c>
      <c r="K31" s="140">
        <f t="shared" si="1"/>
        <v>-39.772023127571657</v>
      </c>
      <c r="L31" s="141">
        <f t="shared" si="2"/>
        <v>-89217</v>
      </c>
      <c r="M31" s="148">
        <f t="shared" si="3"/>
        <v>-39.772023127571657</v>
      </c>
      <c r="P31" s="64" t="s">
        <v>89</v>
      </c>
    </row>
    <row r="32" spans="1:16" ht="21.2" customHeight="1">
      <c r="A32" s="215" t="s">
        <v>61</v>
      </c>
      <c r="B32" s="216"/>
      <c r="C32" s="216"/>
      <c r="D32" s="135" t="s">
        <v>47</v>
      </c>
      <c r="E32" s="155">
        <v>45952</v>
      </c>
      <c r="F32" s="156">
        <v>4931</v>
      </c>
      <c r="G32" s="156">
        <v>4931</v>
      </c>
      <c r="H32" s="156">
        <v>4127</v>
      </c>
      <c r="I32" s="156">
        <v>4127</v>
      </c>
      <c r="J32" s="139">
        <f>H32-F32</f>
        <v>-804</v>
      </c>
      <c r="K32" s="140">
        <f t="shared" si="1"/>
        <v>-16.305009125937943</v>
      </c>
      <c r="L32" s="141">
        <f>I32-G32</f>
        <v>-804</v>
      </c>
      <c r="M32" s="148">
        <f t="shared" si="3"/>
        <v>-16.305009125937943</v>
      </c>
      <c r="P32" s="64" t="s">
        <v>90</v>
      </c>
    </row>
    <row r="33" spans="1:16" ht="21.2" customHeight="1" thickBot="1">
      <c r="A33" s="223"/>
      <c r="B33" s="224"/>
      <c r="C33" s="224"/>
      <c r="D33" s="150" t="s">
        <v>48</v>
      </c>
      <c r="E33" s="157">
        <v>722543</v>
      </c>
      <c r="F33" s="158">
        <v>85591</v>
      </c>
      <c r="G33" s="158">
        <v>85591</v>
      </c>
      <c r="H33" s="158">
        <v>63882</v>
      </c>
      <c r="I33" s="158">
        <v>63882</v>
      </c>
      <c r="J33" s="151">
        <f>H33-F33</f>
        <v>-21709</v>
      </c>
      <c r="K33" s="110">
        <f t="shared" si="1"/>
        <v>-25.363648047107759</v>
      </c>
      <c r="L33" s="152">
        <f>I33-G33</f>
        <v>-21709</v>
      </c>
      <c r="M33" s="111">
        <f t="shared" si="3"/>
        <v>-25.363648047107759</v>
      </c>
      <c r="P33" s="64" t="s">
        <v>91</v>
      </c>
    </row>
    <row r="34" spans="1:16">
      <c r="E34" s="130"/>
    </row>
    <row r="35" spans="1:16">
      <c r="E35" s="130"/>
    </row>
  </sheetData>
  <mergeCells count="20"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  <mergeCell ref="J2:M2"/>
    <mergeCell ref="A4:C5"/>
    <mergeCell ref="A6:C7"/>
    <mergeCell ref="A8:C9"/>
    <mergeCell ref="A2:C3"/>
    <mergeCell ref="D2:D3"/>
    <mergeCell ref="F2:G2"/>
    <mergeCell ref="H2:I2"/>
  </mergeCells>
  <phoneticPr fontId="23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2023-04-10T22:55:42Z</dcterms:modified>
</cp:coreProperties>
</file>