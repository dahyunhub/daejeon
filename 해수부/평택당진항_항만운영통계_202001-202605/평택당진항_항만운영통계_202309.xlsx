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3. 항만운영통계\통계\2023\10월\"/>
    </mc:Choice>
  </mc:AlternateContent>
  <xr:revisionPtr revIDLastSave="0" documentId="13_ncr:1_{EE7E3CA9-F94A-4056-B999-C6EECA133736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재게'!$A$3:$AJ$35</definedName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J23" i="21" l="1"/>
  <c r="J24" i="21"/>
  <c r="J22" i="21"/>
  <c r="L17" i="21"/>
  <c r="L16" i="21"/>
  <c r="J17" i="21"/>
  <c r="J16" i="21"/>
  <c r="L12" i="21"/>
  <c r="J12" i="21"/>
  <c r="J13" i="21"/>
  <c r="J14" i="21"/>
  <c r="AG11" i="32" l="1"/>
  <c r="AH11" i="32"/>
  <c r="AH10" i="32"/>
  <c r="AG10" i="32"/>
  <c r="AH9" i="32"/>
  <c r="AG9" i="32"/>
  <c r="AF11" i="32"/>
  <c r="AE11" i="32"/>
  <c r="AF10" i="32"/>
  <c r="AE10" i="32"/>
  <c r="AF9" i="32"/>
  <c r="AE9" i="32"/>
  <c r="M27" i="32"/>
  <c r="M25" i="32"/>
  <c r="M26" i="32"/>
  <c r="M24" i="32"/>
  <c r="M11" i="32"/>
  <c r="M10" i="32"/>
  <c r="AI11" i="32" l="1"/>
  <c r="AJ11" i="32"/>
  <c r="AJ10" i="32"/>
  <c r="AJ9" i="32"/>
  <c r="AI10" i="32"/>
  <c r="AI9" i="32"/>
  <c r="F5" i="32"/>
  <c r="F4" i="32"/>
  <c r="G5" i="32"/>
  <c r="G4" i="32"/>
  <c r="E5" i="32"/>
  <c r="E4" i="32"/>
  <c r="M35" i="32" l="1"/>
  <c r="L35" i="32"/>
  <c r="J35" i="32"/>
  <c r="M34" i="32"/>
  <c r="L34" i="32"/>
  <c r="J34" i="32"/>
  <c r="M33" i="32" l="1"/>
  <c r="H11" i="21" l="1"/>
  <c r="I15" i="21" l="1"/>
  <c r="I11" i="21"/>
  <c r="H15" i="21"/>
  <c r="H10" i="21" s="1"/>
  <c r="I10" i="21" l="1"/>
  <c r="N4" i="33" s="1"/>
  <c r="F15" i="21"/>
  <c r="F11" i="21"/>
  <c r="J11" i="21" s="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M32" i="32" l="1"/>
  <c r="L19" i="32"/>
  <c r="L11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8" i="32"/>
  <c r="J29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26" i="21" l="1"/>
  <c r="J27" i="21"/>
  <c r="J18" i="21"/>
  <c r="L25" i="32" l="1"/>
  <c r="I25" i="21"/>
  <c r="I21" i="21"/>
  <c r="E25" i="21" l="1"/>
  <c r="E21" i="21"/>
  <c r="E20" i="21" l="1"/>
  <c r="L24" i="32" l="1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M12" i="21"/>
  <c r="K13" i="21"/>
  <c r="L13" i="21"/>
  <c r="M13" i="21"/>
  <c r="L14" i="21"/>
  <c r="M14" i="21"/>
  <c r="K16" i="21"/>
  <c r="M16" i="21"/>
  <c r="K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<sst xmlns="http://schemas.openxmlformats.org/spreadsheetml/2006/main" count="183" uniqueCount="119">
  <si>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</si>
  <si>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</si>
  <si>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</si>
  <si>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</si>
  <si>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</si>
  <si>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</si>
  <si>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</si>
  <si>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</si>
  <si>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</si>
  <si>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</si>
  <si>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</si>
  <si>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</si>
  <si>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</si>
  <si>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</si>
  <si>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</si>
  <si>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</si>
  <si>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</si>
  <si>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</si>
  <si>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</si>
  <si>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</si>
  <si>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</si>
  <si>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</si>
  <si>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</si>
  <si>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</si>
  <si>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</si>
  <si>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</si>
  <si>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</si>
  <si>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</si>
  <si>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</si>
  <si>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</si>
  <si>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</si>
  <si>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</si>
  <si>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</si>
  <si>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</si>
  <si>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</si>
  <si>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</si>
  <si>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</si>
  <si>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</si>
  <si>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</si>
  <si>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</si>
  <si>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</si>
  <si>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</si>
  <si>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</si>
  <si>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</si>
  <si>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</si>
  <si>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</si>
  <si>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</si>
  <si>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</si>
  <si>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</si>
  <si>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</si>
  <si>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</si>
  <si>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</si>
  <si>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</si>
  <si>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</si>
  <si>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</si>
  <si>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</si>
  <si>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</si>
  <si>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</si>
  <si>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</si>
  <si>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</si>
  <si>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</si>
  <si>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</si>
  <si>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</si>
  <si>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</si>
  <si>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</si>
  <si>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</si>
  <si>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</si>
  <si>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</si>
  <si>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</si>
  <si>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</si>
  <si>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</si>
  <si>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</si>
  <si>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</si>
  <si>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</si>
  <si>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</si>
  <si>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</si>
  <si>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</si>
  <si>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</si>
  <si>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</si>
  <si>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</si>
  <si>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</si>
  <si>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</si>
  <si>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</si>
  <si>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</si>
  <si>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</si>
  <si>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</si>
  <si>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</si>
  <si>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</si>
  <si>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</si>
  <si>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</si>
  <si>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</si>
  <si>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</si>
  <si>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</si>
  <si>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</si>
  <si>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</si>
  <si>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</si>
  <si>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</si>
  <si>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</si>
  <si>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</si>
  <si>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</si>
  <si>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23" type="noConversion"/>
  </si>
  <si>
    <t>-</t>
    <phoneticPr fontId="23" type="noConversion"/>
  </si>
  <si>
    <t>PNCT</t>
    <phoneticPr fontId="23" type="noConversion"/>
  </si>
  <si>
    <t>터미널별</t>
    <phoneticPr fontId="23" type="noConversion"/>
  </si>
  <si>
    <t>2022년 월별</t>
    <phoneticPr fontId="23" type="noConversion"/>
  </si>
  <si>
    <t>2022년 누계</t>
    <phoneticPr fontId="23" type="noConversion"/>
  </si>
  <si>
    <t>2023년 월별</t>
    <phoneticPr fontId="23" type="noConversion"/>
  </si>
  <si>
    <t>2023년 누계</t>
    <phoneticPr fontId="23" type="noConversion"/>
  </si>
  <si>
    <t>여객부두</t>
    <phoneticPr fontId="23" type="noConversion"/>
  </si>
  <si>
    <t>HPCTC</t>
    <phoneticPr fontId="23" type="noConversion"/>
  </si>
  <si>
    <t>`</t>
    <phoneticPr fontId="23" type="noConversion"/>
  </si>
  <si>
    <t>(2023.9월분)</t>
    <phoneticPr fontId="7" type="noConversion"/>
  </si>
  <si>
    <t>9월(A)</t>
    <phoneticPr fontId="7" type="noConversion"/>
  </si>
  <si>
    <t>9월 누계(B)</t>
    <phoneticPr fontId="7" type="noConversion"/>
  </si>
  <si>
    <t>9월(C)</t>
    <phoneticPr fontId="7" type="noConversion"/>
  </si>
  <si>
    <t>9월 누계(D)</t>
    <phoneticPr fontId="7" type="noConversion"/>
  </si>
  <si>
    <t>-</t>
    <phoneticPr fontId="23" type="noConversion"/>
  </si>
  <si>
    <t>-</t>
    <phoneticPr fontId="23" type="noConversion"/>
  </si>
  <si>
    <t>23.09.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</si>
</sst>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10"/>
      <color rgb="FF0000FF"/>
      <name val="굴림체"/>
      <family val="3"/>
      <charset val="129"/>
    </font>
    <font>
      <sz val="10"/>
      <color rgb="FF0000FF"/>
      <name val="바탕체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4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3" fontId="0" fillId="0" borderId="0" xfId="0" applyNumberFormat="1"/>
    <xf numFmtId="182" fontId="13" fillId="0" borderId="3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176" fontId="14" fillId="4" borderId="3" xfId="0" applyNumberFormat="1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39" xfId="23" applyFont="1" applyFill="1" applyBorder="1" applyAlignment="1">
      <alignment horizontal="center" vertical="center"/>
    </xf>
    <xf numFmtId="188" fontId="25" fillId="0" borderId="12" xfId="0" applyNumberFormat="1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/>
    </xf>
    <xf numFmtId="176" fontId="33" fillId="0" borderId="23" xfId="15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 shrinkToFit="1"/>
    </xf>
    <xf numFmtId="176" fontId="33" fillId="0" borderId="23" xfId="15" applyFont="1" applyBorder="1" applyAlignment="1">
      <alignment horizontal="center" vertical="center" shrinkToFit="1"/>
    </xf>
    <xf numFmtId="188" fontId="33" fillId="0" borderId="23" xfId="0" applyNumberFormat="1" applyFont="1" applyBorder="1" applyAlignment="1">
      <alignment horizontal="center" vertical="center"/>
    </xf>
    <xf numFmtId="176" fontId="35" fillId="0" borderId="23" xfId="15" applyFont="1" applyBorder="1" applyAlignment="1">
      <alignment horizontal="center" vertical="center" shrinkToFit="1"/>
    </xf>
    <xf numFmtId="43" fontId="26" fillId="0" borderId="0" xfId="17" applyNumberFormat="1">
      <alignment vertical="center"/>
    </xf>
    <xf numFmtId="0" fontId="26" fillId="0" borderId="0" xfId="17" applyFont="1" applyAlignment="1">
      <alignment horizontal="center" vertical="center"/>
    </xf>
    <xf numFmtId="0" fontId="26" fillId="0" borderId="0" xfId="17" applyAlignment="1">
      <alignment horizontal="center" vertical="center"/>
    </xf>
    <xf numFmtId="41" fontId="25" fillId="8" borderId="1" xfId="15" applyNumberFormat="1" applyFont="1" applyFill="1" applyBorder="1" applyAlignment="1">
      <alignment horizontal="center" vertical="center"/>
    </xf>
    <xf numFmtId="41" fontId="24" fillId="4" borderId="1" xfId="15" applyNumberFormat="1" applyFont="1" applyFill="1" applyBorder="1" applyAlignment="1">
      <alignment horizontal="center" vertical="center" shrinkToFit="1"/>
    </xf>
    <xf numFmtId="41" fontId="25" fillId="8" borderId="12" xfId="15" applyNumberFormat="1" applyFont="1" applyFill="1" applyBorder="1" applyAlignment="1">
      <alignment horizontal="center" vertical="center"/>
    </xf>
    <xf numFmtId="176" fontId="26" fillId="0" borderId="1" xfId="15" applyFont="1" applyBorder="1" applyAlignment="1">
      <alignment horizontal="center" vertical="center"/>
    </xf>
    <xf numFmtId="0" fontId="26" fillId="0" borderId="1" xfId="15" applyNumberFormat="1" applyFont="1" applyBorder="1" applyAlignment="1">
      <alignment horizontal="center" vertical="center"/>
    </xf>
    <xf numFmtId="41" fontId="26" fillId="0" borderId="1" xfId="15" applyNumberFormat="1" applyFont="1" applyBorder="1" applyAlignment="1">
      <alignment horizontal="center" vertical="center"/>
    </xf>
    <xf numFmtId="190" fontId="26" fillId="0" borderId="0" xfId="17" applyNumberFormat="1">
      <alignment vertical="center"/>
    </xf>
    <xf numFmtId="41" fontId="13" fillId="8" borderId="39" xfId="23" applyFont="1" applyFill="1" applyBorder="1" applyAlignment="1">
      <alignment horizontal="right" vertical="center"/>
    </xf>
    <xf numFmtId="176" fontId="25" fillId="8" borderId="1" xfId="15" applyFont="1" applyFill="1" applyBorder="1" applyAlignment="1">
      <alignment vertical="center" shrinkToFit="1"/>
    </xf>
    <xf numFmtId="176" fontId="25" fillId="8" borderId="1" xfId="15" applyFont="1" applyFill="1" applyBorder="1" applyAlignment="1">
      <alignment horizontal="right" vertical="center"/>
    </xf>
    <xf numFmtId="176" fontId="25" fillId="8" borderId="12" xfId="15" applyFont="1" applyFill="1" applyBorder="1" applyAlignment="1">
      <alignment horizontal="right" vertical="center"/>
    </xf>
    <xf numFmtId="0" fontId="24" fillId="4" borderId="1" xfId="17" applyFont="1" applyFill="1" applyBorder="1" applyAlignment="1">
      <alignment horizontal="center" vertical="center"/>
    </xf>
    <xf numFmtId="3" fontId="25" fillId="0" borderId="39" xfId="0" applyNumberFormat="1" applyFont="1" applyFill="1" applyBorder="1" applyAlignment="1">
      <alignment horizontal="right" vertical="center"/>
    </xf>
    <xf numFmtId="41" fontId="25" fillId="0" borderId="1" xfId="15" applyNumberFormat="1" applyFont="1" applyFill="1" applyBorder="1" applyAlignment="1">
      <alignment horizontal="center" vertical="center" shrinkToFit="1"/>
    </xf>
    <xf numFmtId="41" fontId="25" fillId="0" borderId="1" xfId="17" applyNumberFormat="1" applyFont="1" applyFill="1" applyBorder="1" applyAlignment="1">
      <alignment vertical="center" shrinkToFit="1"/>
    </xf>
    <xf numFmtId="41" fontId="25" fillId="0" borderId="39" xfId="23" applyFont="1" applyFill="1" applyBorder="1" applyAlignment="1">
      <alignment horizontal="right" vertical="center"/>
    </xf>
    <xf numFmtId="41" fontId="25" fillId="0" borderId="1" xfId="17" applyNumberFormat="1" applyFont="1" applyFill="1" applyBorder="1" applyAlignment="1">
      <alignment horizontal="right" vertical="center" shrinkToFit="1"/>
    </xf>
    <xf numFmtId="41" fontId="25" fillId="0" borderId="1" xfId="23" applyFont="1" applyFill="1" applyBorder="1" applyAlignment="1">
      <alignment vertical="center"/>
    </xf>
    <xf numFmtId="41" fontId="25" fillId="0" borderId="12" xfId="23" applyFont="1" applyFill="1" applyBorder="1" applyAlignment="1">
      <alignment vertical="center"/>
    </xf>
    <xf numFmtId="3" fontId="25" fillId="0" borderId="40" xfId="0" applyNumberFormat="1" applyFont="1" applyFill="1" applyBorder="1" applyAlignment="1">
      <alignment horizontal="right" vertical="center"/>
    </xf>
    <xf numFmtId="176" fontId="14" fillId="4" borderId="1" xfId="17" applyNumberFormat="1" applyFont="1" applyFill="1" applyBorder="1" applyAlignment="1">
      <alignment horizontal="right" vertical="center" shrinkToFit="1"/>
    </xf>
    <xf numFmtId="176" fontId="14" fillId="5" borderId="1" xfId="17" applyNumberFormat="1" applyFont="1" applyFill="1" applyBorder="1" applyAlignment="1">
      <alignment horizontal="right" vertical="center" shrinkToFit="1"/>
    </xf>
    <xf numFmtId="176" fontId="14" fillId="5" borderId="12" xfId="17" applyNumberFormat="1" applyFont="1" applyFill="1" applyBorder="1" applyAlignment="1">
      <alignment horizontal="right" vertical="center" shrinkToFit="1"/>
    </xf>
    <xf numFmtId="181" fontId="6" fillId="5" borderId="1" xfId="0" applyNumberFormat="1" applyFont="1" applyFill="1" applyBorder="1" applyAlignment="1">
      <alignment horizontal="right" vertical="center"/>
    </xf>
    <xf numFmtId="176" fontId="40" fillId="0" borderId="3" xfId="0" applyNumberFormat="1" applyFont="1" applyFill="1" applyBorder="1" applyAlignment="1">
      <alignment horizontal="right" vertical="center"/>
    </xf>
    <xf numFmtId="9" fontId="40" fillId="5" borderId="5" xfId="0" quotePrefix="1" applyNumberFormat="1" applyFont="1" applyFill="1" applyBorder="1" applyAlignment="1">
      <alignment horizontal="right" vertical="center"/>
    </xf>
    <xf numFmtId="181" fontId="41" fillId="5" borderId="1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40" fillId="0" borderId="4" xfId="0" applyNumberFormat="1" applyFont="1" applyBorder="1" applyAlignment="1">
      <alignment horizontal="right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8월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86368682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'23년 8월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86127491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in val="100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8월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653401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'23년 8월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608194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in val="10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23.09.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86127491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23.09.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608194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23.09.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23.09.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23.09.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C7" sqref="C7:D7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203"/>
      <c r="M1" s="203"/>
    </row>
    <row r="2" spans="2:15" ht="33" customHeight="1">
      <c r="B2" s="213" t="s">
        <v>49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2:15" ht="27.75" customHeight="1">
      <c r="B3" s="215" t="s">
        <v>111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</row>
    <row r="4" spans="2:15" ht="21.2" customHeight="1" thickBot="1">
      <c r="B4" s="186" t="s">
        <v>71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</row>
    <row r="5" spans="2:15" ht="21.2" customHeight="1">
      <c r="B5" s="207" t="s">
        <v>7</v>
      </c>
      <c r="C5" s="208"/>
      <c r="D5" s="209"/>
      <c r="E5" s="34"/>
      <c r="F5" s="205" t="s">
        <v>97</v>
      </c>
      <c r="G5" s="216"/>
      <c r="H5" s="199" t="s">
        <v>98</v>
      </c>
      <c r="I5" s="199"/>
      <c r="J5" s="204" t="s">
        <v>15</v>
      </c>
      <c r="K5" s="205"/>
      <c r="L5" s="205"/>
      <c r="M5" s="206"/>
    </row>
    <row r="6" spans="2:15" ht="20.25" customHeight="1">
      <c r="B6" s="210"/>
      <c r="C6" s="211"/>
      <c r="D6" s="212"/>
      <c r="E6" s="35" t="s">
        <v>11</v>
      </c>
      <c r="F6" s="96" t="s">
        <v>112</v>
      </c>
      <c r="G6" s="36" t="s">
        <v>113</v>
      </c>
      <c r="H6" s="96" t="s">
        <v>114</v>
      </c>
      <c r="I6" s="97" t="s">
        <v>115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191" t="s">
        <v>21</v>
      </c>
      <c r="C7" s="194" t="s">
        <v>12</v>
      </c>
      <c r="D7" s="195"/>
      <c r="E7" s="12">
        <f>SUM(E8:E9)</f>
        <v>16626</v>
      </c>
      <c r="F7" s="12">
        <f>SUM(F8:F9)</f>
        <v>1273</v>
      </c>
      <c r="G7" s="12">
        <f>SUM(G8:G9)</f>
        <v>12657</v>
      </c>
      <c r="H7" s="12">
        <f>SUM(H8:H9)</f>
        <v>1379</v>
      </c>
      <c r="I7" s="12">
        <f>SUM(I8:I9)</f>
        <v>12938</v>
      </c>
      <c r="J7" s="12">
        <f>H7-F7</f>
        <v>106</v>
      </c>
      <c r="K7" s="15">
        <f>H7/F7</f>
        <v>1.0832678711704635</v>
      </c>
      <c r="L7" s="13">
        <f>I7-G7</f>
        <v>281</v>
      </c>
      <c r="M7" s="23">
        <f>I7/G7</f>
        <v>1.0222011535118907</v>
      </c>
    </row>
    <row r="8" spans="2:15" ht="19.5" customHeight="1">
      <c r="B8" s="192"/>
      <c r="C8" s="182" t="s">
        <v>9</v>
      </c>
      <c r="D8" s="183"/>
      <c r="E8" s="131">
        <v>10009</v>
      </c>
      <c r="F8" s="19">
        <v>744</v>
      </c>
      <c r="G8" s="19">
        <v>7547</v>
      </c>
      <c r="H8" s="19">
        <v>817</v>
      </c>
      <c r="I8" s="19">
        <v>7884</v>
      </c>
      <c r="J8" s="3">
        <f t="shared" ref="J8:J28" si="0">H8-F8</f>
        <v>73</v>
      </c>
      <c r="K8" s="17">
        <f t="shared" ref="K8:K28" si="1">H8/F8</f>
        <v>1.0981182795698925</v>
      </c>
      <c r="L8" s="18">
        <f t="shared" ref="L8:L28" si="2">I8-G8</f>
        <v>337</v>
      </c>
      <c r="M8" s="24">
        <f t="shared" ref="M8:M28" si="3">I8/G8</f>
        <v>1.0446535047038559</v>
      </c>
    </row>
    <row r="9" spans="2:15" ht="19.5" customHeight="1">
      <c r="B9" s="193"/>
      <c r="C9" s="184" t="s">
        <v>10</v>
      </c>
      <c r="D9" s="185"/>
      <c r="E9" s="131">
        <v>6617</v>
      </c>
      <c r="F9" s="20">
        <v>529</v>
      </c>
      <c r="G9" s="20">
        <v>5110</v>
      </c>
      <c r="H9" s="20">
        <v>562</v>
      </c>
      <c r="I9" s="20">
        <v>5054</v>
      </c>
      <c r="J9" s="20">
        <f t="shared" si="0"/>
        <v>33</v>
      </c>
      <c r="K9" s="21">
        <f t="shared" si="1"/>
        <v>1.0623818525519848</v>
      </c>
      <c r="L9" s="22">
        <f t="shared" si="2"/>
        <v>-56</v>
      </c>
      <c r="M9" s="25">
        <f t="shared" si="3"/>
        <v>0.989041095890411</v>
      </c>
    </row>
    <row r="10" spans="2:15" ht="21.2" customHeight="1">
      <c r="B10" s="191" t="s">
        <v>22</v>
      </c>
      <c r="C10" s="194" t="s">
        <v>8</v>
      </c>
      <c r="D10" s="195"/>
      <c r="E10" s="40">
        <f>E11+E15</f>
        <v>116137277</v>
      </c>
      <c r="F10" s="40">
        <f>F11+F15</f>
        <v>8505467</v>
      </c>
      <c r="G10" s="40">
        <f>G11+G15</f>
        <v>86368682</v>
      </c>
      <c r="H10" s="40">
        <f>H11+H15</f>
        <v>8722073</v>
      </c>
      <c r="I10" s="40">
        <f>I11+I15</f>
        <v>86127491</v>
      </c>
      <c r="J10" s="40">
        <f t="shared" si="0"/>
        <v>216606</v>
      </c>
      <c r="K10" s="15">
        <f t="shared" si="1"/>
        <v>1.0254666792546487</v>
      </c>
      <c r="L10" s="106">
        <f>I10-G10</f>
        <v>-241191</v>
      </c>
      <c r="M10" s="23">
        <f t="shared" si="3"/>
        <v>0.99720742525629835</v>
      </c>
    </row>
    <row r="11" spans="2:15" ht="19.5" customHeight="1">
      <c r="B11" s="192"/>
      <c r="C11" s="188" t="s">
        <v>1</v>
      </c>
      <c r="D11" s="75" t="s">
        <v>0</v>
      </c>
      <c r="E11" s="72">
        <f>SUM(E12:E14)</f>
        <v>104335502</v>
      </c>
      <c r="F11" s="180">
        <f>SUM(F12:F14)</f>
        <v>7529676</v>
      </c>
      <c r="G11" s="180">
        <f>SUM(G12:G14)</f>
        <v>77144786</v>
      </c>
      <c r="H11" s="180">
        <f>SUM(H12:H14)</f>
        <v>7937448</v>
      </c>
      <c r="I11" s="180">
        <f>SUM(I12:I14)</f>
        <v>77952556</v>
      </c>
      <c r="J11" s="176">
        <f t="shared" si="0"/>
        <v>407772</v>
      </c>
      <c r="K11" s="177">
        <f t="shared" si="1"/>
        <v>1.0541553182368006</v>
      </c>
      <c r="L11" s="178">
        <f>I11-G11</f>
        <v>807770</v>
      </c>
      <c r="M11" s="73">
        <f t="shared" si="3"/>
        <v>1.0104708307830421</v>
      </c>
    </row>
    <row r="12" spans="2:15" ht="19.5" customHeight="1">
      <c r="B12" s="192"/>
      <c r="C12" s="189"/>
      <c r="D12" s="4" t="s">
        <v>5</v>
      </c>
      <c r="E12" s="132">
        <v>85021042</v>
      </c>
      <c r="F12" s="179">
        <v>6044513</v>
      </c>
      <c r="G12" s="179">
        <v>62356655</v>
      </c>
      <c r="H12" s="179">
        <v>6274361</v>
      </c>
      <c r="I12" s="179">
        <v>62449666</v>
      </c>
      <c r="J12" s="20">
        <f t="shared" si="0"/>
        <v>229848</v>
      </c>
      <c r="K12" s="17">
        <f t="shared" si="1"/>
        <v>1.0380258922430972</v>
      </c>
      <c r="L12" s="175">
        <f>I12-G12</f>
        <v>93011</v>
      </c>
      <c r="M12" s="24">
        <f t="shared" si="3"/>
        <v>1.0014915970075688</v>
      </c>
      <c r="O12" s="103"/>
    </row>
    <row r="13" spans="2:15" ht="19.5" customHeight="1">
      <c r="B13" s="192"/>
      <c r="C13" s="189"/>
      <c r="D13" s="4" t="s">
        <v>6</v>
      </c>
      <c r="E13" s="133">
        <v>15759226</v>
      </c>
      <c r="F13" s="179">
        <v>1237203</v>
      </c>
      <c r="G13" s="179">
        <v>11919219</v>
      </c>
      <c r="H13" s="179">
        <v>1460237</v>
      </c>
      <c r="I13" s="179">
        <v>13275679</v>
      </c>
      <c r="J13" s="20">
        <f t="shared" si="0"/>
        <v>223034</v>
      </c>
      <c r="K13" s="17">
        <f t="shared" si="1"/>
        <v>1.1802727604119938</v>
      </c>
      <c r="L13" s="175">
        <f t="shared" si="2"/>
        <v>1356460</v>
      </c>
      <c r="M13" s="24">
        <f t="shared" si="3"/>
        <v>1.1138044363477171</v>
      </c>
    </row>
    <row r="14" spans="2:15" ht="19.5" customHeight="1">
      <c r="B14" s="192"/>
      <c r="C14" s="190"/>
      <c r="D14" s="4" t="s">
        <v>13</v>
      </c>
      <c r="E14" s="133">
        <v>3555234</v>
      </c>
      <c r="F14" s="179">
        <v>247960</v>
      </c>
      <c r="G14" s="179">
        <v>2868912</v>
      </c>
      <c r="H14" s="179">
        <v>202850</v>
      </c>
      <c r="I14" s="179">
        <v>2227211</v>
      </c>
      <c r="J14" s="20">
        <f t="shared" si="0"/>
        <v>-45110</v>
      </c>
      <c r="K14" s="17">
        <f>H14/F14</f>
        <v>0.81807549604774965</v>
      </c>
      <c r="L14" s="175">
        <f t="shared" si="2"/>
        <v>-641701</v>
      </c>
      <c r="M14" s="24">
        <f t="shared" si="3"/>
        <v>0.77632600790822448</v>
      </c>
    </row>
    <row r="15" spans="2:15" ht="19.5" customHeight="1">
      <c r="B15" s="192"/>
      <c r="C15" s="200" t="s">
        <v>2</v>
      </c>
      <c r="D15" s="74" t="s">
        <v>0</v>
      </c>
      <c r="E15" s="69">
        <f>SUM(E16:E18)</f>
        <v>11801775</v>
      </c>
      <c r="F15" s="180">
        <f>SUM(F16:F18)</f>
        <v>975791</v>
      </c>
      <c r="G15" s="180">
        <f>SUM(G16:G18)</f>
        <v>9223896</v>
      </c>
      <c r="H15" s="180">
        <f>SUM(H16:H18)</f>
        <v>784625</v>
      </c>
      <c r="I15" s="180">
        <f>SUM(I16:I18)</f>
        <v>8174935</v>
      </c>
      <c r="J15" s="176">
        <f t="shared" si="0"/>
        <v>-191166</v>
      </c>
      <c r="K15" s="70">
        <f t="shared" si="1"/>
        <v>0.80409124494896955</v>
      </c>
      <c r="L15" s="175">
        <f t="shared" si="2"/>
        <v>-1048961</v>
      </c>
      <c r="M15" s="71">
        <f t="shared" si="3"/>
        <v>0.8862778808434093</v>
      </c>
    </row>
    <row r="16" spans="2:15" ht="19.5" customHeight="1">
      <c r="B16" s="192"/>
      <c r="C16" s="201"/>
      <c r="D16" s="4" t="s">
        <v>3</v>
      </c>
      <c r="E16" s="133">
        <v>8295705</v>
      </c>
      <c r="F16" s="179">
        <v>682484</v>
      </c>
      <c r="G16" s="179">
        <v>6385118</v>
      </c>
      <c r="H16" s="179">
        <v>480542</v>
      </c>
      <c r="I16" s="179">
        <v>5601806</v>
      </c>
      <c r="J16" s="20">
        <f t="shared" si="0"/>
        <v>-201942</v>
      </c>
      <c r="K16" s="17">
        <f t="shared" si="1"/>
        <v>0.70410734903675398</v>
      </c>
      <c r="L16" s="175">
        <f t="shared" si="2"/>
        <v>-783312</v>
      </c>
      <c r="M16" s="24">
        <f t="shared" si="3"/>
        <v>0.87732223586157687</v>
      </c>
    </row>
    <row r="17" spans="1:13" ht="19.5" customHeight="1">
      <c r="B17" s="192"/>
      <c r="C17" s="201"/>
      <c r="D17" s="5" t="s">
        <v>4</v>
      </c>
      <c r="E17" s="133">
        <v>3506070</v>
      </c>
      <c r="F17" s="179">
        <v>293307</v>
      </c>
      <c r="G17" s="179">
        <v>2838778</v>
      </c>
      <c r="H17" s="179">
        <v>304083</v>
      </c>
      <c r="I17" s="179">
        <v>2573129</v>
      </c>
      <c r="J17" s="20">
        <f t="shared" si="0"/>
        <v>10776</v>
      </c>
      <c r="K17" s="17">
        <f t="shared" si="1"/>
        <v>1.0367396618560076</v>
      </c>
      <c r="L17" s="175">
        <f t="shared" si="2"/>
        <v>-265649</v>
      </c>
      <c r="M17" s="24">
        <f t="shared" si="3"/>
        <v>0.90642135454058048</v>
      </c>
    </row>
    <row r="18" spans="1:13" ht="19.5" customHeight="1">
      <c r="B18" s="193"/>
      <c r="C18" s="202"/>
      <c r="D18" s="5" t="s">
        <v>17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04">
        <f t="shared" si="0"/>
        <v>0</v>
      </c>
      <c r="K18" s="77">
        <v>0</v>
      </c>
      <c r="L18" s="105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196" t="s">
        <v>23</v>
      </c>
      <c r="L19" s="197"/>
      <c r="M19" s="198"/>
    </row>
    <row r="20" spans="1:13" ht="21.2" customHeight="1">
      <c r="B20" s="107"/>
      <c r="C20" s="194" t="s">
        <v>8</v>
      </c>
      <c r="D20" s="195"/>
      <c r="E20" s="81">
        <f>SUM(E21,E25)</f>
        <v>851953</v>
      </c>
      <c r="F20" s="137">
        <f>SUM(F21,F25)</f>
        <v>60960</v>
      </c>
      <c r="G20" s="137">
        <f>SUM(G21,G25)</f>
        <v>653401</v>
      </c>
      <c r="H20" s="81">
        <f>SUM(H21,H25)</f>
        <v>70325</v>
      </c>
      <c r="I20" s="81">
        <f>SUM(I21,I25)</f>
        <v>608194</v>
      </c>
      <c r="J20" s="82">
        <f t="shared" si="0"/>
        <v>9365</v>
      </c>
      <c r="K20" s="83">
        <f t="shared" si="1"/>
        <v>1.1536253280839894</v>
      </c>
      <c r="L20" s="84">
        <f t="shared" si="2"/>
        <v>-45207</v>
      </c>
      <c r="M20" s="23">
        <f>I20/G20</f>
        <v>0.93081277806431273</v>
      </c>
    </row>
    <row r="21" spans="1:13" ht="19.5" customHeight="1">
      <c r="B21" s="108"/>
      <c r="C21" s="181" t="s">
        <v>1</v>
      </c>
      <c r="D21" s="76" t="s">
        <v>0</v>
      </c>
      <c r="E21" s="77">
        <f>SUM(E22:E24)</f>
        <v>851953</v>
      </c>
      <c r="F21" s="77">
        <f>SUM(F22:F24)</f>
        <v>60960</v>
      </c>
      <c r="G21" s="77">
        <f>SUM(G22:G24)</f>
        <v>653401</v>
      </c>
      <c r="H21" s="77">
        <f>SUM(H22:H24)</f>
        <v>70325</v>
      </c>
      <c r="I21" s="77">
        <f>SUM(I22:I24)</f>
        <v>608194</v>
      </c>
      <c r="J21" s="78">
        <f t="shared" si="0"/>
        <v>9365</v>
      </c>
      <c r="K21" s="79">
        <f t="shared" si="1"/>
        <v>1.1536253280839894</v>
      </c>
      <c r="L21" s="80">
        <f t="shared" si="2"/>
        <v>-45207</v>
      </c>
      <c r="M21" s="73">
        <f t="shared" si="3"/>
        <v>0.93081277806431273</v>
      </c>
    </row>
    <row r="22" spans="1:13" ht="19.5" customHeight="1">
      <c r="B22" s="109" t="s">
        <v>19</v>
      </c>
      <c r="C22" s="181"/>
      <c r="D22" s="44" t="s">
        <v>5</v>
      </c>
      <c r="E22" s="134">
        <v>416040.5</v>
      </c>
      <c r="F22" s="159">
        <v>30966</v>
      </c>
      <c r="G22" s="159">
        <v>320093</v>
      </c>
      <c r="H22" s="46">
        <v>35171</v>
      </c>
      <c r="I22" s="46">
        <v>302178</v>
      </c>
      <c r="J22" s="20">
        <f t="shared" si="0"/>
        <v>4205</v>
      </c>
      <c r="K22" s="43">
        <f t="shared" si="1"/>
        <v>1.1357940967512756</v>
      </c>
      <c r="L22" s="22">
        <f t="shared" si="2"/>
        <v>-17915</v>
      </c>
      <c r="M22" s="24">
        <f t="shared" si="3"/>
        <v>0.94403189073175608</v>
      </c>
    </row>
    <row r="23" spans="1:13" ht="19.5" customHeight="1">
      <c r="B23" s="109" t="s">
        <v>20</v>
      </c>
      <c r="C23" s="181"/>
      <c r="D23" s="2" t="s">
        <v>14</v>
      </c>
      <c r="E23" s="134">
        <v>418271.5</v>
      </c>
      <c r="F23" s="159">
        <v>29532</v>
      </c>
      <c r="G23" s="159">
        <v>319228</v>
      </c>
      <c r="H23" s="46">
        <v>34654</v>
      </c>
      <c r="I23" s="46">
        <v>299514</v>
      </c>
      <c r="J23" s="20">
        <f t="shared" si="0"/>
        <v>5122</v>
      </c>
      <c r="K23" s="43">
        <f t="shared" si="1"/>
        <v>1.1734389814438575</v>
      </c>
      <c r="L23" s="18">
        <f t="shared" si="2"/>
        <v>-19714</v>
      </c>
      <c r="M23" s="24">
        <f t="shared" si="3"/>
        <v>0.93824476549676095</v>
      </c>
    </row>
    <row r="24" spans="1:13" ht="19.5" customHeight="1">
      <c r="B24" s="110"/>
      <c r="C24" s="181"/>
      <c r="D24" s="2" t="s">
        <v>13</v>
      </c>
      <c r="E24" s="134">
        <v>17641</v>
      </c>
      <c r="F24" s="46">
        <v>462</v>
      </c>
      <c r="G24" s="135">
        <v>14080</v>
      </c>
      <c r="H24" s="46">
        <v>500</v>
      </c>
      <c r="I24" s="46">
        <v>6502</v>
      </c>
      <c r="J24" s="20">
        <f t="shared" si="0"/>
        <v>38</v>
      </c>
      <c r="K24" s="43">
        <f t="shared" si="1"/>
        <v>1.0822510822510822</v>
      </c>
      <c r="L24" s="18">
        <f t="shared" si="2"/>
        <v>-7578</v>
      </c>
      <c r="M24" s="24">
        <f t="shared" si="3"/>
        <v>0.46178977272727273</v>
      </c>
    </row>
    <row r="25" spans="1:13" ht="19.5" customHeight="1">
      <c r="B25" s="108"/>
      <c r="C25" s="219" t="s">
        <v>2</v>
      </c>
      <c r="D25" s="76" t="s">
        <v>69</v>
      </c>
      <c r="E25" s="77">
        <f>SUM(E26:E27)</f>
        <v>0</v>
      </c>
      <c r="F25" s="77">
        <f>SUM(F26:F27)</f>
        <v>0</v>
      </c>
      <c r="G25" s="77">
        <f>SUM(G26:G27)</f>
        <v>0</v>
      </c>
      <c r="H25" s="77">
        <v>0</v>
      </c>
      <c r="I25" s="77">
        <f>SUM(I26:I27)</f>
        <v>0</v>
      </c>
      <c r="J25" s="78">
        <f t="shared" si="0"/>
        <v>0</v>
      </c>
      <c r="K25" s="77">
        <v>0</v>
      </c>
      <c r="L25" s="18">
        <f t="shared" si="2"/>
        <v>0</v>
      </c>
      <c r="M25" s="138">
        <v>0</v>
      </c>
    </row>
    <row r="26" spans="1:13" ht="19.5" customHeight="1">
      <c r="B26" s="108"/>
      <c r="C26" s="219"/>
      <c r="D26" s="76" t="s">
        <v>69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78">
        <f t="shared" si="0"/>
        <v>0</v>
      </c>
      <c r="K26" s="77">
        <v>0</v>
      </c>
      <c r="L26" s="18">
        <f t="shared" si="2"/>
        <v>0</v>
      </c>
      <c r="M26" s="138">
        <v>0</v>
      </c>
    </row>
    <row r="27" spans="1:13" ht="19.5" customHeight="1">
      <c r="B27" s="111"/>
      <c r="C27" s="219"/>
      <c r="D27" s="76" t="s">
        <v>69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78">
        <f t="shared" si="0"/>
        <v>0</v>
      </c>
      <c r="K27" s="77">
        <v>0</v>
      </c>
      <c r="L27" s="18">
        <f t="shared" si="2"/>
        <v>0</v>
      </c>
      <c r="M27" s="138">
        <v>0</v>
      </c>
    </row>
    <row r="28" spans="1:13" s="88" customFormat="1" ht="21.2" customHeight="1" thickBot="1">
      <c r="B28" s="220" t="s">
        <v>67</v>
      </c>
      <c r="C28" s="221"/>
      <c r="D28" s="222"/>
      <c r="E28" s="89">
        <v>1635790</v>
      </c>
      <c r="F28" s="89">
        <v>126567</v>
      </c>
      <c r="G28" s="89">
        <v>1206725</v>
      </c>
      <c r="H28" s="89">
        <v>107713</v>
      </c>
      <c r="I28" s="89">
        <v>1234934</v>
      </c>
      <c r="J28" s="90">
        <f t="shared" si="0"/>
        <v>-18854</v>
      </c>
      <c r="K28" s="91">
        <f t="shared" si="1"/>
        <v>0.85103541997519105</v>
      </c>
      <c r="L28" s="92">
        <f t="shared" si="2"/>
        <v>28209</v>
      </c>
      <c r="M28" s="93">
        <f t="shared" si="3"/>
        <v>1.0233764942302512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225" customFormat="1" ht="18.75" customHeight="1">
      <c r="A30" s="225" t="s">
        <v>27</v>
      </c>
    </row>
    <row r="31" spans="1:13" s="45" customFormat="1" ht="21.2" customHeight="1">
      <c r="B31" s="224" t="s">
        <v>24</v>
      </c>
      <c r="C31" s="224"/>
      <c r="D31" s="86"/>
      <c r="E31" s="86"/>
      <c r="F31" s="86"/>
      <c r="G31" s="86"/>
      <c r="H31" s="224" t="s">
        <v>25</v>
      </c>
      <c r="I31" s="224"/>
    </row>
    <row r="32" spans="1:13" s="42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2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2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2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23" customFormat="1" ht="24" customHeight="1"/>
    <row r="41" spans="2:13" ht="19.5" customHeight="1">
      <c r="B41" s="217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</row>
    <row r="42" spans="2:13" ht="19.5" customHeight="1">
      <c r="B42" s="217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75" zoomScaleNormal="7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9" width="9.875" customWidth="1"/>
    <col min="10" max="10" width="10.25" customWidth="1"/>
    <col min="11" max="13" width="8.875" customWidth="1"/>
    <col min="14" max="14" width="8.5" customWidth="1"/>
    <col min="17" max="17" width="10.75" bestFit="1" customWidth="1"/>
  </cols>
  <sheetData>
    <row r="1" spans="1:27" s="50" customFormat="1" ht="18.75">
      <c r="A1" s="49" t="s">
        <v>28</v>
      </c>
    </row>
    <row r="2" spans="1:27" s="50" customFormat="1" ht="15" thickBot="1">
      <c r="A2"/>
      <c r="B2"/>
      <c r="C2"/>
      <c r="D2" s="94"/>
      <c r="E2" s="94"/>
      <c r="F2" s="226" t="s">
        <v>70</v>
      </c>
      <c r="G2" s="226"/>
      <c r="H2"/>
      <c r="I2"/>
      <c r="J2"/>
      <c r="K2" s="94"/>
      <c r="L2" s="94"/>
      <c r="M2" s="226" t="s">
        <v>29</v>
      </c>
      <c r="N2" s="226"/>
    </row>
    <row r="3" spans="1:27" s="50" customFormat="1" ht="32.25" customHeight="1">
      <c r="A3" s="51" t="s">
        <v>30</v>
      </c>
      <c r="B3" s="52">
        <v>18</v>
      </c>
      <c r="C3" s="52">
        <v>19</v>
      </c>
      <c r="D3" s="52">
        <v>20</v>
      </c>
      <c r="E3" s="52">
        <v>21</v>
      </c>
      <c r="F3" s="52">
        <v>22</v>
      </c>
      <c r="G3" s="99" t="s">
        <v>118</v>
      </c>
      <c r="H3" s="53" t="s">
        <v>30</v>
      </c>
      <c r="I3" s="52">
        <v>18</v>
      </c>
      <c r="J3" s="52">
        <v>19</v>
      </c>
      <c r="K3" s="52">
        <v>20</v>
      </c>
      <c r="L3" s="52">
        <v>21</v>
      </c>
      <c r="M3" s="52">
        <v>22</v>
      </c>
      <c r="N3" s="100" t="str">
        <f>$G$3</f>
        <v>23.09.</v>
      </c>
    </row>
    <row r="4" spans="1:27" s="50" customFormat="1" ht="39.200000000000003" customHeight="1" thickBot="1">
      <c r="A4" s="67" t="s">
        <v>31</v>
      </c>
      <c r="B4" s="143">
        <v>18829</v>
      </c>
      <c r="C4" s="143">
        <v>18416</v>
      </c>
      <c r="D4" s="143">
        <v>17409</v>
      </c>
      <c r="E4" s="143">
        <v>16473</v>
      </c>
      <c r="F4" s="143">
        <v>16626</v>
      </c>
      <c r="G4" s="144">
        <f>통계요약!I7</f>
        <v>12938</v>
      </c>
      <c r="H4" s="67" t="s">
        <v>32</v>
      </c>
      <c r="I4" s="142">
        <v>115146882</v>
      </c>
      <c r="J4" s="142">
        <v>113201331</v>
      </c>
      <c r="K4" s="142">
        <v>106847350</v>
      </c>
      <c r="L4" s="142">
        <v>116876152</v>
      </c>
      <c r="M4" s="142">
        <v>116171568</v>
      </c>
      <c r="N4" s="147">
        <f>통계요약!I10</f>
        <v>86127491</v>
      </c>
    </row>
    <row r="5" spans="1:27" s="50" customFormat="1" ht="30.2" customHeight="1" thickBot="1">
      <c r="A5"/>
      <c r="B5"/>
      <c r="C5"/>
      <c r="D5" s="94"/>
      <c r="E5" s="94"/>
      <c r="F5" s="227" t="s">
        <v>33</v>
      </c>
      <c r="G5" s="227"/>
      <c r="H5" s="54"/>
      <c r="I5" s="55"/>
      <c r="J5" s="55"/>
      <c r="K5" s="94"/>
      <c r="L5" s="94"/>
      <c r="M5" s="227" t="s">
        <v>34</v>
      </c>
      <c r="N5" s="227"/>
    </row>
    <row r="6" spans="1:27" s="50" customFormat="1" ht="32.25" customHeight="1">
      <c r="A6" s="51" t="s">
        <v>30</v>
      </c>
      <c r="B6" s="52">
        <v>18</v>
      </c>
      <c r="C6" s="52">
        <v>19</v>
      </c>
      <c r="D6" s="52">
        <v>20</v>
      </c>
      <c r="E6" s="52">
        <v>21</v>
      </c>
      <c r="F6" s="52">
        <v>22</v>
      </c>
      <c r="G6" s="100" t="str">
        <f>$G$3</f>
        <v>23.09.</v>
      </c>
      <c r="H6" s="53" t="s">
        <v>30</v>
      </c>
      <c r="I6" s="52">
        <v>18</v>
      </c>
      <c r="J6" s="52">
        <v>19</v>
      </c>
      <c r="K6" s="52">
        <v>20</v>
      </c>
      <c r="L6" s="52">
        <v>21</v>
      </c>
      <c r="M6" s="52">
        <v>22</v>
      </c>
      <c r="N6" s="100" t="str">
        <f>$G$3</f>
        <v>23.09.</v>
      </c>
    </row>
    <row r="7" spans="1:27" s="50" customFormat="1" ht="37.5" customHeight="1" thickBot="1">
      <c r="A7" s="67" t="s">
        <v>35</v>
      </c>
      <c r="B7" s="145">
        <v>689852</v>
      </c>
      <c r="C7" s="145">
        <v>725047</v>
      </c>
      <c r="D7" s="145">
        <v>792643</v>
      </c>
      <c r="E7" s="145">
        <v>936246</v>
      </c>
      <c r="F7" s="145">
        <v>851953</v>
      </c>
      <c r="G7" s="146">
        <f>통계요약!I20</f>
        <v>608194</v>
      </c>
      <c r="H7" s="67" t="s">
        <v>36</v>
      </c>
      <c r="I7" s="143">
        <v>452480</v>
      </c>
      <c r="J7" s="143">
        <v>623733</v>
      </c>
      <c r="K7" s="143">
        <v>40267</v>
      </c>
      <c r="L7" s="143">
        <v>0</v>
      </c>
      <c r="M7" s="143">
        <v>0</v>
      </c>
      <c r="N7" s="148">
        <v>4269</v>
      </c>
      <c r="AA7" s="87"/>
    </row>
    <row r="12" spans="1:27" s="61" customFormat="1" ht="25.5" customHeight="1">
      <c r="A12" s="61" t="s">
        <v>37</v>
      </c>
    </row>
    <row r="13" spans="1:27" s="50" customFormat="1" ht="21.2" customHeight="1">
      <c r="A13" s="85" t="s">
        <v>52</v>
      </c>
      <c r="H13" s="85" t="s">
        <v>51</v>
      </c>
      <c r="I13" s="56"/>
      <c r="J13" s="57"/>
      <c r="K13" s="58"/>
      <c r="L13" s="59"/>
      <c r="M13" s="59"/>
      <c r="N13" s="59"/>
    </row>
    <row r="14" spans="1:27" s="50" customFormat="1" ht="24" customHeight="1">
      <c r="I14" s="56"/>
      <c r="J14" s="57"/>
      <c r="K14" s="58"/>
      <c r="L14" s="59"/>
      <c r="M14" s="59"/>
      <c r="N14" s="59"/>
    </row>
    <row r="15" spans="1:27" s="50" customFormat="1" ht="24" customHeight="1">
      <c r="I15" s="56"/>
      <c r="J15" s="57"/>
      <c r="K15" s="58"/>
      <c r="L15" s="59"/>
      <c r="M15" s="59"/>
      <c r="N15" s="59"/>
    </row>
    <row r="16" spans="1:27" s="50" customFormat="1" ht="24" customHeight="1">
      <c r="I16" s="56"/>
      <c r="J16" s="57"/>
      <c r="K16" s="58"/>
      <c r="L16" s="59"/>
      <c r="M16" s="59"/>
      <c r="N16" s="59"/>
    </row>
    <row r="17" spans="1:14" s="50" customFormat="1" ht="24" customHeight="1">
      <c r="I17" s="56"/>
      <c r="J17" s="57"/>
      <c r="K17" s="58"/>
      <c r="L17" s="59"/>
      <c r="M17" s="59"/>
      <c r="N17" s="59"/>
    </row>
    <row r="18" spans="1:14" s="50" customFormat="1" ht="24" customHeight="1">
      <c r="I18" s="56"/>
      <c r="J18" s="57"/>
      <c r="K18" s="58"/>
      <c r="L18" s="59"/>
      <c r="M18" s="59"/>
      <c r="N18" s="59"/>
    </row>
    <row r="19" spans="1:14" s="50" customFormat="1" ht="24" customHeight="1">
      <c r="I19" s="56"/>
      <c r="J19" s="57"/>
      <c r="K19" s="58"/>
      <c r="L19" s="59"/>
      <c r="M19" s="59"/>
      <c r="N19" s="59"/>
    </row>
    <row r="20" spans="1:14" s="50" customFormat="1" ht="24" customHeight="1">
      <c r="I20" s="56"/>
      <c r="J20" s="57"/>
      <c r="K20" s="58"/>
      <c r="L20" s="59"/>
      <c r="M20" s="59"/>
      <c r="N20" s="59"/>
    </row>
    <row r="21" spans="1:14" s="50" customFormat="1" ht="24" customHeight="1">
      <c r="I21" s="56"/>
      <c r="J21" s="57"/>
      <c r="K21" s="58"/>
      <c r="L21" s="59"/>
      <c r="M21" s="59"/>
      <c r="N21" s="59"/>
    </row>
    <row r="22" spans="1:14" s="50" customFormat="1" ht="36" customHeight="1">
      <c r="I22" s="56"/>
      <c r="J22" s="57"/>
      <c r="K22" s="58"/>
      <c r="L22" s="59"/>
      <c r="M22" s="59"/>
      <c r="N22" s="59"/>
    </row>
    <row r="23" spans="1:14" s="50" customFormat="1" ht="27.75" customHeight="1">
      <c r="A23" s="60" t="s">
        <v>25</v>
      </c>
      <c r="H23" s="85" t="s">
        <v>50</v>
      </c>
      <c r="I23" s="56"/>
      <c r="J23" s="57"/>
      <c r="K23" s="58"/>
      <c r="L23" s="59"/>
      <c r="M23" s="59"/>
      <c r="N23" s="59"/>
    </row>
    <row r="24" spans="1:14" s="50" customFormat="1" ht="24" customHeight="1">
      <c r="I24" s="56"/>
      <c r="J24" s="57"/>
      <c r="K24" s="58"/>
      <c r="L24" s="59"/>
      <c r="M24" s="59"/>
      <c r="N24" s="59"/>
    </row>
    <row r="25" spans="1:14" s="50" customFormat="1" ht="24" customHeight="1">
      <c r="I25" s="56"/>
      <c r="J25" s="57"/>
      <c r="K25" s="58"/>
      <c r="L25" s="59"/>
      <c r="M25" s="59"/>
      <c r="N25" s="59"/>
    </row>
    <row r="26" spans="1:14" s="50" customFormat="1" ht="24" customHeight="1">
      <c r="I26" s="56"/>
      <c r="J26" s="57"/>
      <c r="K26" s="58"/>
      <c r="L26" s="59"/>
      <c r="M26" s="59"/>
      <c r="N26" s="59"/>
    </row>
    <row r="27" spans="1:14" s="50" customFormat="1" ht="24" customHeight="1">
      <c r="I27" s="56"/>
      <c r="J27" s="57"/>
      <c r="K27" s="58"/>
      <c r="L27" s="59"/>
      <c r="M27" s="59"/>
      <c r="N27" s="59"/>
    </row>
    <row r="28" spans="1:14" s="50" customFormat="1" ht="24" customHeight="1">
      <c r="I28" s="56"/>
      <c r="J28" s="57"/>
      <c r="K28" s="58"/>
      <c r="L28" s="59"/>
      <c r="M28" s="59"/>
      <c r="N28" s="59"/>
    </row>
    <row r="29" spans="1:14" s="50" customFormat="1" ht="24" customHeight="1">
      <c r="I29" s="56"/>
      <c r="J29" s="57"/>
      <c r="K29" s="58"/>
      <c r="L29" s="59"/>
      <c r="M29" s="59"/>
      <c r="N29" s="59"/>
    </row>
    <row r="30" spans="1:14" s="50" customFormat="1" ht="24" customHeight="1">
      <c r="I30" s="56"/>
      <c r="J30" s="57"/>
      <c r="K30" s="58"/>
      <c r="L30" s="59"/>
      <c r="M30" s="59"/>
      <c r="N30" s="59"/>
    </row>
    <row r="31" spans="1:14" s="50" customFormat="1" ht="24" customHeight="1">
      <c r="I31" s="56"/>
      <c r="J31" s="57"/>
      <c r="K31" s="58"/>
      <c r="L31" s="59"/>
      <c r="M31" s="59"/>
      <c r="N31" s="59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I4" sqref="I4"/>
    </sheetView>
  </sheetViews>
  <sheetFormatPr defaultColWidth="10" defaultRowHeight="13.5"/>
  <cols>
    <col min="1" max="1" width="10" style="62" customWidth="1"/>
    <col min="2" max="2" width="5.75" style="62" customWidth="1"/>
    <col min="3" max="3" width="1" style="62" customWidth="1"/>
    <col min="4" max="4" width="8" style="62" customWidth="1"/>
    <col min="5" max="5" width="14.875" style="62" bestFit="1" customWidth="1"/>
    <col min="6" max="6" width="11" style="62" customWidth="1"/>
    <col min="7" max="7" width="13.25" style="62" customWidth="1"/>
    <col min="8" max="8" width="11" style="62" customWidth="1"/>
    <col min="9" max="9" width="13.25" style="151" customWidth="1"/>
    <col min="10" max="10" width="12.25" style="62" customWidth="1"/>
    <col min="11" max="11" width="11" style="62" customWidth="1"/>
    <col min="12" max="12" width="12.75" style="62" customWidth="1"/>
    <col min="13" max="13" width="11" style="62" customWidth="1"/>
    <col min="14" max="14" width="14.375" style="62" bestFit="1" customWidth="1"/>
    <col min="15" max="19" width="10" style="62"/>
    <col min="20" max="20" width="10.25" style="62" bestFit="1" customWidth="1"/>
    <col min="21" max="21" width="11.5" style="62" bestFit="1" customWidth="1"/>
    <col min="22" max="22" width="10.25" style="62" bestFit="1" customWidth="1"/>
    <col min="23" max="23" width="11.25" style="62" bestFit="1" customWidth="1"/>
    <col min="24" max="24" width="7.75" style="62" customWidth="1"/>
    <col min="25" max="25" width="6.875" style="62" customWidth="1"/>
    <col min="26" max="16384" width="10" style="62"/>
  </cols>
  <sheetData>
    <row r="1" spans="1:36" ht="50.25" customHeight="1" thickBot="1">
      <c r="A1" s="68" t="s">
        <v>38</v>
      </c>
      <c r="F1" s="98"/>
      <c r="G1" s="98"/>
      <c r="H1" s="98"/>
      <c r="I1" s="150"/>
      <c r="J1" s="63"/>
      <c r="K1" s="64"/>
      <c r="L1" s="65"/>
      <c r="M1" s="66"/>
    </row>
    <row r="2" spans="1:36" ht="21.95" customHeight="1">
      <c r="A2" s="234" t="s">
        <v>39</v>
      </c>
      <c r="B2" s="235"/>
      <c r="C2" s="235"/>
      <c r="D2" s="238" t="s">
        <v>40</v>
      </c>
      <c r="E2" s="112"/>
      <c r="F2" s="228" t="s">
        <v>97</v>
      </c>
      <c r="G2" s="228"/>
      <c r="H2" s="228" t="s">
        <v>99</v>
      </c>
      <c r="I2" s="228"/>
      <c r="J2" s="228" t="s">
        <v>41</v>
      </c>
      <c r="K2" s="228"/>
      <c r="L2" s="228"/>
      <c r="M2" s="229"/>
      <c r="Y2" s="62" t="s">
        <v>110</v>
      </c>
    </row>
    <row r="3" spans="1:36" ht="21.95" customHeight="1">
      <c r="A3" s="236"/>
      <c r="B3" s="237"/>
      <c r="C3" s="237"/>
      <c r="D3" s="239"/>
      <c r="E3" s="113" t="s">
        <v>42</v>
      </c>
      <c r="F3" s="113" t="str">
        <f>통계요약!F6</f>
        <v>9월(A)</v>
      </c>
      <c r="G3" s="113" t="str">
        <f>통계요약!G6</f>
        <v>9월 누계(B)</v>
      </c>
      <c r="H3" s="95" t="str">
        <f>통계요약!H6</f>
        <v>9월(C)</v>
      </c>
      <c r="I3" s="113" t="str">
        <f>통계요약!I6</f>
        <v>9월 누계(D)</v>
      </c>
      <c r="J3" s="113" t="s">
        <v>43</v>
      </c>
      <c r="K3" s="114" t="s">
        <v>44</v>
      </c>
      <c r="L3" s="115" t="s">
        <v>45</v>
      </c>
      <c r="M3" s="125" t="s">
        <v>44</v>
      </c>
    </row>
    <row r="4" spans="1:36" ht="21.95" customHeight="1">
      <c r="A4" s="230" t="s">
        <v>46</v>
      </c>
      <c r="B4" s="231"/>
      <c r="C4" s="231"/>
      <c r="D4" s="163" t="s">
        <v>47</v>
      </c>
      <c r="E4" s="121">
        <f>SUM(E6,E8,E10,E12,E14,E16,E18,E22,E20,E26,E28,E30,E32,E24,E34)</f>
        <v>851953</v>
      </c>
      <c r="F4" s="121">
        <f>SUM(F6,F8,F10,F12,F14,F16,F18,F22,F20,F26,F28,F30,F32,F24,F34)</f>
        <v>60960</v>
      </c>
      <c r="G4" s="121">
        <f>SUM(G6,G8,G10,G12,G14,G16,G18,G22,G20,G26,G28,G30,G32,G24,G34)</f>
        <v>653399.5</v>
      </c>
      <c r="H4" s="121">
        <f>SUM(H6,H8,H10,H12,H14,H16,H18,H22,H20,H26,H28,H30,H32,H24,)</f>
        <v>70325</v>
      </c>
      <c r="I4" s="153">
        <f>SUM(I6,I8,I10,I12,I14,I16,I18,I22,I20,I26,I28,I30,I32,I24,)</f>
        <v>608193.75</v>
      </c>
      <c r="J4" s="117">
        <f t="shared" ref="J4:J31" si="0">H4-F4</f>
        <v>9365</v>
      </c>
      <c r="K4" s="118">
        <f t="shared" ref="K4:K33" si="1">(H4/F4*100)-100</f>
        <v>15.362532808398939</v>
      </c>
      <c r="L4" s="172">
        <f t="shared" ref="L4:L31" si="2">I4-G4</f>
        <v>-45205.75</v>
      </c>
      <c r="M4" s="126">
        <f t="shared" ref="M4:M33" si="3">(I4/G4*100)-100</f>
        <v>-6.9185467696256211</v>
      </c>
    </row>
    <row r="5" spans="1:36" ht="21.95" customHeight="1">
      <c r="A5" s="230"/>
      <c r="B5" s="231"/>
      <c r="C5" s="231"/>
      <c r="D5" s="163" t="s">
        <v>48</v>
      </c>
      <c r="E5" s="121">
        <f>SUM(E7,E9,E11,E13,E15,E17,E19,E21,E23,E27,E29,E31,E33,E25,E35)</f>
        <v>13134878</v>
      </c>
      <c r="F5" s="121">
        <f>SUM(F7,F9,F11,F13,F15,F17,F19,F21,F23,F27,F29,F31,F33,F25,F35)</f>
        <v>945473</v>
      </c>
      <c r="G5" s="121">
        <f>SUM(G7,G9,G11,G13,G15,G17,G19,G21,G23,G27,G29,G31,G33,G25,G35)</f>
        <v>10116737</v>
      </c>
      <c r="H5" s="121">
        <f>SUM(H7,H9,H11,H13,H15,H17,H19,H21,H23,H27,H29,H31,H33,H25)</f>
        <v>1085445</v>
      </c>
      <c r="I5" s="153">
        <f>SUM(I7,I9,I11,I13,I15,I17,I19,I21,I23,I27,I29,I31,I33,I25)</f>
        <v>9176571</v>
      </c>
      <c r="J5" s="117">
        <f t="shared" si="0"/>
        <v>139972</v>
      </c>
      <c r="K5" s="118">
        <f t="shared" si="1"/>
        <v>14.804441797914919</v>
      </c>
      <c r="L5" s="172">
        <f t="shared" si="2"/>
        <v>-940166</v>
      </c>
      <c r="M5" s="126">
        <f t="shared" si="3"/>
        <v>-9.2931742715067145</v>
      </c>
    </row>
    <row r="6" spans="1:36" ht="21.2" customHeight="1">
      <c r="A6" s="232" t="s">
        <v>53</v>
      </c>
      <c r="B6" s="233"/>
      <c r="C6" s="233"/>
      <c r="D6" s="116" t="s">
        <v>47</v>
      </c>
      <c r="E6" s="139">
        <v>56152</v>
      </c>
      <c r="F6" s="164">
        <v>4481</v>
      </c>
      <c r="G6" s="164">
        <v>42215</v>
      </c>
      <c r="H6" s="141">
        <v>4465</v>
      </c>
      <c r="I6" s="164">
        <v>41570</v>
      </c>
      <c r="J6" s="119">
        <f t="shared" ref="J6:J20" si="4">H6-F6</f>
        <v>-16</v>
      </c>
      <c r="K6" s="120">
        <f t="shared" ref="K6:K19" si="5">(H6/F6*100)-100</f>
        <v>-0.35706315554563162</v>
      </c>
      <c r="L6" s="173">
        <f>I6-G6</f>
        <v>-645</v>
      </c>
      <c r="M6" s="127">
        <f>(I6/G6*100)-100</f>
        <v>-1.5278929290536496</v>
      </c>
      <c r="N6" s="149"/>
      <c r="P6" s="62" t="s">
        <v>72</v>
      </c>
    </row>
    <row r="7" spans="1:36" ht="21.2" customHeight="1">
      <c r="A7" s="232"/>
      <c r="B7" s="233"/>
      <c r="C7" s="233"/>
      <c r="D7" s="116" t="s">
        <v>48</v>
      </c>
      <c r="E7" s="139">
        <v>1063612</v>
      </c>
      <c r="F7" s="164">
        <v>85561</v>
      </c>
      <c r="G7" s="164">
        <v>792340</v>
      </c>
      <c r="H7" s="141">
        <v>84406</v>
      </c>
      <c r="I7" s="164">
        <v>785172</v>
      </c>
      <c r="J7" s="119">
        <f t="shared" si="4"/>
        <v>-1155</v>
      </c>
      <c r="K7" s="120">
        <f t="shared" si="5"/>
        <v>-1.3499140963756844</v>
      </c>
      <c r="L7" s="173">
        <f t="shared" si="2"/>
        <v>-7168</v>
      </c>
      <c r="M7" s="127">
        <f t="shared" si="3"/>
        <v>-0.9046621399904069</v>
      </c>
      <c r="P7" s="62" t="s">
        <v>72</v>
      </c>
    </row>
    <row r="8" spans="1:36" ht="21.2" customHeight="1">
      <c r="A8" s="232" t="s">
        <v>54</v>
      </c>
      <c r="B8" s="233"/>
      <c r="C8" s="233"/>
      <c r="D8" s="116" t="s">
        <v>47</v>
      </c>
      <c r="E8" s="139">
        <v>70330.75</v>
      </c>
      <c r="F8" s="164">
        <v>6760</v>
      </c>
      <c r="G8" s="164">
        <v>53491.5</v>
      </c>
      <c r="H8" s="141">
        <v>4145</v>
      </c>
      <c r="I8" s="164">
        <v>34326.25</v>
      </c>
      <c r="J8" s="119">
        <f t="shared" si="4"/>
        <v>-2615</v>
      </c>
      <c r="K8" s="120">
        <f t="shared" si="5"/>
        <v>-38.683431952662716</v>
      </c>
      <c r="L8" s="173">
        <f>I8-G8</f>
        <v>-19165.25</v>
      </c>
      <c r="M8" s="127">
        <f>(I8/G8*100)-100</f>
        <v>-35.828589589000131</v>
      </c>
      <c r="P8" s="62" t="s">
        <v>73</v>
      </c>
      <c r="AD8" s="156" t="s">
        <v>103</v>
      </c>
      <c r="AE8" s="156" t="s">
        <v>104</v>
      </c>
      <c r="AF8" s="156" t="s">
        <v>105</v>
      </c>
      <c r="AG8" s="156" t="s">
        <v>106</v>
      </c>
      <c r="AH8" s="156" t="s">
        <v>107</v>
      </c>
    </row>
    <row r="9" spans="1:36" ht="21.2" customHeight="1">
      <c r="A9" s="232"/>
      <c r="B9" s="233"/>
      <c r="C9" s="233"/>
      <c r="D9" s="116" t="s">
        <v>48</v>
      </c>
      <c r="E9" s="139">
        <v>1023659</v>
      </c>
      <c r="F9" s="164">
        <v>96024</v>
      </c>
      <c r="G9" s="164">
        <v>785771</v>
      </c>
      <c r="H9" s="141">
        <v>55631</v>
      </c>
      <c r="I9" s="164">
        <v>477980</v>
      </c>
      <c r="J9" s="119">
        <f t="shared" si="4"/>
        <v>-40393</v>
      </c>
      <c r="K9" s="120">
        <f t="shared" si="5"/>
        <v>-42.065525285345331</v>
      </c>
      <c r="L9" s="173">
        <f t="shared" si="2"/>
        <v>-307791</v>
      </c>
      <c r="M9" s="127">
        <f t="shared" si="3"/>
        <v>-39.170572596850739</v>
      </c>
      <c r="P9" s="62" t="s">
        <v>73</v>
      </c>
      <c r="AD9" s="155" t="s">
        <v>108</v>
      </c>
      <c r="AE9" s="157">
        <f>F6+F8</f>
        <v>11241</v>
      </c>
      <c r="AF9" s="157">
        <f>G6+G8</f>
        <v>95706.5</v>
      </c>
      <c r="AG9" s="157">
        <f>H6+H8</f>
        <v>8610</v>
      </c>
      <c r="AH9" s="157">
        <f>I6+I8</f>
        <v>75896.25</v>
      </c>
      <c r="AI9" s="158">
        <f t="shared" ref="AI9:AJ11" si="6">(AG9/AE9*100)-100</f>
        <v>-23.405390979450232</v>
      </c>
      <c r="AJ9" s="158">
        <f t="shared" si="6"/>
        <v>-20.698959840763166</v>
      </c>
    </row>
    <row r="10" spans="1:36" ht="21.2" customHeight="1">
      <c r="A10" s="232" t="s">
        <v>93</v>
      </c>
      <c r="B10" s="233"/>
      <c r="C10" s="233"/>
      <c r="D10" s="116" t="s">
        <v>47</v>
      </c>
      <c r="E10" s="139">
        <v>11</v>
      </c>
      <c r="F10" s="167" t="s">
        <v>116</v>
      </c>
      <c r="G10" s="164">
        <v>11</v>
      </c>
      <c r="H10" s="160">
        <v>0</v>
      </c>
      <c r="I10" s="165">
        <v>0</v>
      </c>
      <c r="J10" s="165">
        <v>0</v>
      </c>
      <c r="K10" s="124">
        <v>0</v>
      </c>
      <c r="L10" s="173">
        <f t="shared" si="2"/>
        <v>-11</v>
      </c>
      <c r="M10" s="127">
        <f t="shared" si="3"/>
        <v>-100</v>
      </c>
      <c r="P10" s="62" t="s">
        <v>94</v>
      </c>
      <c r="AD10" s="155" t="s">
        <v>109</v>
      </c>
      <c r="AE10" s="157">
        <f>F14+F16+F18</f>
        <v>31867</v>
      </c>
      <c r="AF10" s="157">
        <f>G14+G16+G18</f>
        <v>352150</v>
      </c>
      <c r="AG10" s="157">
        <f>H14+H16+H18</f>
        <v>42633</v>
      </c>
      <c r="AH10" s="157">
        <f>I14+I16+I18</f>
        <v>367525.5</v>
      </c>
      <c r="AI10" s="158">
        <f t="shared" si="6"/>
        <v>33.784165437600024</v>
      </c>
      <c r="AJ10" s="158">
        <f t="shared" si="6"/>
        <v>4.3661791850063878</v>
      </c>
    </row>
    <row r="11" spans="1:36" ht="21.2" customHeight="1">
      <c r="A11" s="232"/>
      <c r="B11" s="233"/>
      <c r="C11" s="233"/>
      <c r="D11" s="116" t="s">
        <v>48</v>
      </c>
      <c r="E11" s="139">
        <v>39</v>
      </c>
      <c r="F11" s="167" t="s">
        <v>116</v>
      </c>
      <c r="G11" s="164">
        <v>39</v>
      </c>
      <c r="H11" s="136">
        <v>0</v>
      </c>
      <c r="I11" s="165">
        <v>0</v>
      </c>
      <c r="J11" s="165">
        <v>0</v>
      </c>
      <c r="K11" s="124">
        <v>0</v>
      </c>
      <c r="L11" s="173">
        <f t="shared" si="2"/>
        <v>-39</v>
      </c>
      <c r="M11" s="127">
        <f t="shared" si="3"/>
        <v>-100</v>
      </c>
      <c r="P11" s="62" t="s">
        <v>94</v>
      </c>
      <c r="AD11" s="155" t="s">
        <v>102</v>
      </c>
      <c r="AE11" s="157">
        <f>F28+F30+F32</f>
        <v>17779</v>
      </c>
      <c r="AF11" s="157">
        <f>G28+G30+G32</f>
        <v>205133</v>
      </c>
      <c r="AG11" s="157">
        <f>H28+H30+H32</f>
        <v>19082</v>
      </c>
      <c r="AH11" s="157">
        <f>I28+I30+I32</f>
        <v>164772</v>
      </c>
      <c r="AI11" s="158">
        <f t="shared" si="6"/>
        <v>7.3288711401091149</v>
      </c>
      <c r="AJ11" s="158">
        <f t="shared" si="6"/>
        <v>-19.675527584542706</v>
      </c>
    </row>
    <row r="12" spans="1:36" ht="21.2" customHeight="1">
      <c r="A12" s="232" t="s">
        <v>66</v>
      </c>
      <c r="B12" s="233"/>
      <c r="C12" s="233"/>
      <c r="D12" s="116" t="s">
        <v>47</v>
      </c>
      <c r="E12" s="124">
        <v>0</v>
      </c>
      <c r="F12" s="168" t="s">
        <v>116</v>
      </c>
      <c r="G12" s="168" t="s">
        <v>117</v>
      </c>
      <c r="H12" s="136">
        <v>0</v>
      </c>
      <c r="I12" s="165">
        <v>0</v>
      </c>
      <c r="J12" s="165">
        <v>0</v>
      </c>
      <c r="K12" s="124">
        <v>0</v>
      </c>
      <c r="L12" s="124">
        <v>0</v>
      </c>
      <c r="M12" s="127">
        <v>0</v>
      </c>
      <c r="P12" s="62" t="s">
        <v>74</v>
      </c>
    </row>
    <row r="13" spans="1:36" ht="21.2" customHeight="1">
      <c r="A13" s="232"/>
      <c r="B13" s="233"/>
      <c r="C13" s="233"/>
      <c r="D13" s="116" t="s">
        <v>65</v>
      </c>
      <c r="E13" s="124">
        <v>0</v>
      </c>
      <c r="F13" s="168" t="s">
        <v>116</v>
      </c>
      <c r="G13" s="168" t="s">
        <v>117</v>
      </c>
      <c r="H13" s="136">
        <v>0</v>
      </c>
      <c r="I13" s="165">
        <v>0</v>
      </c>
      <c r="J13" s="165">
        <v>0</v>
      </c>
      <c r="K13" s="124">
        <v>0</v>
      </c>
      <c r="L13" s="124">
        <v>0</v>
      </c>
      <c r="M13" s="127">
        <v>0</v>
      </c>
      <c r="P13" s="62" t="s">
        <v>74</v>
      </c>
    </row>
    <row r="14" spans="1:36" ht="21.2" customHeight="1">
      <c r="A14" s="232" t="s">
        <v>55</v>
      </c>
      <c r="B14" s="233"/>
      <c r="C14" s="233"/>
      <c r="D14" s="116" t="s">
        <v>47</v>
      </c>
      <c r="E14" s="139">
        <v>127735.25</v>
      </c>
      <c r="F14" s="164">
        <v>8037</v>
      </c>
      <c r="G14" s="164">
        <v>95559</v>
      </c>
      <c r="H14" s="141">
        <v>10662</v>
      </c>
      <c r="I14" s="164">
        <v>94746.5</v>
      </c>
      <c r="J14" s="119">
        <f t="shared" si="4"/>
        <v>2625</v>
      </c>
      <c r="K14" s="120">
        <f t="shared" si="5"/>
        <v>32.661440836132897</v>
      </c>
      <c r="L14" s="173">
        <f t="shared" si="2"/>
        <v>-812.5</v>
      </c>
      <c r="M14" s="127">
        <f>(I14/G14*100)-100</f>
        <v>-0.8502600487656764</v>
      </c>
      <c r="N14" s="149"/>
      <c r="P14" s="62" t="s">
        <v>75</v>
      </c>
    </row>
    <row r="15" spans="1:36" ht="21.2" customHeight="1">
      <c r="A15" s="232"/>
      <c r="B15" s="233"/>
      <c r="C15" s="233"/>
      <c r="D15" s="116" t="s">
        <v>48</v>
      </c>
      <c r="E15" s="139">
        <v>2021215</v>
      </c>
      <c r="F15" s="164">
        <v>138502</v>
      </c>
      <c r="G15" s="164">
        <v>1528214</v>
      </c>
      <c r="H15" s="141">
        <v>177826</v>
      </c>
      <c r="I15" s="164">
        <v>1528787</v>
      </c>
      <c r="J15" s="119">
        <f t="shared" si="4"/>
        <v>39324</v>
      </c>
      <c r="K15" s="120">
        <f t="shared" si="5"/>
        <v>28.392369785273871</v>
      </c>
      <c r="L15" s="173">
        <f t="shared" si="2"/>
        <v>573</v>
      </c>
      <c r="M15" s="127">
        <f t="shared" si="3"/>
        <v>3.7494748772104458E-2</v>
      </c>
      <c r="P15" s="62" t="s">
        <v>76</v>
      </c>
    </row>
    <row r="16" spans="1:36" ht="21.2" customHeight="1">
      <c r="A16" s="232" t="s">
        <v>62</v>
      </c>
      <c r="B16" s="233"/>
      <c r="C16" s="233"/>
      <c r="D16" s="116" t="s">
        <v>47</v>
      </c>
      <c r="E16" s="139">
        <v>206399</v>
      </c>
      <c r="F16" s="164">
        <v>16399</v>
      </c>
      <c r="G16" s="164">
        <v>166054</v>
      </c>
      <c r="H16" s="141">
        <v>16943</v>
      </c>
      <c r="I16" s="164">
        <v>151764.5</v>
      </c>
      <c r="J16" s="119">
        <f t="shared" si="4"/>
        <v>544</v>
      </c>
      <c r="K16" s="120">
        <f t="shared" si="5"/>
        <v>3.3172754436246095</v>
      </c>
      <c r="L16" s="173">
        <f t="shared" si="2"/>
        <v>-14289.5</v>
      </c>
      <c r="M16" s="127">
        <f t="shared" si="3"/>
        <v>-8.6053332048610685</v>
      </c>
      <c r="P16" s="62" t="s">
        <v>77</v>
      </c>
    </row>
    <row r="17" spans="1:16" ht="21.2" customHeight="1">
      <c r="A17" s="232"/>
      <c r="B17" s="233"/>
      <c r="C17" s="233"/>
      <c r="D17" s="116" t="s">
        <v>48</v>
      </c>
      <c r="E17" s="139">
        <v>2900266</v>
      </c>
      <c r="F17" s="164">
        <v>227825</v>
      </c>
      <c r="G17" s="164">
        <v>2335511</v>
      </c>
      <c r="H17" s="141">
        <v>246815</v>
      </c>
      <c r="I17" s="164">
        <v>2055280</v>
      </c>
      <c r="J17" s="119">
        <f t="shared" si="4"/>
        <v>18990</v>
      </c>
      <c r="K17" s="120">
        <f t="shared" si="5"/>
        <v>8.3353451113793398</v>
      </c>
      <c r="L17" s="173">
        <f t="shared" si="2"/>
        <v>-280231</v>
      </c>
      <c r="M17" s="127">
        <f t="shared" si="3"/>
        <v>-11.998701783035912</v>
      </c>
      <c r="P17" s="62" t="s">
        <v>78</v>
      </c>
    </row>
    <row r="18" spans="1:16" ht="21.2" customHeight="1">
      <c r="A18" s="232" t="s">
        <v>56</v>
      </c>
      <c r="B18" s="233"/>
      <c r="C18" s="233"/>
      <c r="D18" s="116" t="s">
        <v>47</v>
      </c>
      <c r="E18" s="139">
        <v>120730</v>
      </c>
      <c r="F18" s="164">
        <v>7431</v>
      </c>
      <c r="G18" s="164">
        <v>90537</v>
      </c>
      <c r="H18" s="141">
        <v>15028</v>
      </c>
      <c r="I18" s="164">
        <v>121014.5</v>
      </c>
      <c r="J18" s="119">
        <f t="shared" si="4"/>
        <v>7597</v>
      </c>
      <c r="K18" s="120">
        <f t="shared" si="5"/>
        <v>102.23388507603283</v>
      </c>
      <c r="L18" s="173">
        <f t="shared" si="2"/>
        <v>30477.5</v>
      </c>
      <c r="M18" s="128">
        <f t="shared" si="3"/>
        <v>33.663032793222669</v>
      </c>
      <c r="P18" s="62" t="s">
        <v>79</v>
      </c>
    </row>
    <row r="19" spans="1:16" ht="21.2" customHeight="1">
      <c r="A19" s="232"/>
      <c r="B19" s="233"/>
      <c r="C19" s="233"/>
      <c r="D19" s="116" t="s">
        <v>48</v>
      </c>
      <c r="E19" s="139">
        <v>1935255</v>
      </c>
      <c r="F19" s="164">
        <v>120532</v>
      </c>
      <c r="G19" s="164">
        <v>1473749</v>
      </c>
      <c r="H19" s="141">
        <v>219978</v>
      </c>
      <c r="I19" s="164">
        <v>1835607</v>
      </c>
      <c r="J19" s="119">
        <f t="shared" si="4"/>
        <v>99446</v>
      </c>
      <c r="K19" s="120">
        <f t="shared" si="5"/>
        <v>82.505890551886637</v>
      </c>
      <c r="L19" s="173">
        <f t="shared" si="2"/>
        <v>361858</v>
      </c>
      <c r="M19" s="128">
        <f t="shared" si="3"/>
        <v>24.55357051981035</v>
      </c>
      <c r="P19" s="62" t="s">
        <v>80</v>
      </c>
    </row>
    <row r="20" spans="1:16" ht="21.2" customHeight="1">
      <c r="A20" s="242" t="s">
        <v>68</v>
      </c>
      <c r="B20" s="243"/>
      <c r="C20" s="243"/>
      <c r="D20" s="122" t="s">
        <v>47</v>
      </c>
      <c r="E20" s="124">
        <v>0</v>
      </c>
      <c r="F20" s="166">
        <v>0</v>
      </c>
      <c r="G20" s="168" t="s">
        <v>117</v>
      </c>
      <c r="H20" s="136">
        <v>0</v>
      </c>
      <c r="I20" s="166">
        <v>0</v>
      </c>
      <c r="J20" s="123">
        <f t="shared" si="4"/>
        <v>0</v>
      </c>
      <c r="K20" s="124">
        <v>0</v>
      </c>
      <c r="L20" s="124">
        <v>0</v>
      </c>
      <c r="M20" s="127">
        <v>0</v>
      </c>
      <c r="P20" s="62" t="s">
        <v>81</v>
      </c>
    </row>
    <row r="21" spans="1:16" ht="21.2" customHeight="1">
      <c r="A21" s="242"/>
      <c r="B21" s="243"/>
      <c r="C21" s="243"/>
      <c r="D21" s="122" t="s">
        <v>48</v>
      </c>
      <c r="E21" s="124">
        <v>0</v>
      </c>
      <c r="F21" s="166">
        <v>0</v>
      </c>
      <c r="G21" s="168" t="s">
        <v>117</v>
      </c>
      <c r="H21" s="136">
        <v>0</v>
      </c>
      <c r="I21" s="166">
        <v>0</v>
      </c>
      <c r="J21" s="123">
        <f t="shared" si="0"/>
        <v>0</v>
      </c>
      <c r="K21" s="124">
        <v>0</v>
      </c>
      <c r="L21" s="124">
        <v>0</v>
      </c>
      <c r="M21" s="127">
        <v>0</v>
      </c>
      <c r="P21" s="62" t="s">
        <v>82</v>
      </c>
    </row>
    <row r="22" spans="1:16" ht="21.2" customHeight="1">
      <c r="A22" s="232" t="s">
        <v>92</v>
      </c>
      <c r="B22" s="233"/>
      <c r="C22" s="233"/>
      <c r="D22" s="116" t="s">
        <v>47</v>
      </c>
      <c r="E22" s="124">
        <v>0</v>
      </c>
      <c r="F22" s="166">
        <v>0</v>
      </c>
      <c r="G22" s="168" t="s">
        <v>117</v>
      </c>
      <c r="H22" s="136">
        <v>0</v>
      </c>
      <c r="I22" s="166">
        <v>0</v>
      </c>
      <c r="J22" s="123">
        <f t="shared" si="0"/>
        <v>0</v>
      </c>
      <c r="K22" s="124">
        <v>0</v>
      </c>
      <c r="L22" s="124">
        <v>0</v>
      </c>
      <c r="M22" s="127">
        <v>0</v>
      </c>
      <c r="P22" s="62" t="s">
        <v>95</v>
      </c>
    </row>
    <row r="23" spans="1:16" ht="21.2" customHeight="1">
      <c r="A23" s="232"/>
      <c r="B23" s="233"/>
      <c r="C23" s="233"/>
      <c r="D23" s="116" t="s">
        <v>48</v>
      </c>
      <c r="E23" s="124">
        <v>0</v>
      </c>
      <c r="F23" s="166">
        <v>0</v>
      </c>
      <c r="G23" s="168" t="s">
        <v>117</v>
      </c>
      <c r="H23" s="136">
        <v>0</v>
      </c>
      <c r="I23" s="166">
        <v>0</v>
      </c>
      <c r="J23" s="123">
        <f t="shared" si="0"/>
        <v>0</v>
      </c>
      <c r="K23" s="124">
        <v>0</v>
      </c>
      <c r="L23" s="124">
        <v>0</v>
      </c>
      <c r="M23" s="127">
        <v>0</v>
      </c>
      <c r="P23" s="62" t="s">
        <v>95</v>
      </c>
    </row>
    <row r="24" spans="1:16" ht="21.2" customHeight="1">
      <c r="A24" s="232" t="s">
        <v>63</v>
      </c>
      <c r="B24" s="233"/>
      <c r="C24" s="233"/>
      <c r="D24" s="116" t="s">
        <v>64</v>
      </c>
      <c r="E24" s="139">
        <v>107</v>
      </c>
      <c r="F24" s="167">
        <v>73</v>
      </c>
      <c r="G24" s="164">
        <v>107</v>
      </c>
      <c r="H24" s="136">
        <v>0</v>
      </c>
      <c r="I24" s="166">
        <v>0</v>
      </c>
      <c r="J24" s="123">
        <f t="shared" si="0"/>
        <v>-73</v>
      </c>
      <c r="K24" s="124">
        <v>0</v>
      </c>
      <c r="L24" s="173">
        <f t="shared" si="2"/>
        <v>-107</v>
      </c>
      <c r="M24" s="127">
        <f t="shared" si="3"/>
        <v>-100</v>
      </c>
      <c r="P24" s="62" t="s">
        <v>83</v>
      </c>
    </row>
    <row r="25" spans="1:16" ht="21.2" customHeight="1">
      <c r="A25" s="232"/>
      <c r="B25" s="233"/>
      <c r="C25" s="233"/>
      <c r="D25" s="116" t="s">
        <v>65</v>
      </c>
      <c r="E25" s="139">
        <v>244</v>
      </c>
      <c r="F25" s="167" t="s">
        <v>116</v>
      </c>
      <c r="G25" s="164">
        <v>244</v>
      </c>
      <c r="H25" s="136">
        <v>0</v>
      </c>
      <c r="I25" s="166">
        <v>0</v>
      </c>
      <c r="J25" s="166">
        <v>0</v>
      </c>
      <c r="K25" s="124">
        <v>0</v>
      </c>
      <c r="L25" s="173">
        <f t="shared" si="2"/>
        <v>-244</v>
      </c>
      <c r="M25" s="127">
        <f t="shared" si="3"/>
        <v>-100</v>
      </c>
      <c r="P25" s="62" t="s">
        <v>83</v>
      </c>
    </row>
    <row r="26" spans="1:16" ht="21.2" customHeight="1">
      <c r="A26" s="232" t="s">
        <v>58</v>
      </c>
      <c r="B26" s="233"/>
      <c r="C26" s="233"/>
      <c r="D26" s="116" t="s">
        <v>47</v>
      </c>
      <c r="E26" s="139">
        <v>212</v>
      </c>
      <c r="F26" s="167" t="s">
        <v>116</v>
      </c>
      <c r="G26" s="164">
        <v>212</v>
      </c>
      <c r="H26" s="136">
        <v>0</v>
      </c>
      <c r="I26" s="166">
        <v>0</v>
      </c>
      <c r="J26" s="166">
        <v>0</v>
      </c>
      <c r="K26" s="120" t="s">
        <v>101</v>
      </c>
      <c r="L26" s="173">
        <f t="shared" si="2"/>
        <v>-212</v>
      </c>
      <c r="M26" s="127">
        <f t="shared" si="3"/>
        <v>-100</v>
      </c>
      <c r="P26" s="62" t="s">
        <v>84</v>
      </c>
    </row>
    <row r="27" spans="1:16" ht="21.2" customHeight="1">
      <c r="A27" s="232"/>
      <c r="B27" s="233"/>
      <c r="C27" s="233"/>
      <c r="D27" s="116" t="s">
        <v>48</v>
      </c>
      <c r="E27" s="139">
        <v>1888</v>
      </c>
      <c r="F27" s="167" t="s">
        <v>116</v>
      </c>
      <c r="G27" s="164">
        <v>1888</v>
      </c>
      <c r="H27" s="136">
        <v>0</v>
      </c>
      <c r="I27" s="165">
        <v>0</v>
      </c>
      <c r="J27" s="165">
        <v>0</v>
      </c>
      <c r="K27" s="120" t="s">
        <v>101</v>
      </c>
      <c r="L27" s="173">
        <f t="shared" si="2"/>
        <v>-1888</v>
      </c>
      <c r="M27" s="127">
        <f t="shared" si="3"/>
        <v>-100</v>
      </c>
      <c r="P27" s="62" t="s">
        <v>85</v>
      </c>
    </row>
    <row r="28" spans="1:16" ht="21.2" customHeight="1">
      <c r="A28" s="232" t="s">
        <v>59</v>
      </c>
      <c r="B28" s="233"/>
      <c r="C28" s="233"/>
      <c r="D28" s="116" t="s">
        <v>47</v>
      </c>
      <c r="E28" s="139">
        <v>87855</v>
      </c>
      <c r="F28" s="164">
        <v>5964</v>
      </c>
      <c r="G28" s="164">
        <v>68131</v>
      </c>
      <c r="H28" s="141">
        <v>4662</v>
      </c>
      <c r="I28" s="164">
        <v>40059</v>
      </c>
      <c r="J28" s="123">
        <f t="shared" si="0"/>
        <v>-1302</v>
      </c>
      <c r="K28" s="120">
        <f t="shared" si="1"/>
        <v>-21.83098591549296</v>
      </c>
      <c r="L28" s="173">
        <f t="shared" si="2"/>
        <v>-28072</v>
      </c>
      <c r="M28" s="127">
        <f t="shared" si="3"/>
        <v>-41.20297661857304</v>
      </c>
      <c r="P28" s="62" t="s">
        <v>86</v>
      </c>
    </row>
    <row r="29" spans="1:16" ht="21.2" customHeight="1">
      <c r="A29" s="232"/>
      <c r="B29" s="233"/>
      <c r="C29" s="233"/>
      <c r="D29" s="116" t="s">
        <v>48</v>
      </c>
      <c r="E29" s="139">
        <v>1481921</v>
      </c>
      <c r="F29" s="164">
        <v>100838</v>
      </c>
      <c r="G29" s="164">
        <v>1165735</v>
      </c>
      <c r="H29" s="141">
        <v>84600</v>
      </c>
      <c r="I29" s="164">
        <v>675049</v>
      </c>
      <c r="J29" s="123">
        <f t="shared" si="0"/>
        <v>-16238</v>
      </c>
      <c r="K29" s="120">
        <f t="shared" si="1"/>
        <v>-16.103056387472975</v>
      </c>
      <c r="L29" s="173">
        <f t="shared" si="2"/>
        <v>-490686</v>
      </c>
      <c r="M29" s="127">
        <f t="shared" si="3"/>
        <v>-42.092413799019504</v>
      </c>
      <c r="P29" s="62" t="s">
        <v>87</v>
      </c>
    </row>
    <row r="30" spans="1:16" ht="21.2" customHeight="1">
      <c r="A30" s="232" t="s">
        <v>60</v>
      </c>
      <c r="B30" s="233"/>
      <c r="C30" s="233"/>
      <c r="D30" s="116" t="s">
        <v>47</v>
      </c>
      <c r="E30" s="139">
        <v>136389</v>
      </c>
      <c r="F30" s="164">
        <v>9604</v>
      </c>
      <c r="G30" s="164">
        <v>102619</v>
      </c>
      <c r="H30" s="141">
        <v>10123</v>
      </c>
      <c r="I30" s="164">
        <v>89186</v>
      </c>
      <c r="J30" s="119">
        <f t="shared" si="0"/>
        <v>519</v>
      </c>
      <c r="K30" s="120">
        <f t="shared" si="1"/>
        <v>5.4039983340274915</v>
      </c>
      <c r="L30" s="173">
        <f t="shared" si="2"/>
        <v>-13433</v>
      </c>
      <c r="M30" s="127">
        <f t="shared" si="3"/>
        <v>-13.090168487317172</v>
      </c>
      <c r="P30" s="62" t="s">
        <v>88</v>
      </c>
    </row>
    <row r="31" spans="1:16" ht="21.2" customHeight="1">
      <c r="A31" s="232"/>
      <c r="B31" s="233"/>
      <c r="C31" s="233"/>
      <c r="D31" s="116" t="s">
        <v>48</v>
      </c>
      <c r="E31" s="139">
        <v>1982852</v>
      </c>
      <c r="F31" s="164">
        <v>140865</v>
      </c>
      <c r="G31" s="164">
        <v>1496197</v>
      </c>
      <c r="H31" s="141">
        <v>152179</v>
      </c>
      <c r="I31" s="164">
        <v>1280876</v>
      </c>
      <c r="J31" s="119">
        <f t="shared" si="0"/>
        <v>11314</v>
      </c>
      <c r="K31" s="120">
        <f t="shared" si="1"/>
        <v>8.0318034998047665</v>
      </c>
      <c r="L31" s="173">
        <f t="shared" si="2"/>
        <v>-215321</v>
      </c>
      <c r="M31" s="127">
        <f t="shared" si="3"/>
        <v>-14.391219872784134</v>
      </c>
      <c r="P31" s="62" t="s">
        <v>89</v>
      </c>
    </row>
    <row r="32" spans="1:16" ht="21.2" customHeight="1">
      <c r="A32" s="232" t="s">
        <v>61</v>
      </c>
      <c r="B32" s="233"/>
      <c r="C32" s="233"/>
      <c r="D32" s="116" t="s">
        <v>47</v>
      </c>
      <c r="E32" s="139">
        <v>45952</v>
      </c>
      <c r="F32" s="164">
        <v>2211</v>
      </c>
      <c r="G32" s="164">
        <v>34383</v>
      </c>
      <c r="H32" s="141">
        <v>4297</v>
      </c>
      <c r="I32" s="164">
        <v>35527</v>
      </c>
      <c r="J32" s="119">
        <f>H32-F32</f>
        <v>2086</v>
      </c>
      <c r="K32" s="120">
        <f t="shared" si="1"/>
        <v>94.346449570330151</v>
      </c>
      <c r="L32" s="173">
        <f>I32-G32</f>
        <v>1144</v>
      </c>
      <c r="M32" s="127">
        <f t="shared" si="3"/>
        <v>3.3272256638455104</v>
      </c>
      <c r="P32" s="62" t="s">
        <v>90</v>
      </c>
    </row>
    <row r="33" spans="1:16" ht="21.2" customHeight="1">
      <c r="A33" s="232"/>
      <c r="B33" s="233"/>
      <c r="C33" s="233"/>
      <c r="D33" s="116" t="s">
        <v>48</v>
      </c>
      <c r="E33" s="139">
        <v>722543</v>
      </c>
      <c r="F33" s="164">
        <v>35326</v>
      </c>
      <c r="G33" s="164">
        <v>535665</v>
      </c>
      <c r="H33" s="141">
        <v>64010</v>
      </c>
      <c r="I33" s="164">
        <v>537820</v>
      </c>
      <c r="J33" s="119">
        <f>H33-F33</f>
        <v>28684</v>
      </c>
      <c r="K33" s="120">
        <f t="shared" si="1"/>
        <v>81.197984487346417</v>
      </c>
      <c r="L33" s="173">
        <f>I33-G33</f>
        <v>2155</v>
      </c>
      <c r="M33" s="127">
        <f t="shared" si="3"/>
        <v>0.40230367860509375</v>
      </c>
      <c r="P33" s="62" t="s">
        <v>91</v>
      </c>
    </row>
    <row r="34" spans="1:16" ht="21.2" customHeight="1">
      <c r="A34" s="232" t="s">
        <v>100</v>
      </c>
      <c r="B34" s="233"/>
      <c r="C34" s="233"/>
      <c r="D34" s="116" t="s">
        <v>47</v>
      </c>
      <c r="E34" s="139">
        <v>80</v>
      </c>
      <c r="F34" s="169">
        <v>0</v>
      </c>
      <c r="G34" s="164">
        <v>80</v>
      </c>
      <c r="H34" s="161">
        <v>0</v>
      </c>
      <c r="I34" s="152">
        <v>0</v>
      </c>
      <c r="J34" s="119">
        <f>H34-F34</f>
        <v>0</v>
      </c>
      <c r="K34" s="120" t="s">
        <v>101</v>
      </c>
      <c r="L34" s="173">
        <f>I34-G34</f>
        <v>-80</v>
      </c>
      <c r="M34" s="127">
        <f t="shared" ref="M34:M35" si="7">(I34/G34*100)-100</f>
        <v>-100</v>
      </c>
    </row>
    <row r="35" spans="1:16" ht="21.2" customHeight="1" thickBot="1">
      <c r="A35" s="240"/>
      <c r="B35" s="241"/>
      <c r="C35" s="241"/>
      <c r="D35" s="129" t="s">
        <v>48</v>
      </c>
      <c r="E35" s="140">
        <v>1384</v>
      </c>
      <c r="F35" s="170">
        <v>0</v>
      </c>
      <c r="G35" s="171">
        <v>1384</v>
      </c>
      <c r="H35" s="162">
        <v>0</v>
      </c>
      <c r="I35" s="154">
        <v>0</v>
      </c>
      <c r="J35" s="130">
        <f>H35-F35</f>
        <v>0</v>
      </c>
      <c r="K35" s="101" t="s">
        <v>101</v>
      </c>
      <c r="L35" s="174">
        <f>I35-G35</f>
        <v>-1384</v>
      </c>
      <c r="M35" s="102">
        <f t="shared" si="7"/>
        <v>-100</v>
      </c>
    </row>
  </sheetData>
  <autoFilter ref="A3:AJ35" xr:uid="{9555D28F-2F57-4B45-90E2-6D1D1626D9A6}">
    <filterColumn colId="0" showButton="0"/>
    <filterColumn colId="1" showButton="0"/>
  </autoFilter>
  <mergeCells count="21"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2023-11-02T02:58:49Z</dcterms:modified>
</cp:coreProperties>
</file>