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9"/>
  <workbookPr/>
  <mc:AlternateContent xmlns:mc="http://schemas.openxmlformats.org/markup-compatibility/2006">
    <mc:Choice Requires="x15">
      <x15ac:absPath xmlns:x15ac="http://schemas.microsoft.com/office/spreadsheetml/2010/11/ac" url="C:\Users\MOF\Desktop\통계\2023\2월\"/>
    </mc:Choice>
  </mc:AlternateContent>
  <xr:revisionPtr revIDLastSave="0" documentId="13_ncr:1_{CE9043AC-EE52-4478-80FB-1D2B5CCC8B61}" xr6:coauthVersionLast="36" xr6:coauthVersionMax="36" xr10:uidLastSave="{00000000-0000-0000-0000-000000000000}"/>
  <bookViews>
    <workbookView xWindow="-105" yWindow="-105" windowWidth="23250" windowHeight="12570" tabRatio="601" firstSheet="1" activeTab="1" xr2:uid="{00000000-000D-0000-FFFF-FFFF00000000}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Print_Area" localSheetId="2">'연도별 수송실적'!$A$1:$N$33</definedName>
    <definedName name="_xlnm.Print_Area" localSheetId="1">통계요약!$A$1:$M$40</definedName>
  </definedNames>
  <calcPr calcId="191029"/>
</workbook>
</file>

<file path=xl/calcChain.xml><?xml version="1.0" encoding="utf-8"?>
<calcChain xmlns="http://schemas.openxmlformats.org/spreadsheetml/2006/main">
  <c r="G28" i="21" l="1"/>
  <c r="I28" i="21"/>
  <c r="H14" i="21"/>
  <c r="I24" i="21" l="1"/>
  <c r="I14" i="21" l="1"/>
  <c r="H24" i="21"/>
  <c r="F14" i="21" l="1"/>
  <c r="G14" i="21"/>
  <c r="G16" i="21"/>
  <c r="F24" i="21"/>
  <c r="G24" i="21"/>
  <c r="M33" i="32" l="1"/>
  <c r="H11" i="21" l="1"/>
  <c r="I15" i="21" l="1"/>
  <c r="I11" i="21"/>
  <c r="H15" i="21"/>
  <c r="H10" i="21" s="1"/>
  <c r="I10" i="21" l="1"/>
  <c r="F15" i="21"/>
  <c r="F11" i="21"/>
  <c r="G15" i="21"/>
  <c r="G11" i="21"/>
  <c r="F10" i="21" l="1"/>
  <c r="G10" i="21"/>
  <c r="K9" i="32"/>
  <c r="K8" i="32"/>
  <c r="K6" i="32"/>
  <c r="J15" i="32"/>
  <c r="J16" i="32"/>
  <c r="J17" i="32"/>
  <c r="J18" i="32"/>
  <c r="J19" i="32"/>
  <c r="J14" i="32"/>
  <c r="J8" i="32"/>
  <c r="J6" i="32"/>
  <c r="J17" i="21" l="1"/>
  <c r="M32" i="32" l="1"/>
  <c r="L19" i="32"/>
  <c r="L20" i="32"/>
  <c r="L21" i="32"/>
  <c r="L22" i="32"/>
  <c r="L23" i="32"/>
  <c r="L11" i="32"/>
  <c r="L12" i="32"/>
  <c r="L13" i="32"/>
  <c r="L14" i="32"/>
  <c r="L15" i="32"/>
  <c r="L16" i="32"/>
  <c r="L17" i="32"/>
  <c r="L18" i="32"/>
  <c r="K14" i="32"/>
  <c r="K15" i="32"/>
  <c r="K16" i="32"/>
  <c r="K17" i="32"/>
  <c r="K18" i="32"/>
  <c r="K19" i="32"/>
  <c r="J22" i="32"/>
  <c r="J23" i="32"/>
  <c r="J24" i="32"/>
  <c r="J25" i="32"/>
  <c r="J26" i="32"/>
  <c r="J27" i="32"/>
  <c r="J28" i="32"/>
  <c r="J29" i="32"/>
  <c r="J11" i="32"/>
  <c r="J10" i="32"/>
  <c r="L10" i="32"/>
  <c r="I4" i="32"/>
  <c r="H4" i="32"/>
  <c r="G4" i="32"/>
  <c r="F4" i="32"/>
  <c r="I5" i="32" l="1"/>
  <c r="H5" i="32"/>
  <c r="G5" i="32"/>
  <c r="F5" i="32"/>
  <c r="E5" i="32"/>
  <c r="E4" i="32"/>
  <c r="E15" i="21" l="1"/>
  <c r="E11" i="21"/>
  <c r="E10" i="21" l="1"/>
  <c r="H21" i="21"/>
  <c r="M8" i="32" l="1"/>
  <c r="L8" i="32"/>
  <c r="M6" i="32"/>
  <c r="L6" i="32"/>
  <c r="M14" i="32" l="1"/>
  <c r="K33" i="32"/>
  <c r="K32" i="32"/>
  <c r="G21" i="21" l="1"/>
  <c r="L11" i="21"/>
  <c r="G7" i="21" l="1"/>
  <c r="F3" i="32" l="1"/>
  <c r="I7" i="21" l="1"/>
  <c r="G4" i="33" s="1"/>
  <c r="H7" i="21" l="1"/>
  <c r="AA7" i="33" l="1"/>
  <c r="N6" i="33"/>
  <c r="G6" i="33"/>
  <c r="N3" i="33"/>
  <c r="I3" i="32" l="1"/>
  <c r="H3" i="32"/>
  <c r="G3" i="32"/>
  <c r="E7" i="21" l="1"/>
  <c r="L28" i="21" l="1"/>
  <c r="J28" i="21"/>
  <c r="K28" i="21"/>
  <c r="L26" i="21"/>
  <c r="L27" i="21"/>
  <c r="L18" i="21"/>
  <c r="J11" i="21" l="1"/>
  <c r="J22" i="21" l="1"/>
  <c r="J23" i="21"/>
  <c r="J24" i="21"/>
  <c r="J26" i="21"/>
  <c r="J27" i="21"/>
  <c r="J16" i="21"/>
  <c r="J18" i="21"/>
  <c r="J12" i="21"/>
  <c r="J13" i="21"/>
  <c r="J14" i="21"/>
  <c r="L25" i="32" l="1"/>
  <c r="I25" i="21"/>
  <c r="I21" i="21"/>
  <c r="E25" i="21" l="1"/>
  <c r="E21" i="21"/>
  <c r="E20" i="21" l="1"/>
  <c r="J13" i="32" l="1"/>
  <c r="J12" i="32"/>
  <c r="L24" i="32"/>
  <c r="F21" i="21" l="1"/>
  <c r="F7" i="21"/>
  <c r="F25" i="21" l="1"/>
  <c r="J25" i="21" s="1"/>
  <c r="G25" i="21"/>
  <c r="G20" i="21" s="1"/>
  <c r="L25" i="21" l="1"/>
  <c r="K14" i="21"/>
  <c r="M17" i="32" l="1"/>
  <c r="M24" i="21"/>
  <c r="M18" i="32"/>
  <c r="M19" i="32"/>
  <c r="M28" i="32"/>
  <c r="M29" i="32"/>
  <c r="M30" i="32"/>
  <c r="M31" i="32"/>
  <c r="K28" i="32"/>
  <c r="K29" i="32"/>
  <c r="K30" i="32"/>
  <c r="K31" i="32"/>
  <c r="L33" i="32"/>
  <c r="J33" i="32"/>
  <c r="L32" i="32"/>
  <c r="J32" i="32"/>
  <c r="J7" i="32"/>
  <c r="K7" i="32"/>
  <c r="L7" i="32"/>
  <c r="M7" i="32"/>
  <c r="J9" i="32"/>
  <c r="L9" i="32"/>
  <c r="M9" i="32"/>
  <c r="M15" i="32"/>
  <c r="J20" i="32"/>
  <c r="J21" i="32"/>
  <c r="L26" i="32"/>
  <c r="L27" i="32"/>
  <c r="L28" i="32"/>
  <c r="L29" i="32"/>
  <c r="J30" i="32"/>
  <c r="L30" i="32"/>
  <c r="J31" i="32"/>
  <c r="L31" i="32"/>
  <c r="J8" i="21"/>
  <c r="K8" i="21"/>
  <c r="L8" i="21"/>
  <c r="M8" i="21"/>
  <c r="J9" i="21"/>
  <c r="K9" i="21"/>
  <c r="L9" i="21"/>
  <c r="M9" i="21"/>
  <c r="K12" i="21"/>
  <c r="L12" i="21"/>
  <c r="M12" i="21"/>
  <c r="K13" i="21"/>
  <c r="L13" i="21"/>
  <c r="M13" i="21"/>
  <c r="L14" i="21"/>
  <c r="M14" i="21"/>
  <c r="K16" i="21"/>
  <c r="L16" i="21"/>
  <c r="M16" i="21"/>
  <c r="K17" i="21"/>
  <c r="L17" i="21"/>
  <c r="M17" i="21"/>
  <c r="K22" i="21"/>
  <c r="L22" i="21"/>
  <c r="M22" i="21"/>
  <c r="K23" i="21"/>
  <c r="L23" i="21"/>
  <c r="M23" i="21"/>
  <c r="K24" i="21"/>
  <c r="L24" i="21"/>
  <c r="M28" i="21"/>
  <c r="M16" i="32"/>
  <c r="I20" i="21" l="1"/>
  <c r="G7" i="33" s="1"/>
  <c r="H20" i="21"/>
  <c r="J15" i="21"/>
  <c r="M5" i="32"/>
  <c r="J4" i="32"/>
  <c r="M11" i="21"/>
  <c r="K15" i="21"/>
  <c r="L4" i="32"/>
  <c r="M21" i="21"/>
  <c r="K21" i="21"/>
  <c r="F20" i="21"/>
  <c r="L21" i="21"/>
  <c r="J21" i="21"/>
  <c r="L15" i="21"/>
  <c r="K11" i="21"/>
  <c r="M15" i="21"/>
  <c r="M7" i="21"/>
  <c r="L7" i="21"/>
  <c r="J7" i="21"/>
  <c r="K7" i="21"/>
  <c r="K5" i="32"/>
  <c r="J5" i="32"/>
  <c r="M4" i="32"/>
  <c r="L20" i="21" l="1"/>
  <c r="J20" i="21"/>
  <c r="L10" i="21"/>
  <c r="L5" i="32"/>
  <c r="K4" i="32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<sst xmlns="http://schemas.openxmlformats.org/spreadsheetml/2006/main" count="158" uniqueCount="107">
  <si>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</si>
  <si>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</si>
  <si>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</si>
  <si>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</si>
  <si>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</si>
  <si>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</si>
  <si>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</si>
  <si>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7" type="noConversion"/>
  </si>
  <si>
    <t xml:space="preserve"> 합  계</t>
    <phoneticPr fontId="7" type="noConversion"/>
  </si>
  <si>
    <t xml:space="preserve"> 외  항</t>
    <phoneticPr fontId="7" type="noConversion"/>
  </si>
  <si>
    <t xml:space="preserve"> 내  항</t>
    <phoneticPr fontId="7" type="noConversion"/>
  </si>
  <si>
    <t>연간누계</t>
    <phoneticPr fontId="7" type="noConversion"/>
  </si>
  <si>
    <t>계</t>
    <phoneticPr fontId="7" type="noConversion"/>
  </si>
  <si>
    <t>환적</t>
    <phoneticPr fontId="7" type="noConversion"/>
  </si>
  <si>
    <t>수출</t>
    <phoneticPr fontId="7" type="noConversion"/>
  </si>
  <si>
    <t>전년동기대비</t>
    <phoneticPr fontId="7" type="noConversion"/>
  </si>
  <si>
    <t>(%)</t>
    <phoneticPr fontId="7" type="noConversion"/>
  </si>
  <si>
    <t>환적</t>
    <phoneticPr fontId="7" type="noConversion"/>
  </si>
  <si>
    <t>D-B</t>
    <phoneticPr fontId="7" type="noConversion"/>
  </si>
  <si>
    <t>컨테</t>
    <phoneticPr fontId="7" type="noConversion"/>
  </si>
  <si>
    <t>이너</t>
    <phoneticPr fontId="7" type="noConversion"/>
  </si>
  <si>
    <t>선박</t>
    <phoneticPr fontId="7" type="noConversion"/>
  </si>
  <si>
    <t>화물</t>
    <phoneticPr fontId="7" type="noConversion"/>
  </si>
  <si>
    <t>(단위:TEU, 100% 기준)</t>
    <phoneticPr fontId="7" type="noConversion"/>
  </si>
  <si>
    <t>(화물)</t>
    <phoneticPr fontId="7" type="noConversion"/>
  </si>
  <si>
    <t xml:space="preserve">   (컨테이너)</t>
    <phoneticPr fontId="7" type="noConversion"/>
  </si>
  <si>
    <t>(평택·당진항)</t>
    <phoneticPr fontId="7" type="noConversion"/>
  </si>
  <si>
    <t xml:space="preserve">  □ 전년 동기대비 비교표</t>
    <phoneticPr fontId="7" type="noConversion"/>
  </si>
  <si>
    <t>■ 연도별 수송실적</t>
    <phoneticPr fontId="23" type="noConversion"/>
  </si>
  <si>
    <t>(단위 : 천톤)</t>
    <phoneticPr fontId="7" type="noConversion"/>
  </si>
  <si>
    <t xml:space="preserve">구분 </t>
    <phoneticPr fontId="7" type="noConversion"/>
  </si>
  <si>
    <t>선박입출항</t>
    <phoneticPr fontId="7" type="noConversion"/>
  </si>
  <si>
    <t>화물입출항</t>
    <phoneticPr fontId="7" type="noConversion"/>
  </si>
  <si>
    <t>(단위 : TEU)</t>
    <phoneticPr fontId="7" type="noConversion"/>
  </si>
  <si>
    <t>(단위 : 명)</t>
    <phoneticPr fontId="7" type="noConversion"/>
  </si>
  <si>
    <t>컨테이너</t>
    <phoneticPr fontId="7" type="noConversion"/>
  </si>
  <si>
    <t>여    객</t>
    <phoneticPr fontId="7" type="noConversion"/>
  </si>
  <si>
    <t xml:space="preserve">  □ 연도별 추이 </t>
  </si>
  <si>
    <t>□ 부두별 컨테이너 물동량</t>
    <phoneticPr fontId="7" type="noConversion"/>
  </si>
  <si>
    <t>구     분</t>
    <phoneticPr fontId="7" type="noConversion"/>
  </si>
  <si>
    <t>단위</t>
    <phoneticPr fontId="23" type="noConversion"/>
  </si>
  <si>
    <t>전년동기대비</t>
    <phoneticPr fontId="7" type="noConversion"/>
  </si>
  <si>
    <t>연간누계</t>
    <phoneticPr fontId="7" type="noConversion"/>
  </si>
  <si>
    <t>C-A</t>
    <phoneticPr fontId="7" type="noConversion"/>
  </si>
  <si>
    <t>(%)</t>
    <phoneticPr fontId="7" type="noConversion"/>
  </si>
  <si>
    <t>D-B</t>
    <phoneticPr fontId="7" type="noConversion"/>
  </si>
  <si>
    <t>합  계</t>
    <phoneticPr fontId="7" type="noConversion"/>
  </si>
  <si>
    <t>TEU</t>
    <phoneticPr fontId="23" type="noConversion"/>
  </si>
  <si>
    <t>톤</t>
    <phoneticPr fontId="23" type="noConversion"/>
  </si>
  <si>
    <t>선박입항 및 화물수송</t>
    <phoneticPr fontId="7" type="noConversion"/>
  </si>
  <si>
    <t xml:space="preserve">     (여객)</t>
    <phoneticPr fontId="7" type="noConversion"/>
  </si>
  <si>
    <t xml:space="preserve">     (화물입출항)</t>
    <phoneticPr fontId="7" type="noConversion"/>
  </si>
  <si>
    <t xml:space="preserve">   (선박입출항)</t>
    <phoneticPr fontId="7" type="noConversion"/>
  </si>
  <si>
    <t>국제여객부두1번</t>
  </si>
  <si>
    <t>국제여객부두2번</t>
  </si>
  <si>
    <t>동부두 6</t>
    <phoneticPr fontId="23" type="noConversion"/>
  </si>
  <si>
    <t>동부두 8</t>
    <phoneticPr fontId="23" type="noConversion"/>
  </si>
  <si>
    <t>C-A</t>
    <phoneticPr fontId="7" type="noConversion"/>
  </si>
  <si>
    <t>동부두 12</t>
    <phoneticPr fontId="23" type="noConversion"/>
  </si>
  <si>
    <t>동부두 14</t>
    <phoneticPr fontId="23" type="noConversion"/>
  </si>
  <si>
    <t>동부두 15</t>
    <phoneticPr fontId="23" type="noConversion"/>
  </si>
  <si>
    <t>동부두 16</t>
    <phoneticPr fontId="23" type="noConversion"/>
  </si>
  <si>
    <t>동부두 7</t>
    <phoneticPr fontId="23" type="noConversion"/>
  </si>
  <si>
    <t>동부두 11</t>
    <phoneticPr fontId="23" type="noConversion"/>
  </si>
  <si>
    <t>TEU</t>
    <phoneticPr fontId="23" type="noConversion"/>
  </si>
  <si>
    <t>톤</t>
    <phoneticPr fontId="23" type="noConversion"/>
  </si>
  <si>
    <t>동부두 5</t>
    <phoneticPr fontId="23" type="noConversion"/>
  </si>
  <si>
    <t>자동차(대)</t>
    <phoneticPr fontId="7" type="noConversion"/>
  </si>
  <si>
    <t>동부두 9</t>
    <phoneticPr fontId="23" type="noConversion"/>
  </si>
  <si>
    <t>소계</t>
    <phoneticPr fontId="7" type="noConversion"/>
  </si>
  <si>
    <t>(단위 : 척)</t>
    <phoneticPr fontId="7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</si>
  <si>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7" type="noConversion"/>
  </si>
  <si>
    <t>국제여객부두 1번선석</t>
  </si>
  <si>
    <t>국제여객부두 2번선석</t>
    <phoneticPr fontId="23" type="noConversion"/>
  </si>
  <si>
    <t>동부두 5번선석</t>
    <phoneticPr fontId="23" type="noConversion"/>
  </si>
  <si>
    <t>동부두 6번선석</t>
    <phoneticPr fontId="23" type="noConversion"/>
  </si>
  <si>
    <t>동부두 6번선석</t>
    <phoneticPr fontId="23" type="noConversion"/>
  </si>
  <si>
    <t>동부두 7번선석</t>
    <phoneticPr fontId="23" type="noConversion"/>
  </si>
  <si>
    <t>동부두 7번선석</t>
    <phoneticPr fontId="23" type="noConversion"/>
  </si>
  <si>
    <t>동부두 8번선석</t>
    <phoneticPr fontId="23" type="noConversion"/>
  </si>
  <si>
    <t>동부두 8번선석</t>
    <phoneticPr fontId="23" type="noConversion"/>
  </si>
  <si>
    <t>동부두 9번선석</t>
    <phoneticPr fontId="23" type="noConversion"/>
  </si>
  <si>
    <t>동부두 9번선석</t>
    <phoneticPr fontId="23" type="noConversion"/>
  </si>
  <si>
    <t>동부두 11번선석</t>
    <phoneticPr fontId="23" type="noConversion"/>
  </si>
  <si>
    <t>동부두 12번선석</t>
    <phoneticPr fontId="23" type="noConversion"/>
  </si>
  <si>
    <t>동부두 12번선석</t>
    <phoneticPr fontId="23" type="noConversion"/>
  </si>
  <si>
    <t>동부두 14번선석</t>
    <phoneticPr fontId="23" type="noConversion"/>
  </si>
  <si>
    <t>동부두 14번선석</t>
    <phoneticPr fontId="23" type="noConversion"/>
  </si>
  <si>
    <t>동부두 15번선석</t>
    <phoneticPr fontId="23" type="noConversion"/>
  </si>
  <si>
    <t>동부두 15번선석</t>
    <phoneticPr fontId="23" type="noConversion"/>
  </si>
  <si>
    <t>동부두 16번선석</t>
    <phoneticPr fontId="23" type="noConversion"/>
  </si>
  <si>
    <t>동부두 16번선석</t>
    <phoneticPr fontId="23" type="noConversion"/>
  </si>
  <si>
    <t>동부두 10</t>
    <phoneticPr fontId="23" type="noConversion"/>
  </si>
  <si>
    <t>동부두 1</t>
    <phoneticPr fontId="23" type="noConversion"/>
  </si>
  <si>
    <t>동부두 1번선석</t>
    <phoneticPr fontId="23" type="noConversion"/>
  </si>
  <si>
    <t>동부두 10번선석</t>
    <phoneticPr fontId="23" type="noConversion"/>
  </si>
  <si>
    <t>순증</t>
    <phoneticPr fontId="23" type="noConversion"/>
  </si>
  <si>
    <t>순증</t>
    <phoneticPr fontId="7" type="noConversion"/>
  </si>
  <si>
    <t>2022년도</t>
    <phoneticPr fontId="7" type="noConversion"/>
  </si>
  <si>
    <t>2023년도</t>
    <phoneticPr fontId="7" type="noConversion"/>
  </si>
  <si>
    <t>2023년도</t>
    <phoneticPr fontId="7" type="noConversion"/>
  </si>
  <si>
    <t>2월(A)</t>
    <phoneticPr fontId="7" type="noConversion"/>
  </si>
  <si>
    <t>2월누계(B)</t>
    <phoneticPr fontId="7" type="noConversion"/>
  </si>
  <si>
    <t>2월(C)</t>
    <phoneticPr fontId="7" type="noConversion"/>
  </si>
  <si>
    <t>2월누계(D)</t>
    <phoneticPr fontId="7" type="noConversion"/>
  </si>
  <si>
    <t>(2023.2월분)</t>
    <phoneticPr fontId="7" type="noConversion"/>
  </si>
  <si>
    <t>23.02.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</si>
</sst>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  <numFmt numFmtId="189" formatCode="#,###"/>
  </numFmts>
  <fonts count="41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10"/>
      <name val="굴림"/>
      <family val="3"/>
      <charset val="129"/>
    </font>
    <font>
      <sz val="11"/>
      <color theme="1"/>
      <name val="굴림체"/>
      <family val="3"/>
      <charset val="129"/>
    </font>
    <font>
      <sz val="11"/>
      <name val="굴림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medium">
        <color indexed="64"/>
      </bottom>
      <diagonal/>
    </border>
  </borders>
  <cellStyleXfs count="57">
    <xf numFmtId="0" fontId="0" fillId="0" borderId="0"/>
    <xf numFmtId="38" fontId="8" fillId="0" borderId="0" applyFont="0" applyFill="0" applyBorder="0" applyAlignment="0" applyProtection="0"/>
    <xf numFmtId="4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38" fontId="11" fillId="2" borderId="0" applyNumberFormat="0" applyBorder="0" applyAlignment="0" applyProtection="0"/>
    <xf numFmtId="10" fontId="11" fillId="3" borderId="1" applyNumberFormat="0" applyBorder="0" applyAlignment="0" applyProtection="0"/>
    <xf numFmtId="38" fontId="10" fillId="0" borderId="0" applyFont="0" applyFill="0" applyBorder="0" applyAlignment="0" applyProtection="0"/>
    <xf numFmtId="40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9" fontId="9" fillId="0" borderId="0"/>
    <xf numFmtId="0" fontId="8" fillId="0" borderId="0"/>
    <xf numFmtId="10" fontId="9" fillId="0" borderId="0" applyFont="0" applyFill="0" applyBorder="0" applyAlignment="0" applyProtection="0"/>
    <xf numFmtId="9" fontId="10" fillId="0" borderId="2" applyNumberFormat="0" applyBorder="0"/>
    <xf numFmtId="176" fontId="5" fillId="0" borderId="0" applyFont="0" applyFill="0" applyBorder="0" applyAlignment="0" applyProtection="0"/>
    <xf numFmtId="0" fontId="5" fillId="0" borderId="0"/>
    <xf numFmtId="0" fontId="26" fillId="0" borderId="0">
      <alignment vertical="center"/>
    </xf>
    <xf numFmtId="0" fontId="3" fillId="0" borderId="0">
      <alignment vertical="center"/>
    </xf>
    <xf numFmtId="0" fontId="5" fillId="0" borderId="0"/>
    <xf numFmtId="176" fontId="5" fillId="0" borderId="0" applyFont="0" applyFill="0" applyBorder="0" applyAlignment="0" applyProtection="0"/>
    <xf numFmtId="0" fontId="2" fillId="0" borderId="0">
      <alignment vertical="center"/>
    </xf>
    <xf numFmtId="0" fontId="37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176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94">
    <xf numFmtId="0" fontId="0" fillId="0" borderId="0" xfId="0"/>
    <xf numFmtId="176" fontId="13" fillId="0" borderId="0" xfId="0" applyNumberFormat="1" applyFont="1" applyBorder="1" applyAlignment="1">
      <alignment horizontal="center" vertical="center"/>
    </xf>
    <xf numFmtId="176" fontId="15" fillId="0" borderId="1" xfId="0" applyNumberFormat="1" applyFont="1" applyBorder="1" applyAlignment="1">
      <alignment horizontal="center" vertical="center"/>
    </xf>
    <xf numFmtId="176" fontId="14" fillId="4" borderId="3" xfId="0" applyNumberFormat="1" applyFont="1" applyFill="1" applyBorder="1" applyAlignment="1">
      <alignment horizontal="center" vertical="center"/>
    </xf>
    <xf numFmtId="176" fontId="13" fillId="5" borderId="3" xfId="0" applyNumberFormat="1" applyFont="1" applyFill="1" applyBorder="1" applyAlignment="1">
      <alignment horizontal="right" vertical="center"/>
    </xf>
    <xf numFmtId="176" fontId="15" fillId="5" borderId="4" xfId="0" applyNumberFormat="1" applyFont="1" applyFill="1" applyBorder="1" applyAlignment="1">
      <alignment horizontal="center" vertical="center"/>
    </xf>
    <xf numFmtId="176" fontId="15" fillId="5" borderId="1" xfId="0" applyNumberFormat="1" applyFont="1" applyFill="1" applyBorder="1" applyAlignment="1">
      <alignment horizontal="center" vertical="center"/>
    </xf>
    <xf numFmtId="176" fontId="13" fillId="5" borderId="0" xfId="0" applyNumberFormat="1" applyFont="1" applyFill="1" applyBorder="1" applyAlignment="1">
      <alignment horizontal="center" vertical="center"/>
    </xf>
    <xf numFmtId="0" fontId="16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 vertical="center"/>
    </xf>
    <xf numFmtId="180" fontId="6" fillId="0" borderId="0" xfId="0" applyNumberFormat="1" applyFont="1" applyAlignment="1">
      <alignment horizontal="right" vertical="center"/>
    </xf>
    <xf numFmtId="176" fontId="14" fillId="4" borderId="3" xfId="0" applyNumberFormat="1" applyFont="1" applyFill="1" applyBorder="1" applyAlignment="1">
      <alignment horizontal="right" vertical="center"/>
    </xf>
    <xf numFmtId="176" fontId="17" fillId="4" borderId="1" xfId="0" applyNumberFormat="1" applyFont="1" applyFill="1" applyBorder="1" applyAlignment="1">
      <alignment horizontal="right" vertical="center"/>
    </xf>
    <xf numFmtId="176" fontId="13" fillId="0" borderId="0" xfId="0" applyNumberFormat="1" applyFont="1" applyBorder="1" applyAlignment="1">
      <alignment horizontal="right" vertical="center"/>
    </xf>
    <xf numFmtId="9" fontId="14" fillId="4" borderId="5" xfId="0" quotePrefix="1" applyNumberFormat="1" applyFont="1" applyFill="1" applyBorder="1" applyAlignment="1">
      <alignment horizontal="right" vertical="center"/>
    </xf>
    <xf numFmtId="176" fontId="14" fillId="5" borderId="6" xfId="0" applyNumberFormat="1" applyFont="1" applyFill="1" applyBorder="1" applyAlignment="1">
      <alignment horizontal="right" vertical="center"/>
    </xf>
    <xf numFmtId="9" fontId="13" fillId="5" borderId="5" xfId="0" quotePrefix="1" applyNumberFormat="1" applyFont="1" applyFill="1" applyBorder="1" applyAlignment="1">
      <alignment horizontal="right" vertical="center"/>
    </xf>
    <xf numFmtId="176" fontId="6" fillId="5" borderId="1" xfId="0" applyNumberFormat="1" applyFont="1" applyFill="1" applyBorder="1" applyAlignment="1">
      <alignment horizontal="right" vertical="center"/>
    </xf>
    <xf numFmtId="176" fontId="13" fillId="0" borderId="3" xfId="0" applyNumberFormat="1" applyFont="1" applyBorder="1" applyAlignment="1">
      <alignment horizontal="right" vertical="center"/>
    </xf>
    <xf numFmtId="176" fontId="13" fillId="0" borderId="3" xfId="0" applyNumberFormat="1" applyFont="1" applyFill="1" applyBorder="1" applyAlignment="1">
      <alignment horizontal="right" vertical="center"/>
    </xf>
    <xf numFmtId="9" fontId="13" fillId="0" borderId="5" xfId="0" quotePrefix="1" applyNumberFormat="1" applyFont="1" applyFill="1" applyBorder="1" applyAlignment="1">
      <alignment horizontal="right" vertical="center"/>
    </xf>
    <xf numFmtId="176" fontId="6" fillId="0" borderId="1" xfId="0" applyNumberFormat="1" applyFont="1" applyFill="1" applyBorder="1" applyAlignment="1">
      <alignment horizontal="right" vertical="center"/>
    </xf>
    <xf numFmtId="9" fontId="17" fillId="4" borderId="7" xfId="0" applyNumberFormat="1" applyFont="1" applyFill="1" applyBorder="1" applyAlignment="1">
      <alignment horizontal="right" vertical="center"/>
    </xf>
    <xf numFmtId="9" fontId="6" fillId="5" borderId="7" xfId="0" applyNumberFormat="1" applyFont="1" applyFill="1" applyBorder="1" applyAlignment="1">
      <alignment horizontal="right" vertical="center"/>
    </xf>
    <xf numFmtId="9" fontId="6" fillId="0" borderId="7" xfId="0" applyNumberFormat="1" applyFont="1" applyFill="1" applyBorder="1" applyAlignment="1">
      <alignment horizontal="right" vertical="center"/>
    </xf>
    <xf numFmtId="0" fontId="14" fillId="5" borderId="10" xfId="0" applyFont="1" applyFill="1" applyBorder="1" applyAlignment="1">
      <alignment horizontal="left"/>
    </xf>
    <xf numFmtId="0" fontId="13" fillId="5" borderId="0" xfId="0" applyFont="1" applyFill="1" applyBorder="1" applyAlignment="1">
      <alignment horizontal="center"/>
    </xf>
    <xf numFmtId="176" fontId="13" fillId="0" borderId="0" xfId="0" applyNumberFormat="1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right" vertical="center"/>
    </xf>
    <xf numFmtId="181" fontId="14" fillId="0" borderId="0" xfId="0" applyNumberFormat="1" applyFont="1" applyFill="1" applyBorder="1" applyAlignment="1">
      <alignment horizontal="right" vertical="center"/>
    </xf>
    <xf numFmtId="9" fontId="14" fillId="0" borderId="0" xfId="0" quotePrefix="1" applyNumberFormat="1" applyFont="1" applyFill="1" applyBorder="1" applyAlignment="1">
      <alignment horizontal="right" vertical="center"/>
    </xf>
    <xf numFmtId="176" fontId="17" fillId="0" borderId="0" xfId="0" applyNumberFormat="1" applyFont="1" applyFill="1" applyBorder="1" applyAlignment="1">
      <alignment horizontal="right" vertical="center"/>
    </xf>
    <xf numFmtId="9" fontId="17" fillId="0" borderId="0" xfId="0" applyNumberFormat="1" applyFont="1" applyFill="1" applyBorder="1" applyAlignment="1">
      <alignment horizontal="right" vertical="center"/>
    </xf>
    <xf numFmtId="176" fontId="14" fillId="6" borderId="15" xfId="0" quotePrefix="1" applyNumberFormat="1" applyFont="1" applyFill="1" applyBorder="1" applyAlignment="1">
      <alignment horizontal="center" vertical="center"/>
    </xf>
    <xf numFmtId="176" fontId="14" fillId="6" borderId="16" xfId="0" applyNumberFormat="1" applyFont="1" applyFill="1" applyBorder="1" applyAlignment="1">
      <alignment horizontal="center" vertical="center"/>
    </xf>
    <xf numFmtId="176" fontId="14" fillId="6" borderId="1" xfId="0" applyNumberFormat="1" applyFont="1" applyFill="1" applyBorder="1" applyAlignment="1">
      <alignment horizontal="center" vertical="center"/>
    </xf>
    <xf numFmtId="9" fontId="14" fillId="6" borderId="5" xfId="0" applyNumberFormat="1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180" fontId="14" fillId="6" borderId="7" xfId="0" applyNumberFormat="1" applyFont="1" applyFill="1" applyBorder="1" applyAlignment="1">
      <alignment horizontal="center" vertical="center"/>
    </xf>
    <xf numFmtId="182" fontId="14" fillId="4" borderId="3" xfId="0" applyNumberFormat="1" applyFont="1" applyFill="1" applyBorder="1" applyAlignment="1">
      <alignment horizontal="right" vertical="center"/>
    </xf>
    <xf numFmtId="182" fontId="13" fillId="0" borderId="4" xfId="0" applyNumberFormat="1" applyFont="1" applyBorder="1" applyAlignment="1">
      <alignment horizontal="right" vertical="center"/>
    </xf>
    <xf numFmtId="182" fontId="13" fillId="0" borderId="1" xfId="0" applyNumberFormat="1" applyFont="1" applyBorder="1" applyAlignment="1">
      <alignment horizontal="right" vertical="center"/>
    </xf>
    <xf numFmtId="0" fontId="13" fillId="0" borderId="0" xfId="0" applyFont="1" applyAlignment="1">
      <alignment horizontal="center" vertical="center"/>
    </xf>
    <xf numFmtId="9" fontId="6" fillId="5" borderId="1" xfId="0" applyNumberFormat="1" applyFont="1" applyFill="1" applyBorder="1" applyAlignment="1">
      <alignment horizontal="right" vertical="center"/>
    </xf>
    <xf numFmtId="176" fontId="15" fillId="0" borderId="1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176" fontId="13" fillId="0" borderId="4" xfId="0" applyNumberFormat="1" applyFont="1" applyFill="1" applyBorder="1" applyAlignment="1">
      <alignment horizontal="center" vertical="center"/>
    </xf>
    <xf numFmtId="176" fontId="13" fillId="0" borderId="1" xfId="0" applyNumberFormat="1" applyFont="1" applyFill="1" applyBorder="1" applyAlignment="1">
      <alignment horizontal="center" vertical="center"/>
    </xf>
    <xf numFmtId="41" fontId="13" fillId="0" borderId="1" xfId="0" applyNumberFormat="1" applyFont="1" applyFill="1" applyBorder="1" applyAlignment="1">
      <alignment horizontal="center" vertical="center"/>
    </xf>
    <xf numFmtId="0" fontId="21" fillId="0" borderId="0" xfId="0" applyFont="1"/>
    <xf numFmtId="0" fontId="5" fillId="0" borderId="0" xfId="16"/>
    <xf numFmtId="0" fontId="24" fillId="6" borderId="19" xfId="0" applyFont="1" applyFill="1" applyBorder="1" applyAlignment="1">
      <alignment horizontal="center" vertical="center"/>
    </xf>
    <xf numFmtId="180" fontId="24" fillId="6" borderId="20" xfId="0" quotePrefix="1" applyNumberFormat="1" applyFont="1" applyFill="1" applyBorder="1" applyAlignment="1">
      <alignment horizontal="center" vertical="center"/>
    </xf>
    <xf numFmtId="0" fontId="24" fillId="4" borderId="19" xfId="0" applyFont="1" applyFill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183" fontId="25" fillId="0" borderId="0" xfId="0" applyNumberFormat="1" applyFont="1" applyBorder="1" applyAlignment="1">
      <alignment vertical="center"/>
    </xf>
    <xf numFmtId="0" fontId="5" fillId="0" borderId="0" xfId="16" applyAlignment="1">
      <alignment horizontal="right"/>
    </xf>
    <xf numFmtId="180" fontId="5" fillId="0" borderId="0" xfId="16" applyNumberFormat="1" applyAlignment="1">
      <alignment horizontal="right"/>
    </xf>
    <xf numFmtId="0" fontId="6" fillId="0" borderId="0" xfId="16" applyFont="1" applyAlignment="1">
      <alignment horizontal="right" vertical="center"/>
    </xf>
    <xf numFmtId="180" fontId="6" fillId="0" borderId="0" xfId="16" applyNumberFormat="1" applyFont="1" applyAlignment="1">
      <alignment horizontal="right" vertical="center"/>
    </xf>
    <xf numFmtId="0" fontId="18" fillId="0" borderId="0" xfId="16" applyFont="1" applyAlignment="1">
      <alignment vertical="center"/>
    </xf>
    <xf numFmtId="0" fontId="16" fillId="0" borderId="0" xfId="16" applyFont="1" applyAlignment="1">
      <alignment vertical="center"/>
    </xf>
    <xf numFmtId="0" fontId="26" fillId="0" borderId="0" xfId="17">
      <alignment vertical="center"/>
    </xf>
    <xf numFmtId="0" fontId="26" fillId="0" borderId="0" xfId="17" applyAlignment="1">
      <alignment horizontal="right"/>
    </xf>
    <xf numFmtId="180" fontId="26" fillId="0" borderId="0" xfId="17" applyNumberFormat="1" applyAlignment="1">
      <alignment horizontal="right"/>
    </xf>
    <xf numFmtId="0" fontId="6" fillId="0" borderId="0" xfId="17" applyFont="1" applyAlignment="1">
      <alignment horizontal="right" vertical="center"/>
    </xf>
    <xf numFmtId="180" fontId="6" fillId="0" borderId="0" xfId="17" applyNumberFormat="1" applyFont="1" applyAlignment="1">
      <alignment horizontal="right" vertical="center"/>
    </xf>
    <xf numFmtId="0" fontId="28" fillId="0" borderId="22" xfId="0" applyFont="1" applyBorder="1" applyAlignment="1">
      <alignment horizontal="center" vertical="center"/>
    </xf>
    <xf numFmtId="0" fontId="29" fillId="0" borderId="0" xfId="17" applyFont="1">
      <alignment vertical="center"/>
    </xf>
    <xf numFmtId="182" fontId="30" fillId="0" borderId="4" xfId="0" applyNumberFormat="1" applyFont="1" applyFill="1" applyBorder="1" applyAlignment="1">
      <alignment horizontal="right" vertical="center"/>
    </xf>
    <xf numFmtId="9" fontId="30" fillId="0" borderId="5" xfId="0" quotePrefix="1" applyNumberFormat="1" applyFont="1" applyFill="1" applyBorder="1" applyAlignment="1">
      <alignment horizontal="right" vertical="center"/>
    </xf>
    <xf numFmtId="9" fontId="31" fillId="0" borderId="7" xfId="0" applyNumberFormat="1" applyFont="1" applyFill="1" applyBorder="1" applyAlignment="1">
      <alignment horizontal="right" vertical="center"/>
    </xf>
    <xf numFmtId="182" fontId="30" fillId="5" borderId="4" xfId="0" applyNumberFormat="1" applyFont="1" applyFill="1" applyBorder="1" applyAlignment="1">
      <alignment horizontal="right" vertical="center"/>
    </xf>
    <xf numFmtId="9" fontId="30" fillId="5" borderId="5" xfId="0" quotePrefix="1" applyNumberFormat="1" applyFont="1" applyFill="1" applyBorder="1" applyAlignment="1">
      <alignment horizontal="right" vertical="center"/>
    </xf>
    <xf numFmtId="9" fontId="31" fillId="5" borderId="7" xfId="0" applyNumberFormat="1" applyFont="1" applyFill="1" applyBorder="1" applyAlignment="1">
      <alignment horizontal="right" vertical="center"/>
    </xf>
    <xf numFmtId="176" fontId="32" fillId="0" borderId="4" xfId="0" applyNumberFormat="1" applyFont="1" applyFill="1" applyBorder="1" applyAlignment="1">
      <alignment horizontal="center" vertical="center"/>
    </xf>
    <xf numFmtId="176" fontId="32" fillId="5" borderId="4" xfId="0" applyNumberFormat="1" applyFont="1" applyFill="1" applyBorder="1" applyAlignment="1">
      <alignment horizontal="center" vertical="center"/>
    </xf>
    <xf numFmtId="176" fontId="32" fillId="5" borderId="1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right" vertical="center"/>
    </xf>
    <xf numFmtId="9" fontId="31" fillId="5" borderId="1" xfId="0" applyNumberFormat="1" applyFont="1" applyFill="1" applyBorder="1" applyAlignment="1">
      <alignment horizontal="right" vertical="center"/>
    </xf>
    <xf numFmtId="176" fontId="31" fillId="5" borderId="1" xfId="0" applyNumberFormat="1" applyFont="1" applyFill="1" applyBorder="1" applyAlignment="1">
      <alignment horizontal="right" vertical="center"/>
    </xf>
    <xf numFmtId="176" fontId="14" fillId="4" borderId="3" xfId="0" applyNumberFormat="1" applyFont="1" applyFill="1" applyBorder="1" applyAlignment="1">
      <alignment horizontal="center" vertical="center" shrinkToFit="1"/>
    </xf>
    <xf numFmtId="176" fontId="14" fillId="4" borderId="3" xfId="0" applyNumberFormat="1" applyFont="1" applyFill="1" applyBorder="1" applyAlignment="1">
      <alignment horizontal="right" vertical="center" shrinkToFit="1"/>
    </xf>
    <xf numFmtId="9" fontId="14" fillId="4" borderId="5" xfId="0" quotePrefix="1" applyNumberFormat="1" applyFont="1" applyFill="1" applyBorder="1" applyAlignment="1">
      <alignment horizontal="right" vertical="center" shrinkToFit="1"/>
    </xf>
    <xf numFmtId="176" fontId="17" fillId="4" borderId="1" xfId="0" applyNumberFormat="1" applyFont="1" applyFill="1" applyBorder="1" applyAlignment="1">
      <alignment horizontal="right" vertical="center" shrinkToFit="1"/>
    </xf>
    <xf numFmtId="0" fontId="18" fillId="0" borderId="0" xfId="16" applyFont="1" applyAlignment="1">
      <alignment horizontal="left" vertical="center"/>
    </xf>
    <xf numFmtId="0" fontId="18" fillId="0" borderId="0" xfId="0" applyFont="1" applyAlignment="1">
      <alignment horizontal="left" vertical="top"/>
    </xf>
    <xf numFmtId="0" fontId="0" fillId="0" borderId="0" xfId="16" applyFont="1"/>
    <xf numFmtId="0" fontId="0" fillId="0" borderId="0" xfId="0" applyFont="1"/>
    <xf numFmtId="181" fontId="14" fillId="4" borderId="12" xfId="0" applyNumberFormat="1" applyFont="1" applyFill="1" applyBorder="1" applyAlignment="1">
      <alignment horizontal="right" vertical="center"/>
    </xf>
    <xf numFmtId="176" fontId="14" fillId="4" borderId="24" xfId="0" applyNumberFormat="1" applyFont="1" applyFill="1" applyBorder="1" applyAlignment="1">
      <alignment horizontal="right" vertical="center" shrinkToFit="1"/>
    </xf>
    <xf numFmtId="9" fontId="14" fillId="4" borderId="13" xfId="0" quotePrefix="1" applyNumberFormat="1" applyFont="1" applyFill="1" applyBorder="1" applyAlignment="1">
      <alignment horizontal="right" vertical="center"/>
    </xf>
    <xf numFmtId="176" fontId="17" fillId="4" borderId="12" xfId="0" applyNumberFormat="1" applyFont="1" applyFill="1" applyBorder="1" applyAlignment="1">
      <alignment horizontal="right" vertical="center"/>
    </xf>
    <xf numFmtId="9" fontId="17" fillId="4" borderId="14" xfId="0" applyNumberFormat="1" applyFont="1" applyFill="1" applyBorder="1" applyAlignment="1">
      <alignment horizontal="right" vertical="center"/>
    </xf>
    <xf numFmtId="180" fontId="0" fillId="0" borderId="18" xfId="0" applyNumberFormat="1" applyBorder="1" applyAlignment="1">
      <alignment horizontal="center"/>
    </xf>
    <xf numFmtId="176" fontId="36" fillId="6" borderId="1" xfId="17" applyNumberFormat="1" applyFont="1" applyFill="1" applyBorder="1" applyAlignment="1">
      <alignment horizontal="center" vertical="center"/>
    </xf>
    <xf numFmtId="183" fontId="25" fillId="0" borderId="12" xfId="0" applyNumberFormat="1" applyFont="1" applyBorder="1" applyAlignment="1">
      <alignment horizontal="right" vertical="center"/>
    </xf>
    <xf numFmtId="183" fontId="33" fillId="0" borderId="23" xfId="0" applyNumberFormat="1" applyFont="1" applyBorder="1" applyAlignment="1">
      <alignment horizontal="right" vertical="center"/>
    </xf>
    <xf numFmtId="183" fontId="25" fillId="0" borderId="12" xfId="0" applyNumberFormat="1" applyFont="1" applyBorder="1" applyAlignment="1">
      <alignment horizontal="right" vertical="center" shrinkToFit="1"/>
    </xf>
    <xf numFmtId="183" fontId="33" fillId="0" borderId="23" xfId="0" applyNumberFormat="1" applyFont="1" applyBorder="1" applyAlignment="1">
      <alignment horizontal="right" vertical="center" shrinkToFit="1"/>
    </xf>
    <xf numFmtId="176" fontId="35" fillId="0" borderId="23" xfId="15" applyFont="1" applyBorder="1" applyAlignment="1">
      <alignment horizontal="right" vertical="center" shrinkToFit="1"/>
    </xf>
    <xf numFmtId="176" fontId="14" fillId="6" borderId="17" xfId="0" applyNumberFormat="1" applyFont="1" applyFill="1" applyBorder="1" applyAlignment="1">
      <alignment horizontal="center" vertical="center"/>
    </xf>
    <xf numFmtId="176" fontId="14" fillId="6" borderId="5" xfId="0" applyNumberFormat="1" applyFont="1" applyFill="1" applyBorder="1" applyAlignment="1">
      <alignment horizontal="center" vertical="center"/>
    </xf>
    <xf numFmtId="0" fontId="26" fillId="0" borderId="0" xfId="17" applyFont="1">
      <alignment vertical="center"/>
    </xf>
    <xf numFmtId="186" fontId="24" fillId="6" borderId="21" xfId="0" applyNumberFormat="1" applyFont="1" applyFill="1" applyBorder="1" applyAlignment="1">
      <alignment horizontal="center" vertical="center"/>
    </xf>
    <xf numFmtId="187" fontId="24" fillId="6" borderId="21" xfId="0" quotePrefix="1" applyNumberFormat="1" applyFont="1" applyFill="1" applyBorder="1" applyAlignment="1">
      <alignment horizontal="center" vertical="center"/>
    </xf>
    <xf numFmtId="184" fontId="14" fillId="5" borderId="12" xfId="17" quotePrefix="1" applyNumberFormat="1" applyFont="1" applyFill="1" applyBorder="1" applyAlignment="1">
      <alignment horizontal="right" vertical="center" shrinkToFit="1"/>
    </xf>
    <xf numFmtId="184" fontId="14" fillId="5" borderId="14" xfId="17" quotePrefix="1" applyNumberFormat="1" applyFont="1" applyFill="1" applyBorder="1" applyAlignment="1">
      <alignment horizontal="right" vertical="center" shrinkToFit="1"/>
    </xf>
    <xf numFmtId="176" fontId="13" fillId="5" borderId="1" xfId="0" applyNumberFormat="1" applyFont="1" applyFill="1" applyBorder="1" applyAlignment="1">
      <alignment horizontal="right" vertical="center"/>
    </xf>
    <xf numFmtId="3" fontId="0" fillId="0" borderId="0" xfId="0" applyNumberFormat="1"/>
    <xf numFmtId="188" fontId="13" fillId="0" borderId="4" xfId="0" applyNumberFormat="1" applyFont="1" applyBorder="1" applyAlignment="1">
      <alignment horizontal="right" vertical="center"/>
    </xf>
    <xf numFmtId="182" fontId="13" fillId="5" borderId="3" xfId="0" applyNumberFormat="1" applyFont="1" applyFill="1" applyBorder="1" applyAlignment="1">
      <alignment horizontal="right" vertical="center"/>
    </xf>
    <xf numFmtId="182" fontId="13" fillId="0" borderId="3" xfId="0" applyNumberFormat="1" applyFont="1" applyFill="1" applyBorder="1" applyAlignment="1">
      <alignment horizontal="right" vertical="center"/>
    </xf>
    <xf numFmtId="182" fontId="30" fillId="5" borderId="3" xfId="0" applyNumberFormat="1" applyFont="1" applyFill="1" applyBorder="1" applyAlignment="1">
      <alignment horizontal="right" vertical="center"/>
    </xf>
    <xf numFmtId="182" fontId="30" fillId="0" borderId="3" xfId="0" applyNumberFormat="1" applyFont="1" applyFill="1" applyBorder="1" applyAlignment="1">
      <alignment horizontal="right" vertical="center"/>
    </xf>
    <xf numFmtId="182" fontId="31" fillId="5" borderId="1" xfId="0" applyNumberFormat="1" applyFont="1" applyFill="1" applyBorder="1" applyAlignment="1">
      <alignment horizontal="right" vertical="center"/>
    </xf>
    <xf numFmtId="182" fontId="6" fillId="5" borderId="1" xfId="0" applyNumberFormat="1" applyFont="1" applyFill="1" applyBorder="1" applyAlignment="1">
      <alignment horizontal="right" vertical="center"/>
    </xf>
    <xf numFmtId="182" fontId="31" fillId="0" borderId="1" xfId="0" applyNumberFormat="1" applyFont="1" applyFill="1" applyBorder="1" applyAlignment="1">
      <alignment horizontal="right" vertical="center"/>
    </xf>
    <xf numFmtId="182" fontId="17" fillId="4" borderId="1" xfId="0" applyNumberFormat="1" applyFont="1" applyFill="1" applyBorder="1" applyAlignment="1">
      <alignment horizontal="right" vertical="center"/>
    </xf>
    <xf numFmtId="176" fontId="13" fillId="7" borderId="9" xfId="0" applyNumberFormat="1" applyFont="1" applyFill="1" applyBorder="1" applyAlignment="1">
      <alignment horizontal="center" vertical="center"/>
    </xf>
    <xf numFmtId="176" fontId="13" fillId="7" borderId="8" xfId="0" applyNumberFormat="1" applyFont="1" applyFill="1" applyBorder="1" applyAlignment="1">
      <alignment horizontal="center" vertical="center"/>
    </xf>
    <xf numFmtId="176" fontId="14" fillId="7" borderId="8" xfId="0" applyNumberFormat="1" applyFont="1" applyFill="1" applyBorder="1" applyAlignment="1">
      <alignment horizontal="left" vertical="center"/>
    </xf>
    <xf numFmtId="176" fontId="13" fillId="7" borderId="8" xfId="0" applyNumberFormat="1" applyFont="1" applyFill="1" applyBorder="1" applyAlignment="1">
      <alignment horizontal="left" vertical="center"/>
    </xf>
    <xf numFmtId="176" fontId="13" fillId="7" borderId="11" xfId="0" applyNumberFormat="1" applyFont="1" applyFill="1" applyBorder="1" applyAlignment="1">
      <alignment vertical="center"/>
    </xf>
    <xf numFmtId="183" fontId="35" fillId="0" borderId="12" xfId="0" applyNumberFormat="1" applyFont="1" applyBorder="1" applyAlignment="1">
      <alignment horizontal="right" vertical="center"/>
    </xf>
    <xf numFmtId="176" fontId="25" fillId="0" borderId="12" xfId="15" applyFont="1" applyBorder="1" applyAlignment="1">
      <alignment horizontal="right" vertical="center"/>
    </xf>
    <xf numFmtId="41" fontId="25" fillId="8" borderId="0" xfId="40" applyFont="1" applyFill="1" applyBorder="1" applyAlignment="1">
      <alignment horizontal="center" vertical="center"/>
    </xf>
    <xf numFmtId="176" fontId="14" fillId="6" borderId="20" xfId="17" quotePrefix="1" applyNumberFormat="1" applyFont="1" applyFill="1" applyBorder="1" applyAlignment="1">
      <alignment horizontal="center" vertical="center"/>
    </xf>
    <xf numFmtId="176" fontId="14" fillId="6" borderId="1" xfId="17" applyNumberFormat="1" applyFont="1" applyFill="1" applyBorder="1" applyAlignment="1">
      <alignment horizontal="center" vertical="center"/>
    </xf>
    <xf numFmtId="9" fontId="14" fillId="6" borderId="1" xfId="17" applyNumberFormat="1" applyFont="1" applyFill="1" applyBorder="1" applyAlignment="1">
      <alignment horizontal="center" vertical="center"/>
    </xf>
    <xf numFmtId="0" fontId="17" fillId="6" borderId="1" xfId="17" applyFont="1" applyFill="1" applyBorder="1" applyAlignment="1">
      <alignment horizontal="center" vertical="center"/>
    </xf>
    <xf numFmtId="0" fontId="24" fillId="5" borderId="1" xfId="17" applyFont="1" applyFill="1" applyBorder="1" applyAlignment="1">
      <alignment horizontal="center" vertical="center"/>
    </xf>
    <xf numFmtId="185" fontId="14" fillId="4" borderId="1" xfId="17" applyNumberFormat="1" applyFont="1" applyFill="1" applyBorder="1" applyAlignment="1">
      <alignment horizontal="right" vertical="center" shrinkToFit="1"/>
    </xf>
    <xf numFmtId="184" fontId="14" fillId="4" borderId="1" xfId="17" quotePrefix="1" applyNumberFormat="1" applyFont="1" applyFill="1" applyBorder="1" applyAlignment="1">
      <alignment horizontal="right" vertical="center" shrinkToFit="1"/>
    </xf>
    <xf numFmtId="176" fontId="17" fillId="4" borderId="1" xfId="17" applyNumberFormat="1" applyFont="1" applyFill="1" applyBorder="1" applyAlignment="1">
      <alignment horizontal="right" vertical="center" shrinkToFit="1"/>
    </xf>
    <xf numFmtId="185" fontId="14" fillId="5" borderId="1" xfId="17" applyNumberFormat="1" applyFont="1" applyFill="1" applyBorder="1" applyAlignment="1">
      <alignment horizontal="right" vertical="center" shrinkToFit="1"/>
    </xf>
    <xf numFmtId="184" fontId="14" fillId="5" borderId="1" xfId="17" quotePrefix="1" applyNumberFormat="1" applyFont="1" applyFill="1" applyBorder="1" applyAlignment="1">
      <alignment horizontal="right" vertical="center" shrinkToFit="1"/>
    </xf>
    <xf numFmtId="176" fontId="17" fillId="5" borderId="1" xfId="17" applyNumberFormat="1" applyFont="1" applyFill="1" applyBorder="1" applyAlignment="1">
      <alignment horizontal="right" vertical="center" shrinkToFit="1"/>
    </xf>
    <xf numFmtId="183" fontId="24" fillId="4" borderId="1" xfId="17" applyNumberFormat="1" applyFont="1" applyFill="1" applyBorder="1" applyAlignment="1">
      <alignment vertical="center" shrinkToFit="1"/>
    </xf>
    <xf numFmtId="0" fontId="24" fillId="0" borderId="1" xfId="17" applyFont="1" applyFill="1" applyBorder="1" applyAlignment="1">
      <alignment horizontal="center" vertical="center"/>
    </xf>
    <xf numFmtId="185" fontId="14" fillId="0" borderId="1" xfId="17" applyNumberFormat="1" applyFont="1" applyFill="1" applyBorder="1" applyAlignment="1">
      <alignment horizontal="right" vertical="center" shrinkToFit="1"/>
    </xf>
    <xf numFmtId="41" fontId="25" fillId="0" borderId="1" xfId="17" applyNumberFormat="1" applyFont="1" applyBorder="1" applyAlignment="1">
      <alignment vertical="center" shrinkToFit="1"/>
    </xf>
    <xf numFmtId="180" fontId="14" fillId="6" borderId="7" xfId="17" applyNumberFormat="1" applyFont="1" applyFill="1" applyBorder="1" applyAlignment="1">
      <alignment horizontal="center" vertical="center"/>
    </xf>
    <xf numFmtId="184" fontId="14" fillId="4" borderId="7" xfId="17" quotePrefix="1" applyNumberFormat="1" applyFont="1" applyFill="1" applyBorder="1" applyAlignment="1">
      <alignment horizontal="right" vertical="center" shrinkToFit="1"/>
    </xf>
    <xf numFmtId="184" fontId="14" fillId="5" borderId="7" xfId="17" quotePrefix="1" applyNumberFormat="1" applyFont="1" applyFill="1" applyBorder="1" applyAlignment="1">
      <alignment horizontal="right" vertical="center" shrinkToFit="1"/>
    </xf>
    <xf numFmtId="184" fontId="14" fillId="5" borderId="7" xfId="17" quotePrefix="1" applyNumberFormat="1" applyFont="1" applyFill="1" applyBorder="1" applyAlignment="1">
      <alignment horizontal="right" vertical="center"/>
    </xf>
    <xf numFmtId="0" fontId="24" fillId="5" borderId="12" xfId="17" applyFont="1" applyFill="1" applyBorder="1" applyAlignment="1">
      <alignment horizontal="center" vertical="center"/>
    </xf>
    <xf numFmtId="185" fontId="14" fillId="5" borderId="12" xfId="17" applyNumberFormat="1" applyFont="1" applyFill="1" applyBorder="1" applyAlignment="1">
      <alignment horizontal="right" vertical="center" shrinkToFit="1"/>
    </xf>
    <xf numFmtId="176" fontId="17" fillId="5" borderId="12" xfId="17" applyNumberFormat="1" applyFont="1" applyFill="1" applyBorder="1" applyAlignment="1">
      <alignment horizontal="right" vertical="center" shrinkToFit="1"/>
    </xf>
    <xf numFmtId="41" fontId="25" fillId="0" borderId="7" xfId="17" applyNumberFormat="1" applyFont="1" applyBorder="1" applyAlignment="1">
      <alignment vertical="center" shrinkToFit="1"/>
    </xf>
    <xf numFmtId="0" fontId="24" fillId="4" borderId="1" xfId="17" applyFont="1" applyFill="1" applyBorder="1" applyAlignment="1">
      <alignment horizontal="center" vertical="center"/>
    </xf>
    <xf numFmtId="41" fontId="25" fillId="8" borderId="39" xfId="40" applyFont="1" applyFill="1" applyBorder="1" applyAlignment="1">
      <alignment horizontal="center" vertical="center"/>
    </xf>
    <xf numFmtId="41" fontId="25" fillId="8" borderId="40" xfId="40" applyFont="1" applyFill="1" applyBorder="1" applyAlignment="1">
      <alignment horizontal="center" vertical="center"/>
    </xf>
    <xf numFmtId="189" fontId="38" fillId="8" borderId="1" xfId="39" applyNumberFormat="1" applyFont="1" applyFill="1" applyBorder="1" applyAlignment="1">
      <alignment horizontal="right" vertical="center"/>
    </xf>
    <xf numFmtId="182" fontId="39" fillId="8" borderId="1" xfId="41" applyNumberFormat="1" applyFont="1" applyFill="1" applyBorder="1" applyAlignment="1">
      <alignment horizontal="right" vertical="center"/>
    </xf>
    <xf numFmtId="182" fontId="39" fillId="8" borderId="1" xfId="55" applyNumberFormat="1" applyFont="1" applyFill="1" applyBorder="1" applyAlignment="1">
      <alignment horizontal="right" vertical="center"/>
    </xf>
    <xf numFmtId="182" fontId="39" fillId="8" borderId="1" xfId="55" applyNumberFormat="1" applyFont="1" applyFill="1" applyBorder="1" applyAlignment="1">
      <alignment horizontal="right" vertical="center"/>
    </xf>
    <xf numFmtId="189" fontId="25" fillId="8" borderId="1" xfId="39" applyNumberFormat="1" applyFont="1" applyFill="1" applyBorder="1" applyAlignment="1">
      <alignment horizontal="right" vertical="center"/>
    </xf>
    <xf numFmtId="41" fontId="25" fillId="8" borderId="39" xfId="23" applyFont="1" applyFill="1" applyBorder="1" applyAlignment="1">
      <alignment horizontal="right" vertical="center"/>
    </xf>
    <xf numFmtId="41" fontId="25" fillId="8" borderId="39" xfId="23" applyFont="1" applyFill="1" applyBorder="1" applyAlignment="1">
      <alignment horizontal="right" vertical="center"/>
    </xf>
    <xf numFmtId="41" fontId="25" fillId="8" borderId="39" xfId="23" applyFont="1" applyFill="1" applyBorder="1" applyAlignment="1">
      <alignment horizontal="right" vertical="center"/>
    </xf>
    <xf numFmtId="41" fontId="25" fillId="8" borderId="39" xfId="23" applyFont="1" applyFill="1" applyBorder="1" applyAlignment="1">
      <alignment horizontal="right" vertical="center"/>
    </xf>
    <xf numFmtId="41" fontId="25" fillId="8" borderId="39" xfId="23" applyFont="1" applyFill="1" applyBorder="1" applyAlignment="1">
      <alignment horizontal="right" vertical="center"/>
    </xf>
    <xf numFmtId="41" fontId="25" fillId="8" borderId="39" xfId="23" applyFont="1" applyFill="1" applyBorder="1" applyAlignment="1">
      <alignment horizontal="right" vertical="center"/>
    </xf>
    <xf numFmtId="41" fontId="25" fillId="8" borderId="39" xfId="23" applyFont="1" applyFill="1" applyBorder="1" applyAlignment="1">
      <alignment horizontal="right" vertical="center"/>
    </xf>
    <xf numFmtId="41" fontId="25" fillId="8" borderId="39" xfId="23" applyFont="1" applyFill="1" applyBorder="1" applyAlignment="1">
      <alignment horizontal="right" vertical="center"/>
    </xf>
    <xf numFmtId="41" fontId="25" fillId="8" borderId="39" xfId="23" applyFont="1" applyFill="1" applyBorder="1" applyAlignment="1">
      <alignment horizontal="right" vertical="center"/>
    </xf>
    <xf numFmtId="41" fontId="25" fillId="8" borderId="39" xfId="23" applyFont="1" applyFill="1" applyBorder="1" applyAlignment="1">
      <alignment horizontal="right" vertical="center"/>
    </xf>
    <xf numFmtId="41" fontId="25" fillId="8" borderId="39" xfId="23" applyFont="1" applyFill="1" applyBorder="1" applyAlignment="1">
      <alignment horizontal="right" vertical="center"/>
    </xf>
    <xf numFmtId="41" fontId="25" fillId="8" borderId="39" xfId="23" applyFont="1" applyFill="1" applyBorder="1" applyAlignment="1">
      <alignment horizontal="right" vertical="center"/>
    </xf>
    <xf numFmtId="41" fontId="25" fillId="8" borderId="39" xfId="23" applyFont="1" applyFill="1" applyBorder="1" applyAlignment="1">
      <alignment horizontal="right" vertical="center"/>
    </xf>
    <xf numFmtId="41" fontId="25" fillId="8" borderId="39" xfId="23" applyFont="1" applyFill="1" applyBorder="1" applyAlignment="1">
      <alignment horizontal="right" vertical="center"/>
    </xf>
    <xf numFmtId="41" fontId="25" fillId="8" borderId="39" xfId="23" applyFont="1" applyFill="1" applyBorder="1" applyAlignment="1">
      <alignment horizontal="right" vertical="center"/>
    </xf>
    <xf numFmtId="41" fontId="25" fillId="8" borderId="39" xfId="23" applyFont="1" applyFill="1" applyBorder="1" applyAlignment="1">
      <alignment horizontal="right" vertical="center"/>
    </xf>
    <xf numFmtId="41" fontId="25" fillId="8" borderId="39" xfId="23" applyFont="1" applyFill="1" applyBorder="1" applyAlignment="1">
      <alignment horizontal="right" vertical="center"/>
    </xf>
    <xf numFmtId="41" fontId="25" fillId="8" borderId="39" xfId="23" applyFont="1" applyFill="1" applyBorder="1" applyAlignment="1">
      <alignment horizontal="right" vertical="center"/>
    </xf>
    <xf numFmtId="41" fontId="25" fillId="8" borderId="39" xfId="23" applyFont="1" applyFill="1" applyBorder="1" applyAlignment="1">
      <alignment vertical="center"/>
    </xf>
    <xf numFmtId="41" fontId="25" fillId="8" borderId="39" xfId="23" applyFont="1" applyFill="1" applyBorder="1" applyAlignment="1">
      <alignment vertical="center"/>
    </xf>
    <xf numFmtId="41" fontId="25" fillId="8" borderId="39" xfId="23" applyFont="1" applyFill="1" applyBorder="1" applyAlignment="1">
      <alignment vertical="center"/>
    </xf>
    <xf numFmtId="41" fontId="25" fillId="8" borderId="39" xfId="23" applyFont="1" applyFill="1" applyBorder="1" applyAlignment="1">
      <alignment vertical="center"/>
    </xf>
    <xf numFmtId="41" fontId="25" fillId="8" borderId="39" xfId="23" applyFont="1" applyFill="1" applyBorder="1" applyAlignment="1">
      <alignment vertical="center"/>
    </xf>
    <xf numFmtId="41" fontId="25" fillId="8" borderId="39" xfId="23" applyFont="1" applyFill="1" applyBorder="1" applyAlignment="1">
      <alignment vertical="center"/>
    </xf>
    <xf numFmtId="41" fontId="25" fillId="8" borderId="39" xfId="23" applyFont="1" applyFill="1" applyBorder="1" applyAlignment="1">
      <alignment vertical="center"/>
    </xf>
    <xf numFmtId="41" fontId="25" fillId="8" borderId="39" xfId="23" applyFont="1" applyFill="1" applyBorder="1" applyAlignment="1">
      <alignment vertical="center"/>
    </xf>
    <xf numFmtId="41" fontId="25" fillId="8" borderId="39" xfId="23" applyFont="1" applyFill="1" applyBorder="1" applyAlignment="1">
      <alignment vertical="center"/>
    </xf>
    <xf numFmtId="41" fontId="25" fillId="8" borderId="39" xfId="23" applyFont="1" applyFill="1" applyBorder="1" applyAlignment="1">
      <alignment vertical="center"/>
    </xf>
    <xf numFmtId="41" fontId="25" fillId="8" borderId="39" xfId="23" applyFont="1" applyFill="1" applyBorder="1" applyAlignment="1">
      <alignment vertical="center"/>
    </xf>
    <xf numFmtId="41" fontId="25" fillId="8" borderId="39" xfId="23" applyFont="1" applyFill="1" applyBorder="1" applyAlignment="1">
      <alignment vertical="center"/>
    </xf>
    <xf numFmtId="41" fontId="25" fillId="8" borderId="39" xfId="23" applyFont="1" applyFill="1" applyBorder="1" applyAlignment="1">
      <alignment vertical="center"/>
    </xf>
    <xf numFmtId="41" fontId="25" fillId="8" borderId="39" xfId="23" applyFont="1" applyFill="1" applyBorder="1" applyAlignment="1">
      <alignment vertical="center"/>
    </xf>
    <xf numFmtId="41" fontId="25" fillId="8" borderId="39" xfId="23" applyFont="1" applyFill="1" applyBorder="1" applyAlignment="1">
      <alignment vertical="center"/>
    </xf>
    <xf numFmtId="41" fontId="25" fillId="8" borderId="39" xfId="23" applyFont="1" applyFill="1" applyBorder="1" applyAlignment="1">
      <alignment vertical="center"/>
    </xf>
    <xf numFmtId="41" fontId="25" fillId="8" borderId="39" xfId="23" applyFont="1" applyFill="1" applyBorder="1" applyAlignment="1">
      <alignment vertical="center"/>
    </xf>
    <xf numFmtId="41" fontId="25" fillId="8" borderId="39" xfId="23" applyFont="1" applyFill="1" applyBorder="1" applyAlignment="1">
      <alignment vertical="center"/>
    </xf>
    <xf numFmtId="176" fontId="13" fillId="0" borderId="4" xfId="15" applyFont="1" applyFill="1" applyBorder="1" applyAlignment="1">
      <alignment horizontal="center" vertical="center"/>
    </xf>
    <xf numFmtId="176" fontId="25" fillId="0" borderId="1" xfId="15" applyFont="1" applyBorder="1" applyAlignment="1">
      <alignment vertical="center" shrinkToFit="1"/>
    </xf>
    <xf numFmtId="41" fontId="40" fillId="8" borderId="39" xfId="23" applyFont="1" applyFill="1" applyBorder="1" applyAlignment="1">
      <alignment vertical="center"/>
    </xf>
    <xf numFmtId="41" fontId="40" fillId="8" borderId="39" xfId="23" applyFont="1" applyFill="1" applyBorder="1" applyAlignment="1">
      <alignment vertical="center"/>
    </xf>
    <xf numFmtId="41" fontId="40" fillId="8" borderId="39" xfId="23" applyFont="1" applyFill="1" applyBorder="1" applyAlignment="1">
      <alignment vertical="center"/>
    </xf>
    <xf numFmtId="41" fontId="40" fillId="8" borderId="39" xfId="23" applyFont="1" applyFill="1" applyBorder="1" applyAlignment="1">
      <alignment vertical="center"/>
    </xf>
    <xf numFmtId="41" fontId="40" fillId="8" borderId="39" xfId="23" applyFont="1" applyFill="1" applyBorder="1" applyAlignment="1">
      <alignment vertical="center"/>
    </xf>
    <xf numFmtId="41" fontId="40" fillId="8" borderId="39" xfId="23" applyFont="1" applyFill="1" applyBorder="1" applyAlignment="1">
      <alignment vertical="center"/>
    </xf>
    <xf numFmtId="41" fontId="40" fillId="8" borderId="39" xfId="23" applyFont="1" applyFill="1" applyBorder="1" applyAlignment="1">
      <alignment vertical="center"/>
    </xf>
    <xf numFmtId="41" fontId="40" fillId="8" borderId="39" xfId="23" applyFont="1" applyFill="1" applyBorder="1" applyAlignment="1">
      <alignment vertical="center"/>
    </xf>
    <xf numFmtId="41" fontId="40" fillId="8" borderId="39" xfId="23" applyFont="1" applyFill="1" applyBorder="1" applyAlignment="1">
      <alignment vertical="center"/>
    </xf>
    <xf numFmtId="41" fontId="40" fillId="8" borderId="39" xfId="23" applyFont="1" applyFill="1" applyBorder="1" applyAlignment="1">
      <alignment vertical="center"/>
    </xf>
    <xf numFmtId="41" fontId="40" fillId="8" borderId="39" xfId="23" applyFont="1" applyFill="1" applyBorder="1" applyAlignment="1">
      <alignment vertical="center"/>
    </xf>
    <xf numFmtId="41" fontId="40" fillId="8" borderId="39" xfId="23" applyFont="1" applyFill="1" applyBorder="1" applyAlignment="1">
      <alignment vertical="center"/>
    </xf>
    <xf numFmtId="41" fontId="40" fillId="8" borderId="39" xfId="23" applyFont="1" applyFill="1" applyBorder="1" applyAlignment="1">
      <alignment vertical="center"/>
    </xf>
    <xf numFmtId="41" fontId="40" fillId="8" borderId="39" xfId="23" applyFont="1" applyFill="1" applyBorder="1" applyAlignment="1">
      <alignment vertical="center"/>
    </xf>
    <xf numFmtId="41" fontId="40" fillId="8" borderId="39" xfId="23" applyFont="1" applyFill="1" applyBorder="1" applyAlignment="1">
      <alignment vertical="center"/>
    </xf>
    <xf numFmtId="41" fontId="40" fillId="8" borderId="39" xfId="23" applyFont="1" applyFill="1" applyBorder="1" applyAlignment="1">
      <alignment vertical="center"/>
    </xf>
    <xf numFmtId="41" fontId="40" fillId="8" borderId="39" xfId="23" applyFont="1" applyFill="1" applyBorder="1" applyAlignment="1">
      <alignment horizontal="right" vertical="center"/>
    </xf>
    <xf numFmtId="41" fontId="40" fillId="8" borderId="39" xfId="23" applyFont="1" applyFill="1" applyBorder="1" applyAlignment="1">
      <alignment horizontal="right" vertical="center"/>
    </xf>
    <xf numFmtId="41" fontId="40" fillId="8" borderId="39" xfId="23" applyFont="1" applyFill="1" applyBorder="1" applyAlignment="1">
      <alignment horizontal="right" vertical="center"/>
    </xf>
    <xf numFmtId="41" fontId="40" fillId="8" borderId="39" xfId="23" applyFont="1" applyFill="1" applyBorder="1" applyAlignment="1">
      <alignment horizontal="right" vertical="center"/>
    </xf>
    <xf numFmtId="41" fontId="40" fillId="8" borderId="39" xfId="23" applyFont="1" applyFill="1" applyBorder="1" applyAlignment="1">
      <alignment horizontal="right" vertical="center"/>
    </xf>
    <xf numFmtId="41" fontId="40" fillId="8" borderId="39" xfId="23" applyFont="1" applyFill="1" applyBorder="1" applyAlignment="1">
      <alignment horizontal="right" vertical="center"/>
    </xf>
    <xf numFmtId="41" fontId="40" fillId="8" borderId="39" xfId="23" applyFont="1" applyFill="1" applyBorder="1" applyAlignment="1">
      <alignment horizontal="right" vertical="center"/>
    </xf>
    <xf numFmtId="41" fontId="40" fillId="8" borderId="39" xfId="23" applyFont="1" applyFill="1" applyBorder="1" applyAlignment="1">
      <alignment horizontal="right" vertical="center"/>
    </xf>
    <xf numFmtId="41" fontId="40" fillId="8" borderId="39" xfId="23" applyFont="1" applyFill="1" applyBorder="1" applyAlignment="1">
      <alignment horizontal="right" vertical="center"/>
    </xf>
    <xf numFmtId="41" fontId="40" fillId="8" borderId="39" xfId="23" applyFont="1" applyFill="1" applyBorder="1" applyAlignment="1">
      <alignment horizontal="right" vertical="center"/>
    </xf>
    <xf numFmtId="41" fontId="40" fillId="8" borderId="39" xfId="23" applyFont="1" applyFill="1" applyBorder="1" applyAlignment="1">
      <alignment horizontal="right" vertical="center"/>
    </xf>
    <xf numFmtId="41" fontId="40" fillId="8" borderId="39" xfId="23" applyFont="1" applyFill="1" applyBorder="1" applyAlignment="1">
      <alignment horizontal="right" vertical="center"/>
    </xf>
    <xf numFmtId="41" fontId="40" fillId="8" borderId="39" xfId="23" applyFont="1" applyFill="1" applyBorder="1" applyAlignment="1">
      <alignment horizontal="right" vertical="center"/>
    </xf>
    <xf numFmtId="41" fontId="40" fillId="8" borderId="39" xfId="23" applyFont="1" applyFill="1" applyBorder="1" applyAlignment="1">
      <alignment horizontal="right" vertical="center"/>
    </xf>
    <xf numFmtId="41" fontId="40" fillId="8" borderId="39" xfId="23" applyFont="1" applyFill="1" applyBorder="1" applyAlignment="1">
      <alignment horizontal="right" vertical="center"/>
    </xf>
    <xf numFmtId="41" fontId="40" fillId="8" borderId="39" xfId="23" applyFont="1" applyFill="1" applyBorder="1" applyAlignment="1">
      <alignment horizontal="right" vertical="center"/>
    </xf>
    <xf numFmtId="176" fontId="13" fillId="0" borderId="1" xfId="0" applyNumberFormat="1" applyFont="1" applyBorder="1" applyAlignment="1">
      <alignment horizontal="center" vertical="center"/>
    </xf>
    <xf numFmtId="176" fontId="13" fillId="5" borderId="5" xfId="0" applyNumberFormat="1" applyFont="1" applyFill="1" applyBorder="1" applyAlignment="1">
      <alignment horizontal="center" vertical="center"/>
    </xf>
    <xf numFmtId="176" fontId="13" fillId="5" borderId="3" xfId="0" applyNumberFormat="1" applyFont="1" applyFill="1" applyBorder="1" applyAlignment="1">
      <alignment horizontal="center" vertical="center"/>
    </xf>
    <xf numFmtId="176" fontId="13" fillId="0" borderId="5" xfId="0" applyNumberFormat="1" applyFont="1" applyFill="1" applyBorder="1" applyAlignment="1">
      <alignment horizontal="center" vertical="center"/>
    </xf>
    <xf numFmtId="176" fontId="13" fillId="0" borderId="3" xfId="0" applyNumberFormat="1" applyFont="1" applyFill="1" applyBorder="1" applyAlignment="1">
      <alignment horizontal="center" vertical="center"/>
    </xf>
    <xf numFmtId="176" fontId="14" fillId="0" borderId="0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176" fontId="13" fillId="5" borderId="4" xfId="0" applyNumberFormat="1" applyFont="1" applyFill="1" applyBorder="1" applyAlignment="1">
      <alignment horizontal="center" vertical="center"/>
    </xf>
    <xf numFmtId="176" fontId="13" fillId="5" borderId="25" xfId="0" applyNumberFormat="1" applyFont="1" applyFill="1" applyBorder="1" applyAlignment="1">
      <alignment horizontal="center" vertical="center"/>
    </xf>
    <xf numFmtId="176" fontId="13" fillId="5" borderId="16" xfId="0" applyNumberFormat="1" applyFont="1" applyFill="1" applyBorder="1" applyAlignment="1">
      <alignment horizontal="center" vertical="center"/>
    </xf>
    <xf numFmtId="176" fontId="14" fillId="7" borderId="9" xfId="0" applyNumberFormat="1" applyFont="1" applyFill="1" applyBorder="1" applyAlignment="1">
      <alignment horizontal="center" vertical="center"/>
    </xf>
    <xf numFmtId="176" fontId="14" fillId="7" borderId="8" xfId="0" applyNumberFormat="1" applyFont="1" applyFill="1" applyBorder="1" applyAlignment="1">
      <alignment horizontal="center" vertical="center"/>
    </xf>
    <xf numFmtId="176" fontId="14" fillId="7" borderId="11" xfId="0" applyNumberFormat="1" applyFont="1" applyFill="1" applyBorder="1" applyAlignment="1">
      <alignment horizontal="center" vertical="center"/>
    </xf>
    <xf numFmtId="176" fontId="14" fillId="4" borderId="5" xfId="0" applyNumberFormat="1" applyFont="1" applyFill="1" applyBorder="1" applyAlignment="1">
      <alignment horizontal="center" vertical="center"/>
    </xf>
    <xf numFmtId="176" fontId="14" fillId="4" borderId="3" xfId="0" applyNumberFormat="1" applyFont="1" applyFill="1" applyBorder="1" applyAlignment="1">
      <alignment horizontal="center" vertical="center"/>
    </xf>
    <xf numFmtId="9" fontId="14" fillId="5" borderId="6" xfId="0" applyNumberFormat="1" applyFont="1" applyFill="1" applyBorder="1" applyAlignment="1">
      <alignment horizontal="right"/>
    </xf>
    <xf numFmtId="9" fontId="14" fillId="5" borderId="6" xfId="0" quotePrefix="1" applyNumberFormat="1" applyFont="1" applyFill="1" applyBorder="1" applyAlignment="1">
      <alignment horizontal="right"/>
    </xf>
    <xf numFmtId="9" fontId="14" fillId="5" borderId="26" xfId="0" quotePrefix="1" applyNumberFormat="1" applyFont="1" applyFill="1" applyBorder="1" applyAlignment="1">
      <alignment horizontal="right"/>
    </xf>
    <xf numFmtId="176" fontId="14" fillId="6" borderId="20" xfId="0" applyNumberFormat="1" applyFont="1" applyFill="1" applyBorder="1" applyAlignment="1">
      <alignment horizontal="center" vertical="center"/>
    </xf>
    <xf numFmtId="176" fontId="13" fillId="2" borderId="4" xfId="0" applyNumberFormat="1" applyFont="1" applyFill="1" applyBorder="1" applyAlignment="1">
      <alignment horizontal="center" vertical="center"/>
    </xf>
    <xf numFmtId="176" fontId="13" fillId="2" borderId="25" xfId="0" applyNumberFormat="1" applyFont="1" applyFill="1" applyBorder="1" applyAlignment="1">
      <alignment horizontal="center" vertical="center"/>
    </xf>
    <xf numFmtId="176" fontId="13" fillId="2" borderId="16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176" fontId="14" fillId="6" borderId="27" xfId="0" applyNumberFormat="1" applyFont="1" applyFill="1" applyBorder="1" applyAlignment="1">
      <alignment horizontal="center" vertical="center"/>
    </xf>
    <xf numFmtId="176" fontId="14" fillId="6" borderId="15" xfId="0" applyNumberFormat="1" applyFont="1" applyFill="1" applyBorder="1" applyAlignment="1">
      <alignment horizontal="center" vertical="center"/>
    </xf>
    <xf numFmtId="176" fontId="14" fillId="6" borderId="21" xfId="0" applyNumberFormat="1" applyFont="1" applyFill="1" applyBorder="1" applyAlignment="1">
      <alignment horizontal="center" vertical="center"/>
    </xf>
    <xf numFmtId="176" fontId="14" fillId="6" borderId="28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76" fontId="12" fillId="0" borderId="0" xfId="0" applyNumberFormat="1" applyFont="1" applyAlignment="1">
      <alignment horizontal="center" wrapText="1"/>
    </xf>
    <xf numFmtId="176" fontId="12" fillId="0" borderId="0" xfId="0" applyNumberFormat="1" applyFont="1" applyAlignment="1">
      <alignment horizontal="center"/>
    </xf>
    <xf numFmtId="176" fontId="12" fillId="0" borderId="0" xfId="0" applyNumberFormat="1" applyFont="1" applyAlignment="1">
      <alignment horizontal="center" vertical="top" wrapText="1"/>
    </xf>
    <xf numFmtId="176" fontId="14" fillId="6" borderId="37" xfId="0" applyNumberFormat="1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20" fillId="0" borderId="0" xfId="0" applyFont="1" applyBorder="1" applyAlignment="1">
      <alignment horizontal="left" vertical="center"/>
    </xf>
    <xf numFmtId="176" fontId="13" fillId="2" borderId="1" xfId="0" applyNumberFormat="1" applyFont="1" applyFill="1" applyBorder="1" applyAlignment="1">
      <alignment horizontal="center" vertical="center"/>
    </xf>
    <xf numFmtId="176" fontId="14" fillId="6" borderId="33" xfId="0" applyNumberFormat="1" applyFont="1" applyFill="1" applyBorder="1" applyAlignment="1">
      <alignment horizontal="center" vertical="center"/>
    </xf>
    <xf numFmtId="176" fontId="14" fillId="6" borderId="34" xfId="0" applyNumberFormat="1" applyFont="1" applyFill="1" applyBorder="1" applyAlignment="1">
      <alignment horizontal="center" vertical="center"/>
    </xf>
    <xf numFmtId="176" fontId="14" fillId="6" borderId="24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top"/>
    </xf>
    <xf numFmtId="0" fontId="16" fillId="0" borderId="0" xfId="0" applyFont="1" applyAlignment="1">
      <alignment horizontal="left" vertical="center"/>
    </xf>
    <xf numFmtId="180" fontId="0" fillId="0" borderId="18" xfId="0" applyNumberFormat="1" applyBorder="1" applyAlignment="1">
      <alignment horizontal="center"/>
    </xf>
    <xf numFmtId="180" fontId="0" fillId="0" borderId="35" xfId="0" applyNumberFormat="1" applyBorder="1" applyAlignment="1">
      <alignment horizontal="center"/>
    </xf>
    <xf numFmtId="176" fontId="14" fillId="6" borderId="20" xfId="17" applyNumberFormat="1" applyFont="1" applyFill="1" applyBorder="1" applyAlignment="1">
      <alignment horizontal="center" vertical="center"/>
    </xf>
    <xf numFmtId="176" fontId="14" fillId="6" borderId="38" xfId="17" applyNumberFormat="1" applyFont="1" applyFill="1" applyBorder="1" applyAlignment="1">
      <alignment horizontal="center" vertical="center"/>
    </xf>
    <xf numFmtId="0" fontId="24" fillId="4" borderId="36" xfId="17" applyFont="1" applyFill="1" applyBorder="1" applyAlignment="1">
      <alignment horizontal="center" vertical="center"/>
    </xf>
    <xf numFmtId="0" fontId="24" fillId="4" borderId="1" xfId="17" applyFont="1" applyFill="1" applyBorder="1" applyAlignment="1">
      <alignment horizontal="center" vertical="center"/>
    </xf>
    <xf numFmtId="0" fontId="25" fillId="0" borderId="36" xfId="17" applyFont="1" applyBorder="1" applyAlignment="1">
      <alignment horizontal="center" vertical="center"/>
    </xf>
    <xf numFmtId="0" fontId="25" fillId="0" borderId="1" xfId="17" applyFont="1" applyBorder="1" applyAlignment="1">
      <alignment horizontal="center" vertical="center"/>
    </xf>
    <xf numFmtId="176" fontId="14" fillId="6" borderId="19" xfId="17" applyNumberFormat="1" applyFont="1" applyFill="1" applyBorder="1" applyAlignment="1">
      <alignment horizontal="center" vertical="center"/>
    </xf>
    <xf numFmtId="0" fontId="26" fillId="6" borderId="20" xfId="17" applyFill="1" applyBorder="1">
      <alignment vertical="center"/>
    </xf>
    <xf numFmtId="0" fontId="26" fillId="6" borderId="36" xfId="17" applyFill="1" applyBorder="1">
      <alignment vertical="center"/>
    </xf>
    <xf numFmtId="0" fontId="26" fillId="6" borderId="1" xfId="17" applyFill="1" applyBorder="1">
      <alignment vertical="center"/>
    </xf>
    <xf numFmtId="0" fontId="27" fillId="6" borderId="20" xfId="17" applyFont="1" applyFill="1" applyBorder="1" applyAlignment="1">
      <alignment horizontal="center" vertical="center"/>
    </xf>
    <xf numFmtId="0" fontId="27" fillId="6" borderId="1" xfId="17" applyFont="1" applyFill="1" applyBorder="1" applyAlignment="1">
      <alignment horizontal="center" vertical="center"/>
    </xf>
    <xf numFmtId="0" fontId="25" fillId="0" borderId="22" xfId="17" applyFont="1" applyBorder="1" applyAlignment="1">
      <alignment horizontal="center" vertical="center"/>
    </xf>
    <xf numFmtId="0" fontId="25" fillId="0" borderId="12" xfId="17" applyFont="1" applyBorder="1" applyAlignment="1">
      <alignment horizontal="center" vertical="center"/>
    </xf>
    <xf numFmtId="0" fontId="25" fillId="0" borderId="36" xfId="17" applyFont="1" applyFill="1" applyBorder="1" applyAlignment="1">
      <alignment horizontal="center" vertical="center"/>
    </xf>
    <xf numFmtId="0" fontId="25" fillId="0" borderId="1" xfId="17" applyFont="1" applyFill="1" applyBorder="1" applyAlignment="1">
      <alignment horizontal="center" vertical="center"/>
    </xf>
  </cellXfs>
  <cellStyles count="57">
    <cellStyle name="Comma [0]_5year" xfId="1" xr:uid="{00000000-0005-0000-0000-000000000000}"/>
    <cellStyle name="Comma_495ALL" xfId="2" xr:uid="{00000000-0005-0000-0000-000001000000}"/>
    <cellStyle name="Currency [0]_5year" xfId="3" xr:uid="{00000000-0005-0000-0000-000002000000}"/>
    <cellStyle name="Currency_495ALL" xfId="4" xr:uid="{00000000-0005-0000-0000-000003000000}"/>
    <cellStyle name="Grey" xfId="5" xr:uid="{00000000-0005-0000-0000-000004000000}"/>
    <cellStyle name="Input [yellow]" xfId="6" xr:uid="{00000000-0005-0000-0000-000005000000}"/>
    <cellStyle name="Milliers [0]_AR1194" xfId="7" xr:uid="{00000000-0005-0000-0000-000006000000}"/>
    <cellStyle name="Milliers_AR1194" xfId="8" xr:uid="{00000000-0005-0000-0000-000007000000}"/>
    <cellStyle name="Mon?aire [0]_AR1194" xfId="9" xr:uid="{00000000-0005-0000-0000-000008000000}"/>
    <cellStyle name="Mon?aire_AR1194" xfId="10" xr:uid="{00000000-0005-0000-0000-000009000000}"/>
    <cellStyle name="Normal - Style1" xfId="11" xr:uid="{00000000-0005-0000-0000-00000A000000}"/>
    <cellStyle name="Normal_495ALL" xfId="12" xr:uid="{00000000-0005-0000-0000-00000B000000}"/>
    <cellStyle name="Percent [2]" xfId="13" xr:uid="{00000000-0005-0000-0000-00000C000000}"/>
    <cellStyle name="PERCENTAGE" xfId="14" xr:uid="{00000000-0005-0000-0000-00000D000000}"/>
    <cellStyle name="쉼표 [0]" xfId="15" builtinId="6"/>
    <cellStyle name="쉼표 [0] 2" xfId="20" xr:uid="{00000000-0005-0000-0000-00000F000000}"/>
    <cellStyle name="쉼표 [0] 3" xfId="23" xr:uid="{00000000-0005-0000-0000-000010000000}"/>
    <cellStyle name="쉼표 [0] 3 2" xfId="33" xr:uid="{00000000-0005-0000-0000-000011000000}"/>
    <cellStyle name="쉼표 [0] 4" xfId="40" xr:uid="{00000000-0005-0000-0000-000012000000}"/>
    <cellStyle name="쉼표 [0] 5" xfId="56" xr:uid="{00000000-0005-0000-0000-000013000000}"/>
    <cellStyle name="표준" xfId="0" builtinId="0"/>
    <cellStyle name="표준 2" xfId="19" xr:uid="{00000000-0005-0000-0000-000015000000}"/>
    <cellStyle name="표준 3" xfId="18" xr:uid="{00000000-0005-0000-0000-000016000000}"/>
    <cellStyle name="표준 3 2" xfId="21" xr:uid="{00000000-0005-0000-0000-000017000000}"/>
    <cellStyle name="표준 3 2 2" xfId="29" xr:uid="{00000000-0005-0000-0000-000018000000}"/>
    <cellStyle name="표준 3 2 2 2" xfId="39" xr:uid="{00000000-0005-0000-0000-000019000000}"/>
    <cellStyle name="표준 3 2 2 2 2" xfId="55" xr:uid="{00000000-0005-0000-0000-00001A000000}"/>
    <cellStyle name="표준 3 2 2 3" xfId="47" xr:uid="{00000000-0005-0000-0000-00001B000000}"/>
    <cellStyle name="표준 3 2 3" xfId="27" xr:uid="{00000000-0005-0000-0000-00001C000000}"/>
    <cellStyle name="표준 3 2 3 2" xfId="37" xr:uid="{00000000-0005-0000-0000-00001D000000}"/>
    <cellStyle name="표준 3 2 3 2 2" xfId="53" xr:uid="{00000000-0005-0000-0000-00001E000000}"/>
    <cellStyle name="표준 3 2 3 3" xfId="45" xr:uid="{00000000-0005-0000-0000-00001F000000}"/>
    <cellStyle name="표준 3 2 4" xfId="35" xr:uid="{00000000-0005-0000-0000-000020000000}"/>
    <cellStyle name="표준 3 2 4 2" xfId="51" xr:uid="{00000000-0005-0000-0000-000021000000}"/>
    <cellStyle name="표준 3 2 5" xfId="43" xr:uid="{00000000-0005-0000-0000-000022000000}"/>
    <cellStyle name="표준 3 2 6" xfId="25" xr:uid="{00000000-0005-0000-0000-000023000000}"/>
    <cellStyle name="표준 3 3" xfId="28" xr:uid="{00000000-0005-0000-0000-000024000000}"/>
    <cellStyle name="표준 3 3 2" xfId="38" xr:uid="{00000000-0005-0000-0000-000025000000}"/>
    <cellStyle name="표준 3 3 2 2" xfId="54" xr:uid="{00000000-0005-0000-0000-000026000000}"/>
    <cellStyle name="표준 3 3 3" xfId="46" xr:uid="{00000000-0005-0000-0000-000027000000}"/>
    <cellStyle name="표준 3 4" xfId="26" xr:uid="{00000000-0005-0000-0000-000028000000}"/>
    <cellStyle name="표준 3 4 2" xfId="36" xr:uid="{00000000-0005-0000-0000-000029000000}"/>
    <cellStyle name="표준 3 4 2 2" xfId="52" xr:uid="{00000000-0005-0000-0000-00002A000000}"/>
    <cellStyle name="표준 3 4 3" xfId="44" xr:uid="{00000000-0005-0000-0000-00002B000000}"/>
    <cellStyle name="표준 3 5" xfId="30" xr:uid="{00000000-0005-0000-0000-00002C000000}"/>
    <cellStyle name="표준 3 5 2" xfId="48" xr:uid="{00000000-0005-0000-0000-00002D000000}"/>
    <cellStyle name="표준 3 6" xfId="34" xr:uid="{00000000-0005-0000-0000-00002E000000}"/>
    <cellStyle name="표준 3 6 2" xfId="50" xr:uid="{00000000-0005-0000-0000-00002F000000}"/>
    <cellStyle name="표준 3 7" xfId="42" xr:uid="{00000000-0005-0000-0000-000030000000}"/>
    <cellStyle name="표준 3 8" xfId="24" xr:uid="{00000000-0005-0000-0000-000031000000}"/>
    <cellStyle name="표준 4" xfId="22" xr:uid="{00000000-0005-0000-0000-000032000000}"/>
    <cellStyle name="표준 5" xfId="32" xr:uid="{00000000-0005-0000-0000-000033000000}"/>
    <cellStyle name="표준 6" xfId="31" xr:uid="{00000000-0005-0000-0000-000034000000}"/>
    <cellStyle name="표준 6 2" xfId="49" xr:uid="{00000000-0005-0000-0000-000035000000}"/>
    <cellStyle name="표준 7" xfId="41" xr:uid="{00000000-0005-0000-0000-000036000000}"/>
    <cellStyle name="표준_2008년 03월 평택.당진항 항만운영통계" xfId="16" xr:uid="{00000000-0005-0000-0000-000037000000}"/>
    <cellStyle name="표준_부두별입출항 실적(03)" xfId="17" xr:uid="{00000000-0005-0000-0000-000038000000}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10월 누계</c:v>
          </c:tx>
          <c:spPr>
            <a:ln>
              <a:solidFill>
                <a:schemeClr val="accent1"/>
              </a:solidFill>
            </a:ln>
          </c:spPr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D2-45A6-A0AE-5F1AC82B9EE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통계요약!$G$10</c:f>
              <c:numCache>
                <c:formatCode>#,###,</c:formatCode>
                <c:ptCount val="1"/>
                <c:pt idx="0">
                  <c:v>19125990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D2-45A6-A0AE-5F1AC82B9EEC}"/>
            </c:ext>
          </c:extLst>
        </c:ser>
        <c:ser>
          <c:idx val="1"/>
          <c:order val="1"/>
          <c:tx>
            <c:v>'21년 10월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D2-45A6-A0AE-5F1AC82B9EE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통계요약!$I$10</c:f>
              <c:numCache>
                <c:formatCode>#,###,</c:formatCode>
                <c:ptCount val="1"/>
                <c:pt idx="0">
                  <c:v>20605254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D2-45A6-A0AE-5F1AC82B9E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42048896"/>
        <c:axId val="42062976"/>
        <c:axId val="0"/>
      </c:bar3DChart>
      <c:catAx>
        <c:axId val="42048896"/>
        <c:scaling>
          <c:orientation val="minMax"/>
        </c:scaling>
        <c:delete val="1"/>
        <c:axPos val="b"/>
        <c:majorTickMark val="out"/>
        <c:minorTickMark val="none"/>
        <c:tickLblPos val="none"/>
        <c:crossAx val="42062976"/>
        <c:crosses val="autoZero"/>
        <c:auto val="1"/>
        <c:lblAlgn val="ctr"/>
        <c:lblOffset val="100"/>
        <c:noMultiLvlLbl val="0"/>
      </c:catAx>
      <c:valAx>
        <c:axId val="42062976"/>
        <c:scaling>
          <c:orientation val="minMax"/>
          <c:max val="50000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048896"/>
        <c:crosses val="autoZero"/>
        <c:crossBetween val="between"/>
        <c:majorUnit val="10000000"/>
        <c:minorUnit val="100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9378589904927654"/>
          <c:y val="0.1659145773549434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10월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7B-4543-B457-CE7D00D4215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140713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7B-4543-B457-CE7D00D42157}"/>
            </c:ext>
          </c:extLst>
        </c:ser>
        <c:ser>
          <c:idx val="1"/>
          <c:order val="1"/>
          <c:tx>
            <c:v>'21년 10월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7B-4543-B457-CE7D00D4215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123184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7B-4543-B457-CE7D00D421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42165760"/>
        <c:axId val="42167296"/>
        <c:axId val="0"/>
      </c:bar3DChart>
      <c:catAx>
        <c:axId val="42165760"/>
        <c:scaling>
          <c:orientation val="minMax"/>
        </c:scaling>
        <c:delete val="1"/>
        <c:axPos val="b"/>
        <c:majorTickMark val="out"/>
        <c:minorTickMark val="none"/>
        <c:tickLblPos val="none"/>
        <c:crossAx val="42167296"/>
        <c:crosses val="autoZero"/>
        <c:auto val="1"/>
        <c:lblAlgn val="ctr"/>
        <c:lblOffset val="100"/>
        <c:noMultiLvlLbl val="0"/>
      </c:catAx>
      <c:valAx>
        <c:axId val="42167296"/>
        <c:scaling>
          <c:orientation val="minMax"/>
          <c:max val="400000"/>
          <c:min val="1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165760"/>
        <c:crosses val="autoZero"/>
        <c:crossBetween val="between"/>
        <c:majorUnit val="60000"/>
        <c:minorUnit val="6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수송실적'!$I$3:$N$3</c:f>
              <c:strCache>
                <c:ptCount val="6"/>
                <c:pt idx="0">
                  <c:v>18 </c:v>
                </c:pt>
                <c:pt idx="1">
                  <c:v>19 </c:v>
                </c:pt>
                <c:pt idx="2">
                  <c:v>20 </c:v>
                </c:pt>
                <c:pt idx="3">
                  <c:v>21 </c:v>
                </c:pt>
                <c:pt idx="4">
                  <c:v>22 </c:v>
                </c:pt>
                <c:pt idx="5">
                  <c:v>23.02.</c:v>
                </c:pt>
              </c:strCache>
            </c:strRef>
          </c:cat>
          <c:val>
            <c:numRef>
              <c:f>'연도별 수송실적'!$I$4:$N$4</c:f>
              <c:numCache>
                <c:formatCode>#,##0_);[Red]\(#,##0\)</c:formatCode>
                <c:ptCount val="6"/>
                <c:pt idx="0">
                  <c:v>115147</c:v>
                </c:pt>
                <c:pt idx="1">
                  <c:v>113201</c:v>
                </c:pt>
                <c:pt idx="2">
                  <c:v>106847</c:v>
                </c:pt>
                <c:pt idx="3">
                  <c:v>116876</c:v>
                </c:pt>
                <c:pt idx="4">
                  <c:v>116137</c:v>
                </c:pt>
                <c:pt idx="5">
                  <c:v>11059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446848"/>
        <c:axId val="42448768"/>
      </c:lineChart>
      <c:catAx>
        <c:axId val="4244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4487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244876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44684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수송실적'!$B$6:$G$6</c:f>
              <c:strCache>
                <c:ptCount val="6"/>
                <c:pt idx="0">
                  <c:v>18 </c:v>
                </c:pt>
                <c:pt idx="1">
                  <c:v>19 </c:v>
                </c:pt>
                <c:pt idx="2">
                  <c:v>20 </c:v>
                </c:pt>
                <c:pt idx="3">
                  <c:v>21 </c:v>
                </c:pt>
                <c:pt idx="4">
                  <c:v>22 </c:v>
                </c:pt>
                <c:pt idx="5">
                  <c:v>23.02.</c:v>
                </c:pt>
              </c:strCache>
            </c:strRef>
          </c:cat>
          <c:val>
            <c:numRef>
              <c:f>'연도별 수송실적'!$B$7:$G$7</c:f>
              <c:numCache>
                <c:formatCode>#,##0_);[Red]\(#,##0\)</c:formatCode>
                <c:ptCount val="6"/>
                <c:pt idx="0">
                  <c:v>689852</c:v>
                </c:pt>
                <c:pt idx="1">
                  <c:v>725047</c:v>
                </c:pt>
                <c:pt idx="2">
                  <c:v>792643</c:v>
                </c:pt>
                <c:pt idx="3">
                  <c:v>936246</c:v>
                </c:pt>
                <c:pt idx="4">
                  <c:v>851953</c:v>
                </c:pt>
                <c:pt idx="5">
                  <c:v>123184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669952"/>
        <c:axId val="42684416"/>
      </c:lineChart>
      <c:catAx>
        <c:axId val="42669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6844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268441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66995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수송실적'!$I$6:$N$6</c:f>
              <c:strCache>
                <c:ptCount val="6"/>
                <c:pt idx="0">
                  <c:v>18 </c:v>
                </c:pt>
                <c:pt idx="1">
                  <c:v>19 </c:v>
                </c:pt>
                <c:pt idx="2">
                  <c:v>20 </c:v>
                </c:pt>
                <c:pt idx="3">
                  <c:v>21 </c:v>
                </c:pt>
                <c:pt idx="4">
                  <c:v>22 </c:v>
                </c:pt>
                <c:pt idx="5">
                  <c:v>23.02.</c:v>
                </c:pt>
              </c:strCache>
            </c:strRef>
          </c:cat>
          <c:val>
            <c:numRef>
              <c:f>'연도별 수송실적'!$I$7:$N$7</c:f>
              <c:numCache>
                <c:formatCode>#,##0_);[Red]\(#,##0\)</c:formatCode>
                <c:ptCount val="6"/>
                <c:pt idx="0">
                  <c:v>452480</c:v>
                </c:pt>
                <c:pt idx="1">
                  <c:v>623733</c:v>
                </c:pt>
                <c:pt idx="2">
                  <c:v>40267</c:v>
                </c:pt>
                <c:pt idx="3" formatCode="_ * #,##0_ ;_ * \-#,##0_ ;_ * &quot;-&quot;_ ;_ @_ ">
                  <c:v>0</c:v>
                </c:pt>
                <c:pt idx="4" formatCode="_ * #,##0_ ;_ * \-#,##0_ ;_ * &quot;-&quot;_ ;_ @_ ">
                  <c:v>0</c:v>
                </c:pt>
                <c:pt idx="5" formatCode="_ * #,##0_ ;_ * \-#,##0_ ;_ * &quot;-&quot;_ ;_ @_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02720"/>
        <c:axId val="42721280"/>
      </c:lineChart>
      <c:catAx>
        <c:axId val="42702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7212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272128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70272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수송실적'!$B$3:$G$3</c:f>
              <c:strCache>
                <c:ptCount val="6"/>
                <c:pt idx="0">
                  <c:v>18 </c:v>
                </c:pt>
                <c:pt idx="1">
                  <c:v>19 </c:v>
                </c:pt>
                <c:pt idx="2">
                  <c:v>20 </c:v>
                </c:pt>
                <c:pt idx="3">
                  <c:v>21 </c:v>
                </c:pt>
                <c:pt idx="4">
                  <c:v>22 </c:v>
                </c:pt>
                <c:pt idx="5">
                  <c:v>23.02.</c:v>
                </c:pt>
              </c:strCache>
            </c:str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18829</c:v>
                </c:pt>
                <c:pt idx="1">
                  <c:v>18416</c:v>
                </c:pt>
                <c:pt idx="2">
                  <c:v>17409</c:v>
                </c:pt>
                <c:pt idx="3">
                  <c:v>16473</c:v>
                </c:pt>
                <c:pt idx="4">
                  <c:v>16626</c:v>
                </c:pt>
                <c:pt idx="5">
                  <c:v>2749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935104"/>
        <c:axId val="197937024"/>
      </c:lineChart>
      <c:catAx>
        <c:axId val="197935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9370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793702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93510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수송실적'!$B$3:$G$3</c:f>
              <c:strCache>
                <c:ptCount val="6"/>
                <c:pt idx="0">
                  <c:v>18 </c:v>
                </c:pt>
                <c:pt idx="1">
                  <c:v>19 </c:v>
                </c:pt>
                <c:pt idx="2">
                  <c:v>20 </c:v>
                </c:pt>
                <c:pt idx="3">
                  <c:v>21 </c:v>
                </c:pt>
                <c:pt idx="4">
                  <c:v>22 </c:v>
                </c:pt>
                <c:pt idx="5">
                  <c:v>23.02.</c:v>
                </c:pt>
              </c:strCache>
            </c:str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18829</c:v>
                </c:pt>
                <c:pt idx="1">
                  <c:v>18416</c:v>
                </c:pt>
                <c:pt idx="2">
                  <c:v>17409</c:v>
                </c:pt>
                <c:pt idx="3">
                  <c:v>16473</c:v>
                </c:pt>
                <c:pt idx="4">
                  <c:v>16626</c:v>
                </c:pt>
                <c:pt idx="5">
                  <c:v>2749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6B-4831-9BCB-D47645B56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976448"/>
        <c:axId val="197978368"/>
      </c:lineChart>
      <c:catAx>
        <c:axId val="197976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9783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797836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97644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261731</xdr:rowOff>
    </xdr:from>
    <xdr:to>
      <xdr:col>7</xdr:col>
      <xdr:colOff>95250</xdr:colOff>
      <xdr:row>39</xdr:row>
      <xdr:rowOff>166481</xdr:rowOff>
    </xdr:to>
    <xdr:graphicFrame macro="">
      <xdr:nvGraphicFramePr>
        <xdr:cNvPr id="6376023" name="Chart 7">
          <a:extLst>
            <a:ext uri="{FF2B5EF4-FFF2-40B4-BE49-F238E27FC236}">
              <a16:creationId xmlns:a16="http://schemas.microsoft.com/office/drawing/2014/main" id="{00000000-0008-0000-0100-0000574A6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>
          <a:extLst>
            <a:ext uri="{FF2B5EF4-FFF2-40B4-BE49-F238E27FC236}">
              <a16:creationId xmlns:a16="http://schemas.microsoft.com/office/drawing/2014/main" id="{00000000-0008-0000-0100-0000584A6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99" zoomScaleSheetLayoutView="68" workbookViewId="0"/>
  </sheetViews>
  <sheetFormatPr defaultRowHeight="14.25"/>
  <sheetData/>
  <phoneticPr fontId="7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"/>
  <sheetViews>
    <sheetView tabSelected="1" topLeftCell="A3" zoomScaleNormal="100" zoomScaleSheetLayoutView="110" workbookViewId="0">
      <pane xSplit="4" ySplit="5" topLeftCell="E8" activePane="bottomRight" state="frozen"/>
      <selection activeCell="A3" sqref="A3"/>
      <selection pane="topRight" activeCell="E3" sqref="E3"/>
      <selection pane="bottomLeft" activeCell="A8" sqref="A8"/>
      <selection pane="bottomRight" activeCell="B3" sqref="B3:M3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10" bestFit="1" customWidth="1"/>
    <col min="11" max="11" width="7.75" style="9" customWidth="1"/>
    <col min="12" max="12" width="13.75" style="11" bestFit="1" customWidth="1"/>
    <col min="13" max="13" width="7.75" style="12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5" ht="36" customHeight="1">
      <c r="B1" s="8" t="s">
        <v>26</v>
      </c>
      <c r="L1" s="253"/>
      <c r="M1" s="253"/>
    </row>
    <row r="2" spans="2:15" ht="33" customHeight="1">
      <c r="B2" s="263" t="s">
        <v>49</v>
      </c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</row>
    <row r="3" spans="2:15" ht="27.75" customHeight="1">
      <c r="B3" s="265" t="s">
        <v>105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</row>
    <row r="4" spans="2:15" ht="21.2" customHeight="1" thickBot="1">
      <c r="B4" s="236" t="s">
        <v>71</v>
      </c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</row>
    <row r="5" spans="2:15" ht="21.2" customHeight="1">
      <c r="B5" s="257" t="s">
        <v>7</v>
      </c>
      <c r="C5" s="258"/>
      <c r="D5" s="259"/>
      <c r="E5" s="35"/>
      <c r="F5" s="255" t="s">
        <v>98</v>
      </c>
      <c r="G5" s="266"/>
      <c r="H5" s="249" t="s">
        <v>99</v>
      </c>
      <c r="I5" s="249"/>
      <c r="J5" s="254" t="s">
        <v>15</v>
      </c>
      <c r="K5" s="255"/>
      <c r="L5" s="255"/>
      <c r="M5" s="256"/>
    </row>
    <row r="6" spans="2:15" ht="20.25" customHeight="1">
      <c r="B6" s="260"/>
      <c r="C6" s="261"/>
      <c r="D6" s="262"/>
      <c r="E6" s="36" t="s">
        <v>11</v>
      </c>
      <c r="F6" s="104" t="s">
        <v>101</v>
      </c>
      <c r="G6" s="37" t="s">
        <v>102</v>
      </c>
      <c r="H6" s="104" t="s">
        <v>103</v>
      </c>
      <c r="I6" s="105" t="s">
        <v>104</v>
      </c>
      <c r="J6" s="37" t="s">
        <v>57</v>
      </c>
      <c r="K6" s="38" t="s">
        <v>16</v>
      </c>
      <c r="L6" s="39" t="s">
        <v>18</v>
      </c>
      <c r="M6" s="40" t="s">
        <v>16</v>
      </c>
    </row>
    <row r="7" spans="2:15" ht="21.2" customHeight="1">
      <c r="B7" s="241" t="s">
        <v>21</v>
      </c>
      <c r="C7" s="244" t="s">
        <v>12</v>
      </c>
      <c r="D7" s="245"/>
      <c r="E7" s="13">
        <f>SUM(E8:E9)</f>
        <v>16626</v>
      </c>
      <c r="F7" s="13">
        <f>SUM(F8:F9)</f>
        <v>1201</v>
      </c>
      <c r="G7" s="13">
        <f>SUM(G8:G9)</f>
        <v>2746</v>
      </c>
      <c r="H7" s="13">
        <f>SUM(H8:H9)</f>
        <v>1364</v>
      </c>
      <c r="I7" s="13">
        <f>SUM(I8:I9)</f>
        <v>2749</v>
      </c>
      <c r="J7" s="13">
        <f>H7-F7</f>
        <v>163</v>
      </c>
      <c r="K7" s="16">
        <f>H7/F7</f>
        <v>1.1357202331390508</v>
      </c>
      <c r="L7" s="14">
        <f>I7-G7</f>
        <v>3</v>
      </c>
      <c r="M7" s="24">
        <f>I7/G7</f>
        <v>1.0010924981791698</v>
      </c>
    </row>
    <row r="8" spans="2:15" ht="19.5" customHeight="1">
      <c r="B8" s="242"/>
      <c r="C8" s="232" t="s">
        <v>9</v>
      </c>
      <c r="D8" s="233"/>
      <c r="E8" s="156">
        <v>10009</v>
      </c>
      <c r="F8" s="20">
        <v>703</v>
      </c>
      <c r="G8" s="20">
        <v>1609</v>
      </c>
      <c r="H8" s="20">
        <v>844</v>
      </c>
      <c r="I8" s="20">
        <v>1705</v>
      </c>
      <c r="J8" s="4">
        <f t="shared" ref="J8:J28" si="0">H8-F8</f>
        <v>141</v>
      </c>
      <c r="K8" s="18">
        <f t="shared" ref="K8:K28" si="1">H8/F8</f>
        <v>1.2005689900426741</v>
      </c>
      <c r="L8" s="19">
        <f t="shared" ref="L8:L28" si="2">I8-G8</f>
        <v>96</v>
      </c>
      <c r="M8" s="25">
        <f t="shared" ref="M8:M28" si="3">I8/G8</f>
        <v>1.0596643878185208</v>
      </c>
    </row>
    <row r="9" spans="2:15" ht="19.5" customHeight="1">
      <c r="B9" s="243"/>
      <c r="C9" s="234" t="s">
        <v>10</v>
      </c>
      <c r="D9" s="235"/>
      <c r="E9" s="156">
        <v>6617</v>
      </c>
      <c r="F9" s="21">
        <v>498</v>
      </c>
      <c r="G9" s="21">
        <v>1137</v>
      </c>
      <c r="H9" s="21">
        <v>520</v>
      </c>
      <c r="I9" s="21">
        <v>1044</v>
      </c>
      <c r="J9" s="21">
        <f t="shared" si="0"/>
        <v>22</v>
      </c>
      <c r="K9" s="22">
        <f t="shared" si="1"/>
        <v>1.0441767068273093</v>
      </c>
      <c r="L9" s="23">
        <f t="shared" si="2"/>
        <v>-93</v>
      </c>
      <c r="M9" s="26">
        <f t="shared" si="3"/>
        <v>0.91820580474934033</v>
      </c>
    </row>
    <row r="10" spans="2:15" ht="21.2" customHeight="1">
      <c r="B10" s="241" t="s">
        <v>22</v>
      </c>
      <c r="C10" s="244" t="s">
        <v>8</v>
      </c>
      <c r="D10" s="245"/>
      <c r="E10" s="41">
        <f>E11+E15</f>
        <v>116137277</v>
      </c>
      <c r="F10" s="41">
        <f>F11+F15</f>
        <v>8046185</v>
      </c>
      <c r="G10" s="41">
        <f>G11+G15</f>
        <v>19125990</v>
      </c>
      <c r="H10" s="41">
        <f>H11+H15</f>
        <v>10177155</v>
      </c>
      <c r="I10" s="41">
        <f>I11+I15</f>
        <v>20605254</v>
      </c>
      <c r="J10" s="41">
        <f t="shared" si="0"/>
        <v>2130970</v>
      </c>
      <c r="K10" s="16">
        <f t="shared" si="1"/>
        <v>1.2648422823984287</v>
      </c>
      <c r="L10" s="121">
        <f>I10-G10</f>
        <v>1479264</v>
      </c>
      <c r="M10" s="24">
        <f t="shared" si="3"/>
        <v>1.0773431336103385</v>
      </c>
    </row>
    <row r="11" spans="2:15" ht="19.5" customHeight="1">
      <c r="B11" s="242"/>
      <c r="C11" s="238" t="s">
        <v>1</v>
      </c>
      <c r="D11" s="78" t="s">
        <v>0</v>
      </c>
      <c r="E11" s="74">
        <f>SUM(E12:E14)</f>
        <v>104335502</v>
      </c>
      <c r="F11" s="74">
        <f>SUM(F12:F14)</f>
        <v>7069342</v>
      </c>
      <c r="G11" s="74">
        <f>SUM(G12:G14)</f>
        <v>17044422</v>
      </c>
      <c r="H11" s="74">
        <f>SUM(H12:H14)</f>
        <v>9384046</v>
      </c>
      <c r="I11" s="74">
        <f>SUM(I12:I14)</f>
        <v>18962683</v>
      </c>
      <c r="J11" s="116">
        <f>H11-F11</f>
        <v>2314704</v>
      </c>
      <c r="K11" s="75">
        <f t="shared" si="1"/>
        <v>1.3274284933449252</v>
      </c>
      <c r="L11" s="118">
        <f>I11-G11</f>
        <v>1918261</v>
      </c>
      <c r="M11" s="76">
        <f t="shared" si="3"/>
        <v>1.1125447961802402</v>
      </c>
    </row>
    <row r="12" spans="2:15" ht="19.5" customHeight="1">
      <c r="B12" s="242"/>
      <c r="C12" s="239"/>
      <c r="D12" s="5" t="s">
        <v>5</v>
      </c>
      <c r="E12" s="157">
        <v>85021042</v>
      </c>
      <c r="F12" s="42">
        <v>5781319</v>
      </c>
      <c r="G12" s="42">
        <v>13798510</v>
      </c>
      <c r="H12" s="42">
        <v>7769114</v>
      </c>
      <c r="I12" s="42">
        <v>15762454</v>
      </c>
      <c r="J12" s="114">
        <f t="shared" si="0"/>
        <v>1987795</v>
      </c>
      <c r="K12" s="18">
        <f t="shared" si="1"/>
        <v>1.3438307071448574</v>
      </c>
      <c r="L12" s="119">
        <f t="shared" si="2"/>
        <v>1963944</v>
      </c>
      <c r="M12" s="25">
        <f t="shared" si="3"/>
        <v>1.1423301501393992</v>
      </c>
      <c r="O12" s="112"/>
    </row>
    <row r="13" spans="2:15" ht="19.5" customHeight="1">
      <c r="B13" s="242"/>
      <c r="C13" s="239"/>
      <c r="D13" s="5" t="s">
        <v>6</v>
      </c>
      <c r="E13" s="158">
        <v>15759226</v>
      </c>
      <c r="F13" s="42">
        <v>1055310</v>
      </c>
      <c r="G13" s="42">
        <v>2682051</v>
      </c>
      <c r="H13" s="42">
        <v>1403632</v>
      </c>
      <c r="I13" s="42">
        <v>2658531</v>
      </c>
      <c r="J13" s="114">
        <f t="shared" si="0"/>
        <v>348322</v>
      </c>
      <c r="K13" s="18">
        <f t="shared" si="1"/>
        <v>1.3300660469435521</v>
      </c>
      <c r="L13" s="119">
        <f t="shared" si="2"/>
        <v>-23520</v>
      </c>
      <c r="M13" s="25">
        <f t="shared" si="3"/>
        <v>0.99123059181201256</v>
      </c>
    </row>
    <row r="14" spans="2:15" ht="19.5" customHeight="1">
      <c r="B14" s="242"/>
      <c r="C14" s="240"/>
      <c r="D14" s="5" t="s">
        <v>13</v>
      </c>
      <c r="E14" s="158">
        <v>3555234</v>
      </c>
      <c r="F14" s="42">
        <f>110707+122006</f>
        <v>232713</v>
      </c>
      <c r="G14" s="42">
        <f>246753+317108</f>
        <v>563861</v>
      </c>
      <c r="H14" s="113">
        <f>114924+96376</f>
        <v>211300</v>
      </c>
      <c r="I14" s="113">
        <f>288182+253516</f>
        <v>541698</v>
      </c>
      <c r="J14" s="114">
        <f t="shared" si="0"/>
        <v>-21413</v>
      </c>
      <c r="K14" s="18">
        <f>H14/F14</f>
        <v>0.90798537254042533</v>
      </c>
      <c r="L14" s="119">
        <f t="shared" si="2"/>
        <v>-22163</v>
      </c>
      <c r="M14" s="25">
        <f t="shared" si="3"/>
        <v>0.96069421364485219</v>
      </c>
    </row>
    <row r="15" spans="2:15" ht="19.5" customHeight="1">
      <c r="B15" s="242"/>
      <c r="C15" s="250" t="s">
        <v>2</v>
      </c>
      <c r="D15" s="77" t="s">
        <v>0</v>
      </c>
      <c r="E15" s="71">
        <f>SUM(E16:E18)</f>
        <v>11801775</v>
      </c>
      <c r="F15" s="71">
        <f>SUM(F16:F18)</f>
        <v>976843</v>
      </c>
      <c r="G15" s="71">
        <f>SUM(G16:G18)</f>
        <v>2081568</v>
      </c>
      <c r="H15" s="71">
        <f>SUM(H16:H18)</f>
        <v>793109</v>
      </c>
      <c r="I15" s="71">
        <f>SUM(I16:I18)</f>
        <v>1642571</v>
      </c>
      <c r="J15" s="117">
        <f t="shared" si="0"/>
        <v>-183734</v>
      </c>
      <c r="K15" s="72">
        <f t="shared" si="1"/>
        <v>0.81191040934930181</v>
      </c>
      <c r="L15" s="120">
        <f t="shared" si="2"/>
        <v>-438997</v>
      </c>
      <c r="M15" s="73">
        <f t="shared" si="3"/>
        <v>0.78910273409276088</v>
      </c>
    </row>
    <row r="16" spans="2:15" ht="19.5" customHeight="1">
      <c r="B16" s="242"/>
      <c r="C16" s="251"/>
      <c r="D16" s="5" t="s">
        <v>3</v>
      </c>
      <c r="E16" s="159">
        <v>8295705</v>
      </c>
      <c r="F16" s="42">
        <v>678363</v>
      </c>
      <c r="G16" s="42">
        <f>1393926</f>
        <v>1393926</v>
      </c>
      <c r="H16" s="42">
        <v>483573</v>
      </c>
      <c r="I16" s="42">
        <v>1094668</v>
      </c>
      <c r="J16" s="115">
        <f t="shared" si="0"/>
        <v>-194790</v>
      </c>
      <c r="K16" s="18">
        <f t="shared" si="1"/>
        <v>0.71285285311846314</v>
      </c>
      <c r="L16" s="119">
        <f t="shared" si="2"/>
        <v>-299258</v>
      </c>
      <c r="M16" s="25">
        <f t="shared" si="3"/>
        <v>0.78531285017999519</v>
      </c>
    </row>
    <row r="17" spans="1:13" ht="19.5" customHeight="1">
      <c r="B17" s="242"/>
      <c r="C17" s="251"/>
      <c r="D17" s="6" t="s">
        <v>4</v>
      </c>
      <c r="E17" s="159">
        <v>3506070</v>
      </c>
      <c r="F17" s="43">
        <v>298480</v>
      </c>
      <c r="G17" s="43">
        <v>687642</v>
      </c>
      <c r="H17" s="43">
        <v>309536</v>
      </c>
      <c r="I17" s="43">
        <v>547903</v>
      </c>
      <c r="J17" s="115">
        <f t="shared" si="0"/>
        <v>11056</v>
      </c>
      <c r="K17" s="18">
        <f t="shared" si="1"/>
        <v>1.037041007772715</v>
      </c>
      <c r="L17" s="119">
        <f t="shared" si="2"/>
        <v>-139739</v>
      </c>
      <c r="M17" s="25">
        <f t="shared" si="3"/>
        <v>0.79678524581104704</v>
      </c>
    </row>
    <row r="18" spans="1:13" ht="19.5" customHeight="1">
      <c r="B18" s="243"/>
      <c r="C18" s="252"/>
      <c r="D18" s="6" t="s">
        <v>17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115">
        <f t="shared" si="0"/>
        <v>0</v>
      </c>
      <c r="K18" s="80">
        <v>0</v>
      </c>
      <c r="L18" s="119">
        <f t="shared" si="2"/>
        <v>0</v>
      </c>
      <c r="M18" s="25" t="s">
        <v>97</v>
      </c>
    </row>
    <row r="19" spans="1:13" ht="20.100000000000001" customHeight="1">
      <c r="B19" s="27"/>
      <c r="C19" s="28"/>
      <c r="D19" s="7"/>
      <c r="E19" s="15"/>
      <c r="F19" s="1"/>
      <c r="G19" s="1"/>
      <c r="H19" s="1"/>
      <c r="I19" s="15"/>
      <c r="J19" s="17"/>
      <c r="K19" s="246" t="s">
        <v>23</v>
      </c>
      <c r="L19" s="247"/>
      <c r="M19" s="248"/>
    </row>
    <row r="20" spans="1:13" ht="21.2" customHeight="1">
      <c r="B20" s="122"/>
      <c r="C20" s="244" t="s">
        <v>8</v>
      </c>
      <c r="D20" s="245"/>
      <c r="E20" s="84">
        <f>SUM(E21,E25)</f>
        <v>851953</v>
      </c>
      <c r="F20" s="3">
        <f>SUM(F21,F25)</f>
        <v>52277.5</v>
      </c>
      <c r="G20" s="3">
        <f>SUM(G21,G25)</f>
        <v>140713</v>
      </c>
      <c r="H20" s="84">
        <f>SUM(H21,H25)</f>
        <v>61176</v>
      </c>
      <c r="I20" s="84">
        <f>SUM(I21,I25)</f>
        <v>123184</v>
      </c>
      <c r="J20" s="85">
        <f t="shared" si="0"/>
        <v>8898.5</v>
      </c>
      <c r="K20" s="86">
        <f t="shared" si="1"/>
        <v>1.1702166323944336</v>
      </c>
      <c r="L20" s="87">
        <f t="shared" si="2"/>
        <v>-17529</v>
      </c>
      <c r="M20" s="24">
        <f>I20/G20</f>
        <v>0.87542728816811521</v>
      </c>
    </row>
    <row r="21" spans="1:13" ht="19.5" customHeight="1">
      <c r="B21" s="123"/>
      <c r="C21" s="231" t="s">
        <v>1</v>
      </c>
      <c r="D21" s="79" t="s">
        <v>0</v>
      </c>
      <c r="E21" s="80">
        <f>SUM(E22:E24)</f>
        <v>851953</v>
      </c>
      <c r="F21" s="80">
        <f>SUM(F22:F24)</f>
        <v>52277.5</v>
      </c>
      <c r="G21" s="80">
        <f>SUM(G22:G24)</f>
        <v>140713</v>
      </c>
      <c r="H21" s="80">
        <f>SUM(H22:H24)</f>
        <v>61176</v>
      </c>
      <c r="I21" s="80">
        <f>SUM(I22:I24)</f>
        <v>123184</v>
      </c>
      <c r="J21" s="81">
        <f t="shared" si="0"/>
        <v>8898.5</v>
      </c>
      <c r="K21" s="82">
        <f t="shared" si="1"/>
        <v>1.1702166323944336</v>
      </c>
      <c r="L21" s="83">
        <f t="shared" si="2"/>
        <v>-17529</v>
      </c>
      <c r="M21" s="76">
        <f t="shared" si="3"/>
        <v>0.87542728816811521</v>
      </c>
    </row>
    <row r="22" spans="1:13" ht="19.5" customHeight="1">
      <c r="B22" s="124" t="s">
        <v>19</v>
      </c>
      <c r="C22" s="231"/>
      <c r="D22" s="46" t="s">
        <v>5</v>
      </c>
      <c r="E22" s="160">
        <v>416040.5</v>
      </c>
      <c r="F22" s="48">
        <v>22735.3</v>
      </c>
      <c r="G22" s="197">
        <v>67592.5</v>
      </c>
      <c r="H22" s="48">
        <v>29555.5</v>
      </c>
      <c r="I22" s="48">
        <v>61101.5</v>
      </c>
      <c r="J22" s="111">
        <f t="shared" si="0"/>
        <v>6820.2000000000007</v>
      </c>
      <c r="K22" s="45">
        <f t="shared" si="1"/>
        <v>1.2999828460587721</v>
      </c>
      <c r="L22" s="23">
        <f t="shared" si="2"/>
        <v>-6491</v>
      </c>
      <c r="M22" s="25">
        <f t="shared" si="3"/>
        <v>0.9039686355734734</v>
      </c>
    </row>
    <row r="23" spans="1:13" ht="19.5" customHeight="1">
      <c r="B23" s="124" t="s">
        <v>20</v>
      </c>
      <c r="C23" s="231"/>
      <c r="D23" s="2" t="s">
        <v>14</v>
      </c>
      <c r="E23" s="160">
        <v>418271.5</v>
      </c>
      <c r="F23" s="48">
        <v>26662.2</v>
      </c>
      <c r="G23" s="197">
        <v>69440.5</v>
      </c>
      <c r="H23" s="48">
        <v>31053.5</v>
      </c>
      <c r="I23" s="48">
        <v>60158.5</v>
      </c>
      <c r="J23" s="111">
        <f t="shared" si="0"/>
        <v>4391.2999999999993</v>
      </c>
      <c r="K23" s="45">
        <f t="shared" si="1"/>
        <v>1.1647013374740269</v>
      </c>
      <c r="L23" s="19">
        <f t="shared" si="2"/>
        <v>-9282</v>
      </c>
      <c r="M23" s="25">
        <f t="shared" si="3"/>
        <v>0.86633160763531369</v>
      </c>
    </row>
    <row r="24" spans="1:13" ht="19.5" customHeight="1">
      <c r="B24" s="125"/>
      <c r="C24" s="231"/>
      <c r="D24" s="2" t="s">
        <v>13</v>
      </c>
      <c r="E24" s="160">
        <v>17641</v>
      </c>
      <c r="F24" s="48">
        <f>1443+1437</f>
        <v>2880</v>
      </c>
      <c r="G24" s="197">
        <f>1936+1744</f>
        <v>3680</v>
      </c>
      <c r="H24" s="48">
        <f>213+354</f>
        <v>567</v>
      </c>
      <c r="I24" s="48">
        <f>590.5+1333.5</f>
        <v>1924</v>
      </c>
      <c r="J24" s="111">
        <f t="shared" si="0"/>
        <v>-2313</v>
      </c>
      <c r="K24" s="45">
        <f t="shared" si="1"/>
        <v>0.19687499999999999</v>
      </c>
      <c r="L24" s="19">
        <f t="shared" si="2"/>
        <v>-1756</v>
      </c>
      <c r="M24" s="25">
        <f t="shared" si="3"/>
        <v>0.52282608695652177</v>
      </c>
    </row>
    <row r="25" spans="1:13" ht="19.5" customHeight="1">
      <c r="B25" s="123"/>
      <c r="C25" s="269" t="s">
        <v>2</v>
      </c>
      <c r="D25" s="79" t="s">
        <v>69</v>
      </c>
      <c r="E25" s="80">
        <f>SUM(E26:E27)</f>
        <v>0</v>
      </c>
      <c r="F25" s="80">
        <f>SUM(F26:F27)</f>
        <v>0</v>
      </c>
      <c r="G25" s="80">
        <f>SUM(G26:G27)</f>
        <v>0</v>
      </c>
      <c r="H25" s="80">
        <v>0</v>
      </c>
      <c r="I25" s="80">
        <f>SUM(I26:I27)</f>
        <v>0</v>
      </c>
      <c r="J25" s="81">
        <f t="shared" si="0"/>
        <v>0</v>
      </c>
      <c r="K25" s="80">
        <v>0</v>
      </c>
      <c r="L25" s="19">
        <f t="shared" si="2"/>
        <v>0</v>
      </c>
      <c r="M25" s="80">
        <v>0</v>
      </c>
    </row>
    <row r="26" spans="1:13" ht="19.5" customHeight="1">
      <c r="B26" s="123"/>
      <c r="C26" s="269"/>
      <c r="D26" s="79" t="s">
        <v>69</v>
      </c>
      <c r="E26" s="49">
        <v>0</v>
      </c>
      <c r="F26" s="49">
        <v>0</v>
      </c>
      <c r="G26" s="49">
        <v>0</v>
      </c>
      <c r="H26" s="49">
        <v>0</v>
      </c>
      <c r="I26" s="49">
        <v>0</v>
      </c>
      <c r="J26" s="81">
        <f t="shared" si="0"/>
        <v>0</v>
      </c>
      <c r="K26" s="80">
        <v>0</v>
      </c>
      <c r="L26" s="19">
        <f t="shared" si="2"/>
        <v>0</v>
      </c>
      <c r="M26" s="80">
        <v>0</v>
      </c>
    </row>
    <row r="27" spans="1:13" ht="19.5" customHeight="1">
      <c r="B27" s="126"/>
      <c r="C27" s="269"/>
      <c r="D27" s="79" t="s">
        <v>69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81">
        <f t="shared" si="0"/>
        <v>0</v>
      </c>
      <c r="K27" s="80">
        <v>0</v>
      </c>
      <c r="L27" s="19">
        <f t="shared" si="2"/>
        <v>0</v>
      </c>
      <c r="M27" s="80">
        <v>0</v>
      </c>
    </row>
    <row r="28" spans="1:13" s="91" customFormat="1" ht="21.2" customHeight="1" thickBot="1">
      <c r="B28" s="270" t="s">
        <v>67</v>
      </c>
      <c r="C28" s="271"/>
      <c r="D28" s="272"/>
      <c r="E28" s="92">
        <v>1635790</v>
      </c>
      <c r="F28" s="92">
        <v>110725</v>
      </c>
      <c r="G28" s="92">
        <f>142514+142514</f>
        <v>285028</v>
      </c>
      <c r="H28" s="92">
        <v>133698</v>
      </c>
      <c r="I28" s="92">
        <f>152953+133698</f>
        <v>286651</v>
      </c>
      <c r="J28" s="93">
        <f t="shared" si="0"/>
        <v>22973</v>
      </c>
      <c r="K28" s="94">
        <f t="shared" si="1"/>
        <v>1.2074779860013547</v>
      </c>
      <c r="L28" s="95">
        <f t="shared" si="2"/>
        <v>1623</v>
      </c>
      <c r="M28" s="96">
        <f t="shared" si="3"/>
        <v>1.0056941774141488</v>
      </c>
    </row>
    <row r="29" spans="1:13" ht="12.75" customHeight="1">
      <c r="B29" s="29"/>
      <c r="C29" s="29"/>
      <c r="D29" s="29"/>
      <c r="E29" s="30"/>
      <c r="F29" s="31"/>
      <c r="G29" s="31"/>
      <c r="H29" s="31"/>
      <c r="I29" s="31"/>
      <c r="J29" s="30"/>
      <c r="K29" s="32"/>
      <c r="L29" s="33"/>
      <c r="M29" s="34"/>
    </row>
    <row r="30" spans="1:13" s="275" customFormat="1" ht="18.75" customHeight="1">
      <c r="A30" s="275" t="s">
        <v>27</v>
      </c>
    </row>
    <row r="31" spans="1:13" s="47" customFormat="1" ht="21.2" customHeight="1">
      <c r="B31" s="274" t="s">
        <v>24</v>
      </c>
      <c r="C31" s="274"/>
      <c r="D31" s="89"/>
      <c r="E31" s="89"/>
      <c r="F31" s="89"/>
      <c r="G31" s="89"/>
      <c r="H31" s="274" t="s">
        <v>25</v>
      </c>
      <c r="I31" s="274"/>
    </row>
    <row r="32" spans="1:13" s="44" customFormat="1" ht="24" customHeight="1">
      <c r="B32"/>
      <c r="C32"/>
      <c r="D32"/>
      <c r="E32"/>
      <c r="F32"/>
      <c r="G32"/>
      <c r="H32"/>
      <c r="I32"/>
      <c r="J32" s="10"/>
      <c r="K32" s="9"/>
      <c r="L32" s="11"/>
      <c r="M32" s="12"/>
    </row>
    <row r="33" spans="2:13" s="44" customFormat="1" ht="30.2" customHeight="1">
      <c r="B33"/>
      <c r="C33"/>
      <c r="D33"/>
      <c r="E33"/>
      <c r="F33"/>
      <c r="G33"/>
      <c r="H33"/>
      <c r="I33"/>
      <c r="J33" s="10"/>
      <c r="K33" s="9"/>
      <c r="L33" s="11"/>
      <c r="M33" s="12"/>
    </row>
    <row r="34" spans="2:13" s="44" customFormat="1" ht="37.15" customHeight="1">
      <c r="B34"/>
      <c r="C34"/>
      <c r="D34"/>
      <c r="E34"/>
      <c r="F34"/>
      <c r="G34"/>
      <c r="H34"/>
      <c r="I34"/>
      <c r="J34" s="10"/>
      <c r="K34" s="9"/>
      <c r="L34" s="11"/>
      <c r="M34" s="12"/>
    </row>
    <row r="35" spans="2:13" s="44" customFormat="1" ht="37.15" customHeight="1">
      <c r="B35"/>
      <c r="C35"/>
      <c r="D35"/>
      <c r="E35"/>
      <c r="F35"/>
      <c r="G35"/>
      <c r="H35"/>
      <c r="I35"/>
      <c r="J35" s="10"/>
      <c r="K35" s="9"/>
      <c r="L35" s="11"/>
      <c r="M35" s="12"/>
    </row>
    <row r="40" spans="2:13" s="273" customFormat="1" ht="24" customHeight="1"/>
    <row r="41" spans="2:13" ht="19.5" customHeight="1">
      <c r="B41" s="267"/>
      <c r="C41" s="268"/>
      <c r="D41" s="268"/>
      <c r="E41" s="268"/>
      <c r="F41" s="268"/>
      <c r="G41" s="268"/>
      <c r="H41" s="268"/>
      <c r="I41" s="268"/>
      <c r="J41" s="268"/>
      <c r="K41" s="268"/>
      <c r="L41" s="268"/>
      <c r="M41" s="268"/>
    </row>
    <row r="42" spans="2:13" ht="19.5" customHeight="1">
      <c r="B42" s="267"/>
      <c r="C42" s="268"/>
      <c r="D42" s="268"/>
      <c r="E42" s="268"/>
      <c r="F42" s="268"/>
      <c r="G42" s="268"/>
      <c r="H42" s="268"/>
      <c r="I42" s="268"/>
      <c r="J42" s="268"/>
      <c r="K42" s="268"/>
      <c r="L42" s="268"/>
      <c r="M42" s="268"/>
    </row>
  </sheetData>
  <mergeCells count="27">
    <mergeCell ref="B41:M41"/>
    <mergeCell ref="B42:M42"/>
    <mergeCell ref="C25:C27"/>
    <mergeCell ref="B28:D28"/>
    <mergeCell ref="A40:XFD40"/>
    <mergeCell ref="B31:C31"/>
    <mergeCell ref="H31:I31"/>
    <mergeCell ref="A30:XFD30"/>
    <mergeCell ref="L1:M1"/>
    <mergeCell ref="C10:D10"/>
    <mergeCell ref="C7:D7"/>
    <mergeCell ref="J5:M5"/>
    <mergeCell ref="B5:D6"/>
    <mergeCell ref="B2:M2"/>
    <mergeCell ref="B3:M3"/>
    <mergeCell ref="F5:G5"/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</mergeCells>
  <phoneticPr fontId="7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80" orientation="landscape" verticalDpi="597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1"/>
  <sheetViews>
    <sheetView zoomScale="85" zoomScaleNormal="85" workbookViewId="0">
      <selection activeCell="G4" sqref="G4"/>
    </sheetView>
  </sheetViews>
  <sheetFormatPr defaultRowHeight="14.25"/>
  <cols>
    <col min="1" max="1" width="11.25" customWidth="1"/>
    <col min="2" max="6" width="8.75" customWidth="1"/>
    <col min="7" max="7" width="9.5" customWidth="1"/>
    <col min="8" max="8" width="12.125" customWidth="1"/>
    <col min="9" max="13" width="8.875" customWidth="1"/>
    <col min="14" max="14" width="12.25" customWidth="1"/>
    <col min="17" max="17" width="10.75" bestFit="1" customWidth="1"/>
  </cols>
  <sheetData>
    <row r="1" spans="1:27" s="52" customFormat="1" ht="18.75">
      <c r="A1" s="51" t="s">
        <v>28</v>
      </c>
    </row>
    <row r="2" spans="1:27" s="52" customFormat="1" ht="15" thickBot="1">
      <c r="A2"/>
      <c r="B2"/>
      <c r="C2"/>
      <c r="D2" s="97"/>
      <c r="E2" s="97"/>
      <c r="F2" s="276" t="s">
        <v>70</v>
      </c>
      <c r="G2" s="276"/>
      <c r="H2"/>
      <c r="I2"/>
      <c r="J2"/>
      <c r="K2" s="97"/>
      <c r="L2" s="97"/>
      <c r="M2" s="276" t="s">
        <v>29</v>
      </c>
      <c r="N2" s="276"/>
    </row>
    <row r="3" spans="1:27" s="52" customFormat="1" ht="32.25" customHeight="1">
      <c r="A3" s="53" t="s">
        <v>30</v>
      </c>
      <c r="B3" s="54">
        <v>18</v>
      </c>
      <c r="C3" s="54">
        <v>19</v>
      </c>
      <c r="D3" s="54">
        <v>20</v>
      </c>
      <c r="E3" s="54">
        <v>21</v>
      </c>
      <c r="F3" s="54">
        <v>22</v>
      </c>
      <c r="G3" s="107" t="s">
        <v>106</v>
      </c>
      <c r="H3" s="55" t="s">
        <v>30</v>
      </c>
      <c r="I3" s="54">
        <v>18</v>
      </c>
      <c r="J3" s="54">
        <v>19</v>
      </c>
      <c r="K3" s="54">
        <v>20</v>
      </c>
      <c r="L3" s="54">
        <v>21</v>
      </c>
      <c r="M3" s="54">
        <v>22</v>
      </c>
      <c r="N3" s="108" t="str">
        <f>$G$3</f>
        <v>23.02.</v>
      </c>
    </row>
    <row r="4" spans="1:27" s="52" customFormat="1" ht="39.200000000000003" customHeight="1" thickBot="1">
      <c r="A4" s="69" t="s">
        <v>31</v>
      </c>
      <c r="B4" s="99">
        <v>18829</v>
      </c>
      <c r="C4" s="99">
        <v>18416</v>
      </c>
      <c r="D4" s="99">
        <v>17409</v>
      </c>
      <c r="E4" s="99">
        <v>16473</v>
      </c>
      <c r="F4" s="99">
        <v>16626</v>
      </c>
      <c r="G4" s="100">
        <f>통계요약!I7</f>
        <v>2749</v>
      </c>
      <c r="H4" s="69" t="s">
        <v>32</v>
      </c>
      <c r="I4" s="99">
        <v>115147</v>
      </c>
      <c r="J4" s="99">
        <v>113201</v>
      </c>
      <c r="K4" s="99">
        <v>106847</v>
      </c>
      <c r="L4" s="99">
        <v>116876</v>
      </c>
      <c r="M4" s="99">
        <v>116137</v>
      </c>
      <c r="N4" s="127">
        <v>11059</v>
      </c>
    </row>
    <row r="5" spans="1:27" s="52" customFormat="1" ht="30.2" customHeight="1" thickBot="1">
      <c r="A5"/>
      <c r="B5"/>
      <c r="C5"/>
      <c r="D5" s="97"/>
      <c r="E5" s="97"/>
      <c r="F5" s="277" t="s">
        <v>33</v>
      </c>
      <c r="G5" s="277"/>
      <c r="H5" s="56"/>
      <c r="I5" s="57"/>
      <c r="J5" s="57"/>
      <c r="K5" s="97"/>
      <c r="L5" s="97"/>
      <c r="M5" s="277" t="s">
        <v>34</v>
      </c>
      <c r="N5" s="277"/>
    </row>
    <row r="6" spans="1:27" s="52" customFormat="1" ht="32.25" customHeight="1">
      <c r="A6" s="53" t="s">
        <v>30</v>
      </c>
      <c r="B6" s="54">
        <v>18</v>
      </c>
      <c r="C6" s="54">
        <v>19</v>
      </c>
      <c r="D6" s="54">
        <v>20</v>
      </c>
      <c r="E6" s="54">
        <v>21</v>
      </c>
      <c r="F6" s="54">
        <v>22</v>
      </c>
      <c r="G6" s="108" t="str">
        <f>$G$3</f>
        <v>23.02.</v>
      </c>
      <c r="H6" s="55" t="s">
        <v>30</v>
      </c>
      <c r="I6" s="54">
        <v>18</v>
      </c>
      <c r="J6" s="54">
        <v>19</v>
      </c>
      <c r="K6" s="54">
        <v>20</v>
      </c>
      <c r="L6" s="54">
        <v>21</v>
      </c>
      <c r="M6" s="54">
        <v>22</v>
      </c>
      <c r="N6" s="108" t="str">
        <f>$G$3</f>
        <v>23.02.</v>
      </c>
    </row>
    <row r="7" spans="1:27" s="52" customFormat="1" ht="37.5" customHeight="1" thickBot="1">
      <c r="A7" s="69" t="s">
        <v>35</v>
      </c>
      <c r="B7" s="101">
        <v>689852</v>
      </c>
      <c r="C7" s="101">
        <v>725047</v>
      </c>
      <c r="D7" s="101">
        <v>792643</v>
      </c>
      <c r="E7" s="101">
        <v>936246</v>
      </c>
      <c r="F7" s="101">
        <v>851953</v>
      </c>
      <c r="G7" s="102">
        <f>통계요약!I20</f>
        <v>123184</v>
      </c>
      <c r="H7" s="69" t="s">
        <v>36</v>
      </c>
      <c r="I7" s="99">
        <v>452480</v>
      </c>
      <c r="J7" s="99">
        <v>623733</v>
      </c>
      <c r="K7" s="99">
        <v>40267</v>
      </c>
      <c r="L7" s="128">
        <v>0</v>
      </c>
      <c r="M7" s="128">
        <v>0</v>
      </c>
      <c r="N7" s="103">
        <v>0</v>
      </c>
      <c r="AA7" s="90">
        <f>(19166/188141)^(1/4)-1</f>
        <v>-0.43504740355323723</v>
      </c>
    </row>
    <row r="12" spans="1:27" s="63" customFormat="1" ht="25.5" customHeight="1">
      <c r="A12" s="63" t="s">
        <v>37</v>
      </c>
    </row>
    <row r="13" spans="1:27" s="52" customFormat="1" ht="21.2" customHeight="1">
      <c r="A13" s="88" t="s">
        <v>52</v>
      </c>
      <c r="H13" s="88" t="s">
        <v>51</v>
      </c>
      <c r="I13" s="58"/>
      <c r="J13" s="59"/>
      <c r="K13" s="60"/>
      <c r="L13" s="61"/>
      <c r="M13" s="61"/>
      <c r="N13" s="61"/>
    </row>
    <row r="14" spans="1:27" s="52" customFormat="1" ht="24" customHeight="1">
      <c r="I14" s="58"/>
      <c r="J14" s="59"/>
      <c r="K14" s="60"/>
      <c r="L14" s="61"/>
      <c r="M14" s="61"/>
      <c r="N14" s="61"/>
    </row>
    <row r="15" spans="1:27" s="52" customFormat="1" ht="24" customHeight="1">
      <c r="I15" s="58"/>
      <c r="J15" s="59"/>
      <c r="K15" s="60"/>
      <c r="L15" s="61"/>
      <c r="M15" s="61"/>
      <c r="N15" s="61"/>
    </row>
    <row r="16" spans="1:27" s="52" customFormat="1" ht="24" customHeight="1">
      <c r="I16" s="58"/>
      <c r="J16" s="59"/>
      <c r="K16" s="60"/>
      <c r="L16" s="61"/>
      <c r="M16" s="61"/>
      <c r="N16" s="61"/>
    </row>
    <row r="17" spans="1:14" s="52" customFormat="1" ht="24" customHeight="1">
      <c r="I17" s="58"/>
      <c r="J17" s="59"/>
      <c r="K17" s="60"/>
      <c r="L17" s="61"/>
      <c r="M17" s="61"/>
      <c r="N17" s="61"/>
    </row>
    <row r="18" spans="1:14" s="52" customFormat="1" ht="24" customHeight="1">
      <c r="I18" s="58"/>
      <c r="J18" s="59"/>
      <c r="K18" s="60"/>
      <c r="L18" s="61"/>
      <c r="M18" s="61"/>
      <c r="N18" s="61"/>
    </row>
    <row r="19" spans="1:14" s="52" customFormat="1" ht="24" customHeight="1">
      <c r="I19" s="58"/>
      <c r="J19" s="59"/>
      <c r="K19" s="60"/>
      <c r="L19" s="61"/>
      <c r="M19" s="61"/>
      <c r="N19" s="61"/>
    </row>
    <row r="20" spans="1:14" s="52" customFormat="1" ht="24" customHeight="1">
      <c r="I20" s="58"/>
      <c r="J20" s="59"/>
      <c r="K20" s="60"/>
      <c r="L20" s="61"/>
      <c r="M20" s="61"/>
      <c r="N20" s="61"/>
    </row>
    <row r="21" spans="1:14" s="52" customFormat="1" ht="24" customHeight="1">
      <c r="I21" s="58"/>
      <c r="J21" s="59"/>
      <c r="K21" s="60"/>
      <c r="L21" s="61"/>
      <c r="M21" s="61"/>
      <c r="N21" s="61"/>
    </row>
    <row r="22" spans="1:14" s="52" customFormat="1" ht="36" customHeight="1">
      <c r="I22" s="58"/>
      <c r="J22" s="59"/>
      <c r="K22" s="60"/>
      <c r="L22" s="61"/>
      <c r="M22" s="61"/>
      <c r="N22" s="61"/>
    </row>
    <row r="23" spans="1:14" s="52" customFormat="1" ht="27.75" customHeight="1">
      <c r="A23" s="62" t="s">
        <v>25</v>
      </c>
      <c r="H23" s="88" t="s">
        <v>50</v>
      </c>
      <c r="I23" s="58"/>
      <c r="J23" s="59"/>
      <c r="K23" s="60"/>
      <c r="L23" s="61"/>
      <c r="M23" s="61"/>
      <c r="N23" s="61"/>
    </row>
    <row r="24" spans="1:14" s="52" customFormat="1" ht="24" customHeight="1">
      <c r="I24" s="58"/>
      <c r="J24" s="59"/>
      <c r="K24" s="60"/>
      <c r="L24" s="61"/>
      <c r="M24" s="61"/>
      <c r="N24" s="61"/>
    </row>
    <row r="25" spans="1:14" s="52" customFormat="1" ht="24" customHeight="1">
      <c r="I25" s="58"/>
      <c r="J25" s="59"/>
      <c r="K25" s="60"/>
      <c r="L25" s="61"/>
      <c r="M25" s="61"/>
      <c r="N25" s="61"/>
    </row>
    <row r="26" spans="1:14" s="52" customFormat="1" ht="24" customHeight="1">
      <c r="I26" s="58"/>
      <c r="J26" s="59"/>
      <c r="K26" s="60"/>
      <c r="L26" s="61"/>
      <c r="M26" s="61"/>
      <c r="N26" s="61"/>
    </row>
    <row r="27" spans="1:14" s="52" customFormat="1" ht="24" customHeight="1">
      <c r="I27" s="58"/>
      <c r="J27" s="59"/>
      <c r="K27" s="60"/>
      <c r="L27" s="61"/>
      <c r="M27" s="61"/>
      <c r="N27" s="61"/>
    </row>
    <row r="28" spans="1:14" s="52" customFormat="1" ht="24" customHeight="1">
      <c r="I28" s="58"/>
      <c r="J28" s="59"/>
      <c r="K28" s="60"/>
      <c r="L28" s="61"/>
      <c r="M28" s="61"/>
      <c r="N28" s="61"/>
    </row>
    <row r="29" spans="1:14" s="52" customFormat="1" ht="24" customHeight="1">
      <c r="I29" s="58"/>
      <c r="J29" s="59"/>
      <c r="K29" s="60"/>
      <c r="L29" s="61"/>
      <c r="M29" s="61"/>
      <c r="N29" s="61"/>
    </row>
    <row r="30" spans="1:14" s="52" customFormat="1" ht="24" customHeight="1">
      <c r="I30" s="58"/>
      <c r="J30" s="59"/>
      <c r="K30" s="60"/>
      <c r="L30" s="61"/>
      <c r="M30" s="61"/>
      <c r="N30" s="61"/>
    </row>
    <row r="31" spans="1:14" s="52" customFormat="1" ht="24" customHeight="1">
      <c r="I31" s="58"/>
      <c r="J31" s="59"/>
      <c r="K31" s="60"/>
      <c r="L31" s="61"/>
      <c r="M31" s="61"/>
      <c r="N31" s="61"/>
    </row>
  </sheetData>
  <mergeCells count="4">
    <mergeCell ref="F2:G2"/>
    <mergeCell ref="M2:N2"/>
    <mergeCell ref="F5:G5"/>
    <mergeCell ref="M5:N5"/>
  </mergeCells>
  <phoneticPr fontId="22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5"/>
  <sheetViews>
    <sheetView zoomScale="90" zoomScaleNormal="9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E1" sqref="E1"/>
    </sheetView>
  </sheetViews>
  <sheetFormatPr defaultColWidth="10" defaultRowHeight="13.5"/>
  <cols>
    <col min="1" max="1" width="10" style="64" customWidth="1"/>
    <col min="2" max="2" width="5.75" style="64" customWidth="1"/>
    <col min="3" max="3" width="1" style="64" customWidth="1"/>
    <col min="4" max="4" width="8" style="64" customWidth="1"/>
    <col min="5" max="5" width="14.875" style="64" bestFit="1" customWidth="1"/>
    <col min="6" max="6" width="11" style="64" customWidth="1"/>
    <col min="7" max="7" width="13.25" style="64" customWidth="1"/>
    <col min="8" max="8" width="11" style="64" customWidth="1"/>
    <col min="9" max="9" width="13.25" style="64" customWidth="1"/>
    <col min="10" max="10" width="12.25" style="64" customWidth="1"/>
    <col min="11" max="11" width="11" style="64" customWidth="1"/>
    <col min="12" max="12" width="12.75" style="64" customWidth="1"/>
    <col min="13" max="13" width="11" style="64" customWidth="1"/>
    <col min="14" max="16384" width="10" style="64"/>
  </cols>
  <sheetData>
    <row r="1" spans="1:16" ht="50.25" customHeight="1" thickBot="1">
      <c r="A1" s="70" t="s">
        <v>38</v>
      </c>
      <c r="F1" s="106"/>
      <c r="G1" s="106"/>
      <c r="H1" s="106"/>
      <c r="I1" s="106"/>
      <c r="J1" s="65"/>
      <c r="K1" s="66"/>
      <c r="L1" s="67"/>
      <c r="M1" s="68"/>
    </row>
    <row r="2" spans="1:16" ht="21.95" customHeight="1">
      <c r="A2" s="284" t="s">
        <v>39</v>
      </c>
      <c r="B2" s="285"/>
      <c r="C2" s="285"/>
      <c r="D2" s="288" t="s">
        <v>40</v>
      </c>
      <c r="E2" s="130"/>
      <c r="F2" s="278" t="s">
        <v>98</v>
      </c>
      <c r="G2" s="278"/>
      <c r="H2" s="278" t="s">
        <v>100</v>
      </c>
      <c r="I2" s="278"/>
      <c r="J2" s="278" t="s">
        <v>41</v>
      </c>
      <c r="K2" s="278"/>
      <c r="L2" s="278"/>
      <c r="M2" s="279"/>
    </row>
    <row r="3" spans="1:16" ht="21.95" customHeight="1">
      <c r="A3" s="286"/>
      <c r="B3" s="287"/>
      <c r="C3" s="287"/>
      <c r="D3" s="289"/>
      <c r="E3" s="131" t="s">
        <v>42</v>
      </c>
      <c r="F3" s="131" t="str">
        <f>통계요약!F6</f>
        <v>2월(A)</v>
      </c>
      <c r="G3" s="131" t="str">
        <f>통계요약!G6</f>
        <v>2월누계(B)</v>
      </c>
      <c r="H3" s="98" t="str">
        <f>통계요약!H6</f>
        <v>2월(C)</v>
      </c>
      <c r="I3" s="131" t="str">
        <f>통계요약!I6</f>
        <v>2월누계(D)</v>
      </c>
      <c r="J3" s="131" t="s">
        <v>43</v>
      </c>
      <c r="K3" s="132" t="s">
        <v>44</v>
      </c>
      <c r="L3" s="133" t="s">
        <v>45</v>
      </c>
      <c r="M3" s="145" t="s">
        <v>44</v>
      </c>
    </row>
    <row r="4" spans="1:16" ht="21.95" customHeight="1">
      <c r="A4" s="280" t="s">
        <v>46</v>
      </c>
      <c r="B4" s="281"/>
      <c r="C4" s="281"/>
      <c r="D4" s="153" t="s">
        <v>47</v>
      </c>
      <c r="E4" s="141">
        <f>SUM(E6,E8,E10,E12,E14,E16,E18,E22,E20,E26,E28,E30,E32,E24,)</f>
        <v>851873</v>
      </c>
      <c r="F4" s="141">
        <f>SUM(F6,F8,F10,F12,F14,F16,F18,F22,F20,F26,F28,F30,F32,F24,)</f>
        <v>52277.75</v>
      </c>
      <c r="G4" s="141">
        <f>SUM(G6,G8,G10,G12,G14,G16,G18,G22,G20,G26,G28,G30,G32,G24,)</f>
        <v>140712.75</v>
      </c>
      <c r="H4" s="141">
        <f>SUM(H6,H8,H10,H12,H14,H16,H18,H22,H20,H26,H28,H30,H32,H24,)</f>
        <v>61176.25</v>
      </c>
      <c r="I4" s="141">
        <f>SUM(I6,I8,I10,I12,I14,I16,I18,I22,I20,I26,I28,I30,I32,I24,)</f>
        <v>123184.25</v>
      </c>
      <c r="J4" s="135">
        <f t="shared" ref="J4:J31" si="0">H4-F4</f>
        <v>8898.5</v>
      </c>
      <c r="K4" s="136">
        <f t="shared" ref="K4:K33" si="1">(H4/F4*100)-100</f>
        <v>17.021581839310215</v>
      </c>
      <c r="L4" s="137">
        <f t="shared" ref="L4:L31" si="2">I4-G4</f>
        <v>-17528.5</v>
      </c>
      <c r="M4" s="146">
        <f t="shared" ref="M4:M33" si="3">(I4/G4*100)-100</f>
        <v>-12.456937981810455</v>
      </c>
    </row>
    <row r="5" spans="1:16" ht="21.95" customHeight="1">
      <c r="A5" s="280"/>
      <c r="B5" s="281"/>
      <c r="C5" s="281"/>
      <c r="D5" s="153" t="s">
        <v>48</v>
      </c>
      <c r="E5" s="141">
        <f>SUM(E7,E9,E11,E13,E15,E17,E19,E21,E23,E27,E29,E31,E33,E25)</f>
        <v>13133494</v>
      </c>
      <c r="F5" s="141">
        <f>SUM(F7,F9,F11,F13,F15,F17,F19,F21,F23,F27,F29,F31,F33,F25)</f>
        <v>822275</v>
      </c>
      <c r="G5" s="141">
        <f>SUM(G7,G9,G11,G13,G15,G17,G19,G21,G23,G27,G29,G31,G33,G25)</f>
        <v>2198710</v>
      </c>
      <c r="H5" s="141">
        <f>SUM(H7,H9,H11,H13,H15,H17,H19,H21,H23,H27,H29,H31,H33,H25)</f>
        <v>905063</v>
      </c>
      <c r="I5" s="141">
        <f>SUM(I7,I9,I11,I13,I15,I17,I19,I21,I23,I27,I29,I31,I33,I25)</f>
        <v>1838310</v>
      </c>
      <c r="J5" s="135">
        <f t="shared" si="0"/>
        <v>82788</v>
      </c>
      <c r="K5" s="136">
        <f t="shared" si="1"/>
        <v>10.068164543492131</v>
      </c>
      <c r="L5" s="137">
        <f t="shared" si="2"/>
        <v>-360400</v>
      </c>
      <c r="M5" s="146">
        <f t="shared" si="3"/>
        <v>-16.391429520036752</v>
      </c>
    </row>
    <row r="6" spans="1:16" ht="21.2" customHeight="1">
      <c r="A6" s="282" t="s">
        <v>53</v>
      </c>
      <c r="B6" s="283"/>
      <c r="C6" s="283"/>
      <c r="D6" s="134" t="s">
        <v>47</v>
      </c>
      <c r="E6" s="154">
        <v>56152</v>
      </c>
      <c r="F6" s="179">
        <v>3711</v>
      </c>
      <c r="G6" s="161">
        <v>9154</v>
      </c>
      <c r="H6" s="215">
        <v>4913</v>
      </c>
      <c r="I6" s="199">
        <v>8538</v>
      </c>
      <c r="J6" s="138">
        <f t="shared" ref="J6:J20" si="4">H6-F6</f>
        <v>1202</v>
      </c>
      <c r="K6" s="139">
        <f t="shared" ref="K6:K19" si="5">(H6/F6*100)-100</f>
        <v>32.390191323093518</v>
      </c>
      <c r="L6" s="140">
        <f>I6-G6</f>
        <v>-616</v>
      </c>
      <c r="M6" s="147">
        <f>(I6/G6*100)-100</f>
        <v>-6.7292986672492958</v>
      </c>
      <c r="P6" s="64" t="s">
        <v>72</v>
      </c>
    </row>
    <row r="7" spans="1:16" ht="21.2" customHeight="1">
      <c r="A7" s="282"/>
      <c r="B7" s="283"/>
      <c r="C7" s="283"/>
      <c r="D7" s="134" t="s">
        <v>48</v>
      </c>
      <c r="E7" s="154">
        <v>1063612</v>
      </c>
      <c r="F7" s="188">
        <v>72252</v>
      </c>
      <c r="G7" s="170">
        <v>173186</v>
      </c>
      <c r="H7" s="223">
        <v>92181</v>
      </c>
      <c r="I7" s="207">
        <v>160866</v>
      </c>
      <c r="J7" s="138">
        <f t="shared" si="4"/>
        <v>19929</v>
      </c>
      <c r="K7" s="139">
        <f t="shared" si="5"/>
        <v>27.582627470519853</v>
      </c>
      <c r="L7" s="140">
        <f t="shared" si="2"/>
        <v>-12320</v>
      </c>
      <c r="M7" s="147">
        <f t="shared" si="3"/>
        <v>-7.1137389858302669</v>
      </c>
      <c r="P7" s="64" t="s">
        <v>72</v>
      </c>
    </row>
    <row r="8" spans="1:16" ht="21.2" customHeight="1">
      <c r="A8" s="282" t="s">
        <v>54</v>
      </c>
      <c r="B8" s="283"/>
      <c r="C8" s="283"/>
      <c r="D8" s="134" t="s">
        <v>47</v>
      </c>
      <c r="E8" s="154">
        <v>70330.75</v>
      </c>
      <c r="F8" s="180">
        <v>5092.75</v>
      </c>
      <c r="G8" s="162">
        <v>12362.75</v>
      </c>
      <c r="H8" s="216">
        <v>3943.25</v>
      </c>
      <c r="I8" s="200">
        <v>8642.75</v>
      </c>
      <c r="J8" s="138">
        <f t="shared" si="4"/>
        <v>-1149.5</v>
      </c>
      <c r="K8" s="139">
        <f t="shared" si="5"/>
        <v>-22.571302341563992</v>
      </c>
      <c r="L8" s="140">
        <f>I8-G8</f>
        <v>-3720</v>
      </c>
      <c r="M8" s="147">
        <f>(I8/G8*100)-100</f>
        <v>-30.090392509757137</v>
      </c>
      <c r="P8" s="64" t="s">
        <v>73</v>
      </c>
    </row>
    <row r="9" spans="1:16" ht="21.2" customHeight="1">
      <c r="A9" s="282"/>
      <c r="B9" s="283"/>
      <c r="C9" s="283"/>
      <c r="D9" s="134" t="s">
        <v>48</v>
      </c>
      <c r="E9" s="154">
        <v>1023659</v>
      </c>
      <c r="F9" s="189">
        <v>78873</v>
      </c>
      <c r="G9" s="171">
        <v>191203</v>
      </c>
      <c r="H9" s="224">
        <v>57347</v>
      </c>
      <c r="I9" s="208">
        <v>125602</v>
      </c>
      <c r="J9" s="138">
        <f t="shared" si="4"/>
        <v>-21526</v>
      </c>
      <c r="K9" s="139">
        <f t="shared" si="5"/>
        <v>-27.291975707783394</v>
      </c>
      <c r="L9" s="140">
        <f t="shared" si="2"/>
        <v>-65601</v>
      </c>
      <c r="M9" s="147">
        <f t="shared" si="3"/>
        <v>-34.309608112843421</v>
      </c>
      <c r="P9" s="64" t="s">
        <v>73</v>
      </c>
    </row>
    <row r="10" spans="1:16" ht="21.2" customHeight="1">
      <c r="A10" s="282" t="s">
        <v>93</v>
      </c>
      <c r="B10" s="283"/>
      <c r="C10" s="283"/>
      <c r="D10" s="134" t="s">
        <v>47</v>
      </c>
      <c r="E10" s="154">
        <v>11</v>
      </c>
      <c r="F10" s="144">
        <v>0</v>
      </c>
      <c r="G10" s="144">
        <v>0</v>
      </c>
      <c r="H10" s="144">
        <v>0</v>
      </c>
      <c r="I10" s="144">
        <v>0</v>
      </c>
      <c r="J10" s="138">
        <f t="shared" si="4"/>
        <v>0</v>
      </c>
      <c r="K10" s="144">
        <v>0</v>
      </c>
      <c r="L10" s="140">
        <f t="shared" si="2"/>
        <v>0</v>
      </c>
      <c r="M10" s="152">
        <v>0</v>
      </c>
      <c r="P10" s="64" t="s">
        <v>94</v>
      </c>
    </row>
    <row r="11" spans="1:16" ht="21.2" customHeight="1">
      <c r="A11" s="282"/>
      <c r="B11" s="283"/>
      <c r="C11" s="283"/>
      <c r="D11" s="134" t="s">
        <v>48</v>
      </c>
      <c r="E11" s="154">
        <v>39</v>
      </c>
      <c r="F11" s="144">
        <v>0</v>
      </c>
      <c r="G11" s="144">
        <v>0</v>
      </c>
      <c r="H11" s="144">
        <v>0</v>
      </c>
      <c r="I11" s="144">
        <v>0</v>
      </c>
      <c r="J11" s="138">
        <f t="shared" si="4"/>
        <v>0</v>
      </c>
      <c r="K11" s="144">
        <v>0</v>
      </c>
      <c r="L11" s="140">
        <f t="shared" si="2"/>
        <v>0</v>
      </c>
      <c r="M11" s="152">
        <v>0</v>
      </c>
      <c r="P11" s="64" t="s">
        <v>94</v>
      </c>
    </row>
    <row r="12" spans="1:16" ht="21.2" customHeight="1">
      <c r="A12" s="282" t="s">
        <v>66</v>
      </c>
      <c r="B12" s="283"/>
      <c r="C12" s="283"/>
      <c r="D12" s="134" t="s">
        <v>47</v>
      </c>
      <c r="E12" s="144"/>
      <c r="F12" s="144">
        <v>0</v>
      </c>
      <c r="G12" s="144">
        <v>0</v>
      </c>
      <c r="H12" s="144">
        <v>0</v>
      </c>
      <c r="I12" s="144">
        <v>0</v>
      </c>
      <c r="J12" s="138">
        <f t="shared" si="4"/>
        <v>0</v>
      </c>
      <c r="K12" s="144">
        <v>0</v>
      </c>
      <c r="L12" s="140">
        <f t="shared" si="2"/>
        <v>0</v>
      </c>
      <c r="M12" s="152">
        <v>0</v>
      </c>
      <c r="P12" s="64" t="s">
        <v>74</v>
      </c>
    </row>
    <row r="13" spans="1:16" ht="21.2" customHeight="1">
      <c r="A13" s="282"/>
      <c r="B13" s="283"/>
      <c r="C13" s="283"/>
      <c r="D13" s="134" t="s">
        <v>65</v>
      </c>
      <c r="E13" s="144"/>
      <c r="F13" s="144">
        <v>0</v>
      </c>
      <c r="G13" s="144">
        <v>0</v>
      </c>
      <c r="H13" s="144">
        <v>0</v>
      </c>
      <c r="I13" s="144">
        <v>0</v>
      </c>
      <c r="J13" s="138">
        <f t="shared" si="4"/>
        <v>0</v>
      </c>
      <c r="K13" s="144">
        <v>0</v>
      </c>
      <c r="L13" s="140">
        <f t="shared" si="2"/>
        <v>0</v>
      </c>
      <c r="M13" s="152">
        <v>0</v>
      </c>
      <c r="P13" s="64" t="s">
        <v>74</v>
      </c>
    </row>
    <row r="14" spans="1:16" ht="21.2" customHeight="1">
      <c r="A14" s="282" t="s">
        <v>55</v>
      </c>
      <c r="B14" s="283"/>
      <c r="C14" s="283"/>
      <c r="D14" s="134" t="s">
        <v>47</v>
      </c>
      <c r="E14" s="154">
        <v>127735.25</v>
      </c>
      <c r="F14" s="181">
        <v>13032</v>
      </c>
      <c r="G14" s="163">
        <v>24320</v>
      </c>
      <c r="H14" s="220">
        <v>8529</v>
      </c>
      <c r="I14" s="204">
        <v>18065.5</v>
      </c>
      <c r="J14" s="138">
        <f t="shared" si="4"/>
        <v>-4503</v>
      </c>
      <c r="K14" s="139">
        <f t="shared" si="5"/>
        <v>-34.55340699815838</v>
      </c>
      <c r="L14" s="140">
        <f t="shared" si="2"/>
        <v>-6254.5</v>
      </c>
      <c r="M14" s="147">
        <f>(I14/G14*100)-100</f>
        <v>-25.717516447368411</v>
      </c>
      <c r="P14" s="64" t="s">
        <v>75</v>
      </c>
    </row>
    <row r="15" spans="1:16" ht="21.2" customHeight="1">
      <c r="A15" s="282"/>
      <c r="B15" s="283"/>
      <c r="C15" s="283"/>
      <c r="D15" s="134" t="s">
        <v>48</v>
      </c>
      <c r="E15" s="154">
        <v>2021215</v>
      </c>
      <c r="F15" s="190">
        <v>194532</v>
      </c>
      <c r="G15" s="172">
        <v>377641</v>
      </c>
      <c r="H15" s="228">
        <v>147919</v>
      </c>
      <c r="I15" s="212">
        <v>294973</v>
      </c>
      <c r="J15" s="138">
        <f t="shared" si="4"/>
        <v>-46613</v>
      </c>
      <c r="K15" s="139">
        <f t="shared" si="5"/>
        <v>-23.961610429132492</v>
      </c>
      <c r="L15" s="140">
        <f t="shared" si="2"/>
        <v>-82668</v>
      </c>
      <c r="M15" s="147">
        <f t="shared" si="3"/>
        <v>-21.890631578668632</v>
      </c>
      <c r="P15" s="64" t="s">
        <v>76</v>
      </c>
    </row>
    <row r="16" spans="1:16" ht="21.2" customHeight="1">
      <c r="A16" s="282" t="s">
        <v>62</v>
      </c>
      <c r="B16" s="283"/>
      <c r="C16" s="283"/>
      <c r="D16" s="134" t="s">
        <v>47</v>
      </c>
      <c r="E16" s="154">
        <v>206399</v>
      </c>
      <c r="F16" s="182">
        <v>10347</v>
      </c>
      <c r="G16" s="164">
        <v>29963</v>
      </c>
      <c r="H16" s="221">
        <v>16750</v>
      </c>
      <c r="I16" s="205">
        <v>31126</v>
      </c>
      <c r="J16" s="138">
        <f t="shared" si="4"/>
        <v>6403</v>
      </c>
      <c r="K16" s="139">
        <f t="shared" si="5"/>
        <v>61.882671305692469</v>
      </c>
      <c r="L16" s="140">
        <f t="shared" si="2"/>
        <v>1163</v>
      </c>
      <c r="M16" s="147">
        <f t="shared" si="3"/>
        <v>3.8814537930113886</v>
      </c>
      <c r="P16" s="64" t="s">
        <v>77</v>
      </c>
    </row>
    <row r="17" spans="1:16" ht="21.2" customHeight="1">
      <c r="A17" s="282"/>
      <c r="B17" s="283"/>
      <c r="C17" s="283"/>
      <c r="D17" s="134" t="s">
        <v>48</v>
      </c>
      <c r="E17" s="154">
        <v>2900266</v>
      </c>
      <c r="F17" s="191">
        <v>149974</v>
      </c>
      <c r="G17" s="173">
        <v>428721</v>
      </c>
      <c r="H17" s="229">
        <v>216351</v>
      </c>
      <c r="I17" s="213">
        <v>412039</v>
      </c>
      <c r="J17" s="138">
        <f t="shared" si="4"/>
        <v>66377</v>
      </c>
      <c r="K17" s="139">
        <f t="shared" si="5"/>
        <v>44.259004894181658</v>
      </c>
      <c r="L17" s="140">
        <f t="shared" si="2"/>
        <v>-16682</v>
      </c>
      <c r="M17" s="147">
        <f t="shared" si="3"/>
        <v>-3.8911086697409303</v>
      </c>
      <c r="P17" s="64" t="s">
        <v>78</v>
      </c>
    </row>
    <row r="18" spans="1:16" ht="21.2" customHeight="1">
      <c r="A18" s="282" t="s">
        <v>56</v>
      </c>
      <c r="B18" s="283"/>
      <c r="C18" s="283"/>
      <c r="D18" s="134" t="s">
        <v>47</v>
      </c>
      <c r="E18" s="154">
        <v>120730</v>
      </c>
      <c r="F18" s="183">
        <v>8134</v>
      </c>
      <c r="G18" s="165">
        <v>23114</v>
      </c>
      <c r="H18" s="222">
        <v>10159</v>
      </c>
      <c r="I18" s="206">
        <v>21226</v>
      </c>
      <c r="J18" s="138">
        <f t="shared" si="4"/>
        <v>2025</v>
      </c>
      <c r="K18" s="139">
        <f t="shared" si="5"/>
        <v>24.895500368822226</v>
      </c>
      <c r="L18" s="140">
        <f t="shared" si="2"/>
        <v>-1888</v>
      </c>
      <c r="M18" s="148">
        <f t="shared" si="3"/>
        <v>-8.1682097430128948</v>
      </c>
      <c r="P18" s="64" t="s">
        <v>79</v>
      </c>
    </row>
    <row r="19" spans="1:16" ht="21.2" customHeight="1">
      <c r="A19" s="282"/>
      <c r="B19" s="283"/>
      <c r="C19" s="283"/>
      <c r="D19" s="134" t="s">
        <v>48</v>
      </c>
      <c r="E19" s="154">
        <v>1935255</v>
      </c>
      <c r="F19" s="192">
        <v>135937</v>
      </c>
      <c r="G19" s="174">
        <v>369616</v>
      </c>
      <c r="H19" s="230">
        <v>151088</v>
      </c>
      <c r="I19" s="214">
        <v>330812</v>
      </c>
      <c r="J19" s="138">
        <f t="shared" si="4"/>
        <v>15151</v>
      </c>
      <c r="K19" s="139">
        <f t="shared" si="5"/>
        <v>11.145604213716638</v>
      </c>
      <c r="L19" s="140">
        <f t="shared" si="2"/>
        <v>-38804</v>
      </c>
      <c r="M19" s="148">
        <f t="shared" si="3"/>
        <v>-10.498463269988306</v>
      </c>
      <c r="P19" s="64" t="s">
        <v>80</v>
      </c>
    </row>
    <row r="20" spans="1:16" ht="21.2" customHeight="1">
      <c r="A20" s="292" t="s">
        <v>68</v>
      </c>
      <c r="B20" s="293"/>
      <c r="C20" s="293"/>
      <c r="D20" s="142" t="s">
        <v>47</v>
      </c>
      <c r="E20" s="144"/>
      <c r="F20" s="144">
        <v>0</v>
      </c>
      <c r="G20" s="144">
        <v>0</v>
      </c>
      <c r="H20" s="144">
        <v>0</v>
      </c>
      <c r="I20" s="144">
        <v>0</v>
      </c>
      <c r="J20" s="143">
        <f t="shared" si="4"/>
        <v>0</v>
      </c>
      <c r="K20" s="144">
        <v>0</v>
      </c>
      <c r="L20" s="140">
        <f t="shared" si="2"/>
        <v>0</v>
      </c>
      <c r="M20" s="152">
        <v>0</v>
      </c>
      <c r="P20" s="64" t="s">
        <v>81</v>
      </c>
    </row>
    <row r="21" spans="1:16" ht="21.2" customHeight="1">
      <c r="A21" s="292"/>
      <c r="B21" s="293"/>
      <c r="C21" s="293"/>
      <c r="D21" s="142" t="s">
        <v>48</v>
      </c>
      <c r="E21" s="144"/>
      <c r="F21" s="144">
        <v>0</v>
      </c>
      <c r="G21" s="144">
        <v>0</v>
      </c>
      <c r="H21" s="144">
        <v>0</v>
      </c>
      <c r="I21" s="144">
        <v>0</v>
      </c>
      <c r="J21" s="143">
        <f t="shared" si="0"/>
        <v>0</v>
      </c>
      <c r="K21" s="144">
        <v>0</v>
      </c>
      <c r="L21" s="140">
        <f t="shared" si="2"/>
        <v>0</v>
      </c>
      <c r="M21" s="152">
        <v>0</v>
      </c>
      <c r="P21" s="64" t="s">
        <v>82</v>
      </c>
    </row>
    <row r="22" spans="1:16" ht="21.2" customHeight="1">
      <c r="A22" s="282" t="s">
        <v>92</v>
      </c>
      <c r="B22" s="283"/>
      <c r="C22" s="283"/>
      <c r="D22" s="134" t="s">
        <v>47</v>
      </c>
      <c r="E22" s="144"/>
      <c r="F22" s="144">
        <v>0</v>
      </c>
      <c r="G22" s="144">
        <v>0</v>
      </c>
      <c r="H22" s="144">
        <v>0</v>
      </c>
      <c r="I22" s="144">
        <v>0</v>
      </c>
      <c r="J22" s="143">
        <f t="shared" si="0"/>
        <v>0</v>
      </c>
      <c r="K22" s="144">
        <v>0</v>
      </c>
      <c r="L22" s="140">
        <f t="shared" si="2"/>
        <v>0</v>
      </c>
      <c r="M22" s="152">
        <v>0</v>
      </c>
      <c r="P22" s="64" t="s">
        <v>95</v>
      </c>
    </row>
    <row r="23" spans="1:16" ht="21.2" customHeight="1">
      <c r="A23" s="282"/>
      <c r="B23" s="283"/>
      <c r="C23" s="283"/>
      <c r="D23" s="134" t="s">
        <v>48</v>
      </c>
      <c r="E23" s="144"/>
      <c r="F23" s="144">
        <v>0</v>
      </c>
      <c r="G23" s="144">
        <v>0</v>
      </c>
      <c r="H23" s="144">
        <v>0</v>
      </c>
      <c r="I23" s="144">
        <v>0</v>
      </c>
      <c r="J23" s="143">
        <f t="shared" si="0"/>
        <v>0</v>
      </c>
      <c r="K23" s="144">
        <v>0</v>
      </c>
      <c r="L23" s="140">
        <f t="shared" si="2"/>
        <v>0</v>
      </c>
      <c r="M23" s="152">
        <v>0</v>
      </c>
      <c r="P23" s="64" t="s">
        <v>95</v>
      </c>
    </row>
    <row r="24" spans="1:16" ht="21.2" customHeight="1">
      <c r="A24" s="282" t="s">
        <v>63</v>
      </c>
      <c r="B24" s="283"/>
      <c r="C24" s="283"/>
      <c r="D24" s="134" t="s">
        <v>64</v>
      </c>
      <c r="E24" s="154">
        <v>107</v>
      </c>
      <c r="F24" s="144">
        <v>0</v>
      </c>
      <c r="G24" s="144">
        <v>0</v>
      </c>
      <c r="H24" s="144">
        <v>0</v>
      </c>
      <c r="I24" s="144">
        <v>0</v>
      </c>
      <c r="J24" s="143">
        <f t="shared" si="0"/>
        <v>0</v>
      </c>
      <c r="K24" s="144">
        <v>0</v>
      </c>
      <c r="L24" s="140">
        <f t="shared" si="2"/>
        <v>0</v>
      </c>
      <c r="M24" s="152">
        <v>0</v>
      </c>
      <c r="P24" s="64" t="s">
        <v>83</v>
      </c>
    </row>
    <row r="25" spans="1:16" ht="21.2" customHeight="1">
      <c r="A25" s="282"/>
      <c r="B25" s="283"/>
      <c r="C25" s="283"/>
      <c r="D25" s="134" t="s">
        <v>65</v>
      </c>
      <c r="E25" s="154">
        <v>244</v>
      </c>
      <c r="F25" s="144">
        <v>0</v>
      </c>
      <c r="G25" s="144">
        <v>0</v>
      </c>
      <c r="H25" s="144">
        <v>0</v>
      </c>
      <c r="I25" s="144">
        <v>0</v>
      </c>
      <c r="J25" s="143">
        <f t="shared" si="0"/>
        <v>0</v>
      </c>
      <c r="K25" s="144">
        <v>0</v>
      </c>
      <c r="L25" s="140">
        <f t="shared" si="2"/>
        <v>0</v>
      </c>
      <c r="M25" s="152">
        <v>0</v>
      </c>
      <c r="P25" s="64" t="s">
        <v>83</v>
      </c>
    </row>
    <row r="26" spans="1:16" ht="21.2" customHeight="1">
      <c r="A26" s="282" t="s">
        <v>58</v>
      </c>
      <c r="B26" s="283"/>
      <c r="C26" s="283"/>
      <c r="D26" s="134" t="s">
        <v>47</v>
      </c>
      <c r="E26" s="154">
        <v>212</v>
      </c>
      <c r="F26" s="184">
        <v>102</v>
      </c>
      <c r="G26" s="166">
        <v>122</v>
      </c>
      <c r="H26" s="198">
        <v>0</v>
      </c>
      <c r="I26" s="198">
        <v>0</v>
      </c>
      <c r="J26" s="143">
        <f t="shared" si="0"/>
        <v>-102</v>
      </c>
      <c r="K26" s="139" t="s">
        <v>96</v>
      </c>
      <c r="L26" s="140">
        <f t="shared" si="2"/>
        <v>-122</v>
      </c>
      <c r="M26" s="147" t="s">
        <v>96</v>
      </c>
      <c r="P26" s="64" t="s">
        <v>84</v>
      </c>
    </row>
    <row r="27" spans="1:16" ht="21.2" customHeight="1">
      <c r="A27" s="282"/>
      <c r="B27" s="283"/>
      <c r="C27" s="283"/>
      <c r="D27" s="134" t="s">
        <v>48</v>
      </c>
      <c r="E27" s="154">
        <v>1888</v>
      </c>
      <c r="F27" s="193">
        <v>884</v>
      </c>
      <c r="G27" s="175">
        <v>1057</v>
      </c>
      <c r="H27" s="198">
        <v>0</v>
      </c>
      <c r="I27" s="198">
        <v>0</v>
      </c>
      <c r="J27" s="143">
        <f t="shared" si="0"/>
        <v>-884</v>
      </c>
      <c r="K27" s="139" t="s">
        <v>96</v>
      </c>
      <c r="L27" s="140">
        <f t="shared" si="2"/>
        <v>-1057</v>
      </c>
      <c r="M27" s="147" t="s">
        <v>96</v>
      </c>
      <c r="P27" s="64" t="s">
        <v>85</v>
      </c>
    </row>
    <row r="28" spans="1:16" ht="21.2" customHeight="1">
      <c r="A28" s="282" t="s">
        <v>59</v>
      </c>
      <c r="B28" s="283"/>
      <c r="C28" s="283"/>
      <c r="D28" s="134" t="s">
        <v>47</v>
      </c>
      <c r="E28" s="154">
        <v>87855</v>
      </c>
      <c r="F28" s="185">
        <v>3720</v>
      </c>
      <c r="G28" s="167">
        <v>12666</v>
      </c>
      <c r="H28" s="217">
        <v>3024</v>
      </c>
      <c r="I28" s="201">
        <v>7650</v>
      </c>
      <c r="J28" s="143">
        <f t="shared" si="0"/>
        <v>-696</v>
      </c>
      <c r="K28" s="139">
        <f t="shared" si="1"/>
        <v>-18.709677419354847</v>
      </c>
      <c r="L28" s="140">
        <f t="shared" si="2"/>
        <v>-5016</v>
      </c>
      <c r="M28" s="147">
        <f t="shared" si="3"/>
        <v>-39.602084320227384</v>
      </c>
      <c r="P28" s="64" t="s">
        <v>86</v>
      </c>
    </row>
    <row r="29" spans="1:16" ht="21.2" customHeight="1">
      <c r="A29" s="282"/>
      <c r="B29" s="283"/>
      <c r="C29" s="283"/>
      <c r="D29" s="134" t="s">
        <v>48</v>
      </c>
      <c r="E29" s="154">
        <v>1481921</v>
      </c>
      <c r="F29" s="194">
        <v>62842</v>
      </c>
      <c r="G29" s="176">
        <v>220393</v>
      </c>
      <c r="H29" s="225">
        <v>47941</v>
      </c>
      <c r="I29" s="209">
        <v>122796</v>
      </c>
      <c r="J29" s="143">
        <f t="shared" si="0"/>
        <v>-14901</v>
      </c>
      <c r="K29" s="139">
        <f t="shared" si="1"/>
        <v>-23.711848763565769</v>
      </c>
      <c r="L29" s="140">
        <f t="shared" si="2"/>
        <v>-97597</v>
      </c>
      <c r="M29" s="147">
        <f t="shared" si="3"/>
        <v>-44.283166888240558</v>
      </c>
      <c r="P29" s="64" t="s">
        <v>87</v>
      </c>
    </row>
    <row r="30" spans="1:16" ht="21.2" customHeight="1">
      <c r="A30" s="282" t="s">
        <v>60</v>
      </c>
      <c r="B30" s="283"/>
      <c r="C30" s="283"/>
      <c r="D30" s="134" t="s">
        <v>47</v>
      </c>
      <c r="E30" s="154">
        <v>136389</v>
      </c>
      <c r="F30" s="186">
        <v>5158</v>
      </c>
      <c r="G30" s="168">
        <v>21099</v>
      </c>
      <c r="H30" s="218">
        <v>9745</v>
      </c>
      <c r="I30" s="202">
        <v>19696</v>
      </c>
      <c r="J30" s="138">
        <f t="shared" si="0"/>
        <v>4587</v>
      </c>
      <c r="K30" s="139">
        <f t="shared" si="1"/>
        <v>88.929817758821258</v>
      </c>
      <c r="L30" s="140">
        <f t="shared" si="2"/>
        <v>-1403</v>
      </c>
      <c r="M30" s="147">
        <f t="shared" si="3"/>
        <v>-6.64960424664676</v>
      </c>
      <c r="P30" s="64" t="s">
        <v>88</v>
      </c>
    </row>
    <row r="31" spans="1:16" ht="21.2" customHeight="1">
      <c r="A31" s="282"/>
      <c r="B31" s="283"/>
      <c r="C31" s="283"/>
      <c r="D31" s="134" t="s">
        <v>48</v>
      </c>
      <c r="E31" s="154">
        <v>1982852</v>
      </c>
      <c r="F31" s="195">
        <v>77110</v>
      </c>
      <c r="G31" s="177">
        <v>301431</v>
      </c>
      <c r="H31" s="226">
        <v>127444</v>
      </c>
      <c r="I31" s="210">
        <v>262548</v>
      </c>
      <c r="J31" s="138">
        <f t="shared" si="0"/>
        <v>50334</v>
      </c>
      <c r="K31" s="139">
        <f t="shared" si="1"/>
        <v>65.275580339774336</v>
      </c>
      <c r="L31" s="140">
        <f t="shared" si="2"/>
        <v>-38883</v>
      </c>
      <c r="M31" s="147">
        <f t="shared" si="3"/>
        <v>-12.899469530340284</v>
      </c>
      <c r="P31" s="64" t="s">
        <v>89</v>
      </c>
    </row>
    <row r="32" spans="1:16" ht="21.2" customHeight="1">
      <c r="A32" s="282" t="s">
        <v>61</v>
      </c>
      <c r="B32" s="283"/>
      <c r="C32" s="283"/>
      <c r="D32" s="134" t="s">
        <v>47</v>
      </c>
      <c r="E32" s="154">
        <v>45952</v>
      </c>
      <c r="F32" s="187">
        <v>2981</v>
      </c>
      <c r="G32" s="169">
        <v>7912</v>
      </c>
      <c r="H32" s="219">
        <v>4113</v>
      </c>
      <c r="I32" s="203">
        <v>8240</v>
      </c>
      <c r="J32" s="138">
        <f>H32-F32</f>
        <v>1132</v>
      </c>
      <c r="K32" s="139">
        <f t="shared" si="1"/>
        <v>37.973834283797402</v>
      </c>
      <c r="L32" s="140">
        <f>I32-G32</f>
        <v>328</v>
      </c>
      <c r="M32" s="147">
        <f t="shared" si="3"/>
        <v>4.1456016177957622</v>
      </c>
      <c r="P32" s="64" t="s">
        <v>90</v>
      </c>
    </row>
    <row r="33" spans="1:16" ht="21.2" customHeight="1" thickBot="1">
      <c r="A33" s="290"/>
      <c r="B33" s="291"/>
      <c r="C33" s="291"/>
      <c r="D33" s="149" t="s">
        <v>48</v>
      </c>
      <c r="E33" s="155">
        <v>722543</v>
      </c>
      <c r="F33" s="196">
        <v>49871</v>
      </c>
      <c r="G33" s="178">
        <v>135462</v>
      </c>
      <c r="H33" s="227">
        <v>64792</v>
      </c>
      <c r="I33" s="211">
        <v>128674</v>
      </c>
      <c r="J33" s="150">
        <f>H33-F33</f>
        <v>14921</v>
      </c>
      <c r="K33" s="109">
        <f t="shared" si="1"/>
        <v>29.919191514106416</v>
      </c>
      <c r="L33" s="151">
        <f>I33-G33</f>
        <v>-6788</v>
      </c>
      <c r="M33" s="110">
        <f t="shared" si="3"/>
        <v>-5.0109993946641822</v>
      </c>
      <c r="P33" s="64" t="s">
        <v>91</v>
      </c>
    </row>
    <row r="34" spans="1:16">
      <c r="E34" s="129"/>
    </row>
    <row r="35" spans="1:16">
      <c r="E35" s="129"/>
    </row>
  </sheetData>
  <mergeCells count="20">
    <mergeCell ref="A10:C11"/>
    <mergeCell ref="A12:C13"/>
    <mergeCell ref="A32:C33"/>
    <mergeCell ref="A28:C29"/>
    <mergeCell ref="A30:C31"/>
    <mergeCell ref="A20:C21"/>
    <mergeCell ref="A14:C15"/>
    <mergeCell ref="A16:C17"/>
    <mergeCell ref="A18:C19"/>
    <mergeCell ref="A26:C27"/>
    <mergeCell ref="A24:C25"/>
    <mergeCell ref="A22:C23"/>
    <mergeCell ref="J2:M2"/>
    <mergeCell ref="A4:C5"/>
    <mergeCell ref="A6:C7"/>
    <mergeCell ref="A8:C9"/>
    <mergeCell ref="A2:C3"/>
    <mergeCell ref="D2:D3"/>
    <mergeCell ref="F2:G2"/>
    <mergeCell ref="H2:I2"/>
  </mergeCells>
  <phoneticPr fontId="23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2021-12-23T07:17:43Z</cp:lastPrinted>
  <dcterms:created xsi:type="dcterms:W3CDTF">1998-03-31T03:01:22Z</dcterms:created>
  <dcterms:modified xsi:type="dcterms:W3CDTF">2023-04-10T22:42:41Z</dcterms:modified>
</cp:coreProperties>
</file>