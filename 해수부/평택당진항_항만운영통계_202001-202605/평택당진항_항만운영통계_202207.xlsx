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7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G4" i="32"/>
  <c r="F5" i="32"/>
  <c r="F4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<sst xmlns="http://schemas.openxmlformats.org/spreadsheetml/2006/main" count="160" uniqueCount="107">
  <si>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</si>
  <si>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</si>
  <si>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</si>
  <si>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</si>
  <si>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</si>
  <si>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</si>
  <si>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</si>
  <si>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</si>
  <si>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</si>
  <si>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</si>
  <si>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</si>
  <si>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</si>
  <si>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</si>
  <si>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</si>
  <si>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</si>
  <si>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</si>
  <si>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</si>
  <si>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</si>
  <si>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</si>
  <si>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</si>
  <si>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</si>
  <si>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</si>
  <si>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</si>
  <si>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</si>
  <si>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</si>
  <si>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</si>
  <si>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</si>
  <si>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</si>
  <si>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</si>
  <si>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</si>
  <si>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</si>
  <si>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</si>
  <si>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</si>
  <si>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</si>
  <si>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</si>
  <si>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</si>
  <si>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</si>
  <si>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</si>
  <si>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</si>
  <si>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</si>
  <si>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</si>
  <si>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</si>
  <si>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</si>
  <si>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</si>
  <si>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</si>
  <si>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</si>
  <si>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</si>
  <si>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</si>
  <si>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</si>
  <si>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</si>
  <si>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</si>
  <si>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</si>
  <si>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</si>
  <si>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</si>
  <si>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</si>
  <si>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</si>
  <si>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</si>
  <si>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</si>
  <si>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</si>
  <si>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</si>
  <si>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</si>
  <si>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</si>
  <si>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</si>
  <si>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</si>
  <si>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</si>
  <si>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</si>
  <si>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</si>
  <si>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</si>
  <si>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</si>
  <si>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</si>
  <si>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</si>
  <si>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</si>
  <si>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2021년도</t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</si>
  <si>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</si>
  <si>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</si>
  <si>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</si>
  <si>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</si>
  <si>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</si>
  <si>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</si>
  <si>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</si>
  <si>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</si>
  <si>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</si>
  <si>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</si>
  <si>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</si>
  <si>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</si>
  <si>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</si>
  <si>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</si>
  <si>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</si>
  <si>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</si>
  <si>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</si>
  <si>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</si>
  <si>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</si>
  <si>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</si>
  <si>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</si>
  <si>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</si>
  <si>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</si>
  <si>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</si>
  <si>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2022년도</t>
    <phoneticPr fontId="7" type="noConversion"/>
  </si>
  <si>
    <t>순증</t>
    <phoneticPr fontId="7" type="noConversion"/>
  </si>
  <si>
    <t>순증</t>
    <phoneticPr fontId="23" type="noConversion"/>
  </si>
  <si>
    <t>고대부두 8</t>
    <phoneticPr fontId="23" type="noConversion"/>
  </si>
  <si>
    <t>고대부두 8번선석</t>
    <phoneticPr fontId="23" type="noConversion"/>
  </si>
  <si>
    <t>(2022.7월분)</t>
    <phoneticPr fontId="7" type="noConversion"/>
  </si>
  <si>
    <t>7월(A)</t>
    <phoneticPr fontId="7" type="noConversion"/>
  </si>
  <si>
    <t>7월누계(B)</t>
    <phoneticPr fontId="7" type="noConversion"/>
  </si>
  <si>
    <t>7월(C)</t>
    <phoneticPr fontId="7" type="noConversion"/>
  </si>
  <si>
    <t>7월누계(D)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</si>
</sst>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2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3" fontId="25" fillId="0" borderId="12" xfId="17" applyNumberFormat="1" applyFont="1" applyBorder="1" applyAlignment="1">
      <alignment vertical="center" shrinkToFit="1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41" fontId="25" fillId="0" borderId="7" xfId="17" applyNumberFormat="1" applyFont="1" applyBorder="1" applyAlignment="1">
      <alignment vertical="center" shrinkToFit="1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0" fontId="24" fillId="5" borderId="16" xfId="17" applyFont="1" applyFill="1" applyBorder="1" applyAlignment="1">
      <alignment horizontal="center" vertical="center"/>
    </xf>
    <xf numFmtId="183" fontId="25" fillId="0" borderId="16" xfId="17" applyNumberFormat="1" applyFont="1" applyBorder="1" applyAlignment="1">
      <alignment vertical="center" shrinkToFit="1"/>
    </xf>
    <xf numFmtId="185" fontId="14" fillId="5" borderId="16" xfId="17" applyNumberFormat="1" applyFont="1" applyFill="1" applyBorder="1" applyAlignment="1">
      <alignment horizontal="right" vertical="center" shrinkToFit="1"/>
    </xf>
    <xf numFmtId="176" fontId="17" fillId="5" borderId="16" xfId="17" applyNumberFormat="1" applyFont="1" applyFill="1" applyBorder="1" applyAlignment="1">
      <alignment horizontal="right" vertical="center" shrinkToFit="1"/>
    </xf>
    <xf numFmtId="41" fontId="25" fillId="0" borderId="12" xfId="17" applyNumberFormat="1" applyFont="1" applyBorder="1" applyAlignment="1">
      <alignment vertical="center" shrinkToFit="1"/>
    </xf>
    <xf numFmtId="182" fontId="35" fillId="0" borderId="12" xfId="0" applyNumberFormat="1" applyFont="1" applyBorder="1" applyAlignment="1">
      <alignment horizontal="right" vertical="center"/>
    </xf>
    <xf numFmtId="41" fontId="24" fillId="0" borderId="7" xfId="17" applyNumberFormat="1" applyFont="1" applyBorder="1" applyAlignment="1">
      <alignment horizontal="right" vertical="center" shrinkToFit="1"/>
    </xf>
    <xf numFmtId="41" fontId="24" fillId="0" borderId="14" xfId="17" applyNumberFormat="1" applyFont="1" applyBorder="1" applyAlignment="1">
      <alignment horizontal="right" vertical="center" shrinkToFit="1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8" fontId="13" fillId="0" borderId="4" xfId="0" applyNumberFormat="1" applyFont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183" fontId="25" fillId="0" borderId="1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25" fillId="0" borderId="11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27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3 2 2" xfId="26"/>
    <cellStyle name="표준 3 2 3" xfId="24"/>
    <cellStyle name="표준 3 3" xfId="25"/>
    <cellStyle name="표준 3 4" xfId="23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67581001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68039163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6603392"/>
        <c:axId val="206604928"/>
        <c:axId val="0"/>
      </c:bar3DChart>
      <c:catAx>
        <c:axId val="206603392"/>
        <c:scaling>
          <c:orientation val="minMax"/>
        </c:scaling>
        <c:delete val="1"/>
        <c:axPos val="b"/>
        <c:majorTickMark val="out"/>
        <c:minorTickMark val="none"/>
        <c:tickLblPos val="none"/>
        <c:crossAx val="206604928"/>
        <c:crosses val="autoZero"/>
        <c:auto val="1"/>
        <c:lblAlgn val="ctr"/>
        <c:lblOffset val="100"/>
        <c:noMultiLvlLbl val="0"/>
      </c:catAx>
      <c:valAx>
        <c:axId val="206604928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603392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532788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518172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206781440"/>
        <c:axId val="206643968"/>
        <c:axId val="0"/>
      </c:bar3DChart>
      <c:catAx>
        <c:axId val="206781440"/>
        <c:scaling>
          <c:orientation val="minMax"/>
        </c:scaling>
        <c:delete val="1"/>
        <c:axPos val="b"/>
        <c:majorTickMark val="out"/>
        <c:minorTickMark val="none"/>
        <c:tickLblPos val="none"/>
        <c:crossAx val="206643968"/>
        <c:crosses val="autoZero"/>
        <c:auto val="1"/>
        <c:lblAlgn val="ctr"/>
        <c:lblOffset val="100"/>
        <c:noMultiLvlLbl val="0"/>
      </c:catAx>
      <c:valAx>
        <c:axId val="20664396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78144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22.07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68039163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25664"/>
        <c:axId val="207027584"/>
      </c:lineChart>
      <c:catAx>
        <c:axId val="20702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027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0275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0256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22.07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518172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80608"/>
        <c:axId val="214595072"/>
      </c:lineChart>
      <c:catAx>
        <c:axId val="21458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595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5950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580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22.07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17472"/>
        <c:axId val="214631936"/>
      </c:lineChart>
      <c:catAx>
        <c:axId val="21461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31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6319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174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22.07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9892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0608"/>
        <c:axId val="214662528"/>
      </c:lineChart>
      <c:catAx>
        <c:axId val="21466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6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6625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60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22.07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9892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83008"/>
        <c:axId val="214693376"/>
      </c:lineChart>
      <c:catAx>
        <c:axId val="21468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93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46933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46830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76"/>
      <c r="M1" s="176"/>
    </row>
    <row r="2" spans="2:15" ht="33" customHeight="1">
      <c r="B2" s="188" t="s">
        <v>49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spans="2:15" ht="27.75" customHeight="1">
      <c r="B3" s="190" t="s">
        <v>102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</row>
    <row r="4" spans="2:15" ht="21.2" customHeight="1" thickBot="1">
      <c r="B4" s="197" t="s">
        <v>71</v>
      </c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</row>
    <row r="5" spans="2:15" ht="21.2" customHeight="1">
      <c r="B5" s="182" t="s">
        <v>7</v>
      </c>
      <c r="C5" s="183"/>
      <c r="D5" s="184"/>
      <c r="E5" s="35"/>
      <c r="F5" s="180" t="s">
        <v>72</v>
      </c>
      <c r="G5" s="191"/>
      <c r="H5" s="208" t="s">
        <v>97</v>
      </c>
      <c r="I5" s="208"/>
      <c r="J5" s="179" t="s">
        <v>15</v>
      </c>
      <c r="K5" s="180"/>
      <c r="L5" s="180"/>
      <c r="M5" s="181"/>
    </row>
    <row r="6" spans="2:15" ht="20.25" customHeight="1">
      <c r="B6" s="185"/>
      <c r="C6" s="186"/>
      <c r="D6" s="187"/>
      <c r="E6" s="36" t="s">
        <v>11</v>
      </c>
      <c r="F6" s="118" t="s">
        <v>103</v>
      </c>
      <c r="G6" s="37" t="s">
        <v>104</v>
      </c>
      <c r="H6" s="118" t="s">
        <v>105</v>
      </c>
      <c r="I6" s="119" t="s">
        <v>106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202" t="s">
        <v>21</v>
      </c>
      <c r="C7" s="177" t="s">
        <v>12</v>
      </c>
      <c r="D7" s="178"/>
      <c r="E7" s="13">
        <f>SUM(E8:E9)</f>
        <v>16470</v>
      </c>
      <c r="F7" s="13">
        <f>SUM(F8:F9)</f>
        <v>1358</v>
      </c>
      <c r="G7" s="13">
        <f>SUM(G8:G9)</f>
        <v>9708</v>
      </c>
      <c r="H7" s="13">
        <f>SUM(H8:H9)</f>
        <v>1384</v>
      </c>
      <c r="I7" s="13">
        <f>SUM(I8:I9)</f>
        <v>9892</v>
      </c>
      <c r="J7" s="13">
        <f>H7-F7</f>
        <v>26</v>
      </c>
      <c r="K7" s="16">
        <f>H7/F7</f>
        <v>1.0191458026509572</v>
      </c>
      <c r="L7" s="14">
        <f>I7-G7</f>
        <v>184</v>
      </c>
      <c r="M7" s="24">
        <f>I7/G7</f>
        <v>1.0189534404614751</v>
      </c>
    </row>
    <row r="8" spans="2:15" ht="19.5" customHeight="1">
      <c r="B8" s="203"/>
      <c r="C8" s="193" t="s">
        <v>9</v>
      </c>
      <c r="D8" s="194"/>
      <c r="E8" s="20">
        <v>10091</v>
      </c>
      <c r="F8" s="157">
        <v>819</v>
      </c>
      <c r="G8" s="158">
        <v>5891</v>
      </c>
      <c r="H8" s="157">
        <v>852</v>
      </c>
      <c r="I8" s="157">
        <v>5931</v>
      </c>
      <c r="J8" s="4">
        <f t="shared" ref="J8:J28" si="0">H8-F8</f>
        <v>33</v>
      </c>
      <c r="K8" s="18">
        <f t="shared" ref="K8:K28" si="1">H8/F8</f>
        <v>1.0402930402930404</v>
      </c>
      <c r="L8" s="19">
        <f t="shared" ref="L8:L28" si="2">I8-G8</f>
        <v>40</v>
      </c>
      <c r="M8" s="25">
        <f t="shared" ref="M8:M28" si="3">I8/G8</f>
        <v>1.0067900186725514</v>
      </c>
    </row>
    <row r="9" spans="2:15" ht="19.5" customHeight="1">
      <c r="B9" s="204"/>
      <c r="C9" s="195" t="s">
        <v>10</v>
      </c>
      <c r="D9" s="196"/>
      <c r="E9" s="21">
        <v>6379</v>
      </c>
      <c r="F9" s="158">
        <v>539</v>
      </c>
      <c r="G9" s="158">
        <v>3817</v>
      </c>
      <c r="H9" s="158">
        <v>532</v>
      </c>
      <c r="I9" s="158">
        <v>3961</v>
      </c>
      <c r="J9" s="21">
        <f t="shared" si="0"/>
        <v>-7</v>
      </c>
      <c r="K9" s="22">
        <f t="shared" si="1"/>
        <v>0.98701298701298701</v>
      </c>
      <c r="L9" s="23">
        <f t="shared" si="2"/>
        <v>144</v>
      </c>
      <c r="M9" s="26">
        <f t="shared" si="3"/>
        <v>1.0377259627980089</v>
      </c>
    </row>
    <row r="10" spans="2:15" ht="21.2" customHeight="1">
      <c r="B10" s="202" t="s">
        <v>22</v>
      </c>
      <c r="C10" s="177" t="s">
        <v>8</v>
      </c>
      <c r="D10" s="178"/>
      <c r="E10" s="41">
        <f>E11+E15</f>
        <v>116876152</v>
      </c>
      <c r="F10" s="41">
        <f>F11+F15</f>
        <v>9639284</v>
      </c>
      <c r="G10" s="41">
        <f>G11+G15</f>
        <v>67581001</v>
      </c>
      <c r="H10" s="41">
        <f>H11+H15</f>
        <v>9856279</v>
      </c>
      <c r="I10" s="41">
        <f>I11+I15</f>
        <v>68039163</v>
      </c>
      <c r="J10" s="41">
        <f t="shared" si="0"/>
        <v>216995</v>
      </c>
      <c r="K10" s="16">
        <f t="shared" si="1"/>
        <v>1.0225115267897491</v>
      </c>
      <c r="L10" s="142">
        <f>I10-G10</f>
        <v>458162</v>
      </c>
      <c r="M10" s="24">
        <f t="shared" si="3"/>
        <v>1.0067794497450548</v>
      </c>
    </row>
    <row r="11" spans="2:15" ht="19.5" customHeight="1">
      <c r="B11" s="203"/>
      <c r="C11" s="199" t="s">
        <v>1</v>
      </c>
      <c r="D11" s="83" t="s">
        <v>0</v>
      </c>
      <c r="E11" s="79">
        <f>SUM(E12:E14)</f>
        <v>104967519</v>
      </c>
      <c r="F11" s="79">
        <f>SUM(F12:F14)</f>
        <v>8633668</v>
      </c>
      <c r="G11" s="79">
        <f>SUM(G12:G14)</f>
        <v>60678480</v>
      </c>
      <c r="H11" s="79">
        <f>SUM(H12:H14)</f>
        <v>8878707</v>
      </c>
      <c r="I11" s="79">
        <f>SUM(I12:I14)</f>
        <v>60825959</v>
      </c>
      <c r="J11" s="137">
        <f>H11-F11</f>
        <v>245039</v>
      </c>
      <c r="K11" s="80">
        <f t="shared" si="1"/>
        <v>1.0283817955473851</v>
      </c>
      <c r="L11" s="139">
        <f>I11-G11</f>
        <v>147479</v>
      </c>
      <c r="M11" s="81">
        <f t="shared" si="3"/>
        <v>1.0024304992478388</v>
      </c>
    </row>
    <row r="12" spans="2:15" ht="19.5" customHeight="1">
      <c r="B12" s="203"/>
      <c r="C12" s="200"/>
      <c r="D12" s="5" t="s">
        <v>5</v>
      </c>
      <c r="E12" s="42">
        <v>84583157</v>
      </c>
      <c r="F12" s="159">
        <v>6983617</v>
      </c>
      <c r="G12" s="159">
        <v>48432525</v>
      </c>
      <c r="H12" s="159">
        <v>6942437</v>
      </c>
      <c r="I12" s="159">
        <v>49042745</v>
      </c>
      <c r="J12" s="135">
        <f t="shared" si="0"/>
        <v>-41180</v>
      </c>
      <c r="K12" s="18">
        <f t="shared" si="1"/>
        <v>0.99410334215063623</v>
      </c>
      <c r="L12" s="140">
        <f t="shared" si="2"/>
        <v>610220</v>
      </c>
      <c r="M12" s="25">
        <f t="shared" si="3"/>
        <v>1.0125993844012882</v>
      </c>
      <c r="O12" s="134"/>
    </row>
    <row r="13" spans="2:15" ht="19.5" customHeight="1">
      <c r="B13" s="203"/>
      <c r="C13" s="200"/>
      <c r="D13" s="5" t="s">
        <v>6</v>
      </c>
      <c r="E13" s="42">
        <v>15412892</v>
      </c>
      <c r="F13" s="159">
        <v>1289981</v>
      </c>
      <c r="G13" s="159">
        <v>9263181</v>
      </c>
      <c r="H13" s="159">
        <v>1629058</v>
      </c>
      <c r="I13" s="159">
        <v>9445124</v>
      </c>
      <c r="J13" s="135">
        <f t="shared" si="0"/>
        <v>339077</v>
      </c>
      <c r="K13" s="18">
        <f t="shared" si="1"/>
        <v>1.2628542590937386</v>
      </c>
      <c r="L13" s="140">
        <f t="shared" si="2"/>
        <v>181943</v>
      </c>
      <c r="M13" s="25">
        <f t="shared" si="3"/>
        <v>1.0196415248714237</v>
      </c>
    </row>
    <row r="14" spans="2:15" ht="19.5" customHeight="1">
      <c r="B14" s="203"/>
      <c r="C14" s="201"/>
      <c r="D14" s="5" t="s">
        <v>13</v>
      </c>
      <c r="E14" s="42">
        <v>4971470</v>
      </c>
      <c r="F14" s="159">
        <v>360070</v>
      </c>
      <c r="G14" s="159">
        <v>2982774</v>
      </c>
      <c r="H14" s="160">
        <v>307212</v>
      </c>
      <c r="I14" s="159">
        <v>2338090</v>
      </c>
      <c r="J14" s="135">
        <f t="shared" si="0"/>
        <v>-52858</v>
      </c>
      <c r="K14" s="18">
        <f>H14/F14</f>
        <v>0.85320076651762156</v>
      </c>
      <c r="L14" s="140">
        <f t="shared" si="2"/>
        <v>-644684</v>
      </c>
      <c r="M14" s="25">
        <f t="shared" si="3"/>
        <v>0.78386428204081171</v>
      </c>
    </row>
    <row r="15" spans="2:15" ht="19.5" customHeight="1">
      <c r="B15" s="203"/>
      <c r="C15" s="209" t="s">
        <v>2</v>
      </c>
      <c r="D15" s="82" t="s">
        <v>0</v>
      </c>
      <c r="E15" s="76">
        <f>SUM(E16:E18)</f>
        <v>11908633</v>
      </c>
      <c r="F15" s="76">
        <f>SUM(F16:F18)</f>
        <v>1005616</v>
      </c>
      <c r="G15" s="76">
        <f>SUM(G16:G18)</f>
        <v>6902521</v>
      </c>
      <c r="H15" s="76">
        <f>SUM(H16:H18)</f>
        <v>977572</v>
      </c>
      <c r="I15" s="76">
        <f>SUM(I16:I18)</f>
        <v>7213204</v>
      </c>
      <c r="J15" s="138">
        <f t="shared" si="0"/>
        <v>-28044</v>
      </c>
      <c r="K15" s="77">
        <f t="shared" si="1"/>
        <v>0.97211261555106521</v>
      </c>
      <c r="L15" s="141">
        <f t="shared" si="2"/>
        <v>310683</v>
      </c>
      <c r="M15" s="78">
        <f t="shared" si="3"/>
        <v>1.0450100767531167</v>
      </c>
    </row>
    <row r="16" spans="2:15" ht="19.5" customHeight="1">
      <c r="B16" s="203"/>
      <c r="C16" s="210"/>
      <c r="D16" s="5" t="s">
        <v>3</v>
      </c>
      <c r="E16" s="42">
        <v>8645260</v>
      </c>
      <c r="F16" s="161">
        <v>714166</v>
      </c>
      <c r="G16" s="161">
        <v>4964263</v>
      </c>
      <c r="H16" s="161">
        <v>673804</v>
      </c>
      <c r="I16" s="161">
        <v>4842336</v>
      </c>
      <c r="J16" s="136">
        <f t="shared" si="0"/>
        <v>-40362</v>
      </c>
      <c r="K16" s="18">
        <f t="shared" si="1"/>
        <v>0.94348372787279144</v>
      </c>
      <c r="L16" s="140">
        <f t="shared" si="2"/>
        <v>-121927</v>
      </c>
      <c r="M16" s="25">
        <f t="shared" si="3"/>
        <v>0.97543905308804146</v>
      </c>
    </row>
    <row r="17" spans="1:13" ht="19.5" customHeight="1">
      <c r="B17" s="203"/>
      <c r="C17" s="210"/>
      <c r="D17" s="6" t="s">
        <v>4</v>
      </c>
      <c r="E17" s="43">
        <v>3263373</v>
      </c>
      <c r="F17" s="162">
        <v>291450</v>
      </c>
      <c r="G17" s="162">
        <v>1938258</v>
      </c>
      <c r="H17" s="162">
        <v>303768</v>
      </c>
      <c r="I17" s="162">
        <v>2310871</v>
      </c>
      <c r="J17" s="136">
        <f t="shared" si="0"/>
        <v>12318</v>
      </c>
      <c r="K17" s="18">
        <f t="shared" si="1"/>
        <v>1.0422645393721051</v>
      </c>
      <c r="L17" s="140">
        <f t="shared" si="2"/>
        <v>372613</v>
      </c>
      <c r="M17" s="25">
        <f t="shared" si="3"/>
        <v>1.1922411773871178</v>
      </c>
    </row>
    <row r="18" spans="1:13" ht="19.5" customHeight="1">
      <c r="B18" s="204"/>
      <c r="C18" s="211"/>
      <c r="D18" s="6" t="s">
        <v>17</v>
      </c>
      <c r="E18" s="85">
        <v>0</v>
      </c>
      <c r="F18" s="163">
        <v>0</v>
      </c>
      <c r="G18" s="163">
        <v>0</v>
      </c>
      <c r="H18" s="163">
        <v>0</v>
      </c>
      <c r="I18" s="162">
        <v>59997</v>
      </c>
      <c r="J18" s="85">
        <v>0</v>
      </c>
      <c r="K18" s="85">
        <v>0</v>
      </c>
      <c r="L18" s="140">
        <f t="shared" si="2"/>
        <v>59997</v>
      </c>
      <c r="M18" s="25" t="s">
        <v>98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205" t="s">
        <v>23</v>
      </c>
      <c r="L19" s="206"/>
      <c r="M19" s="207"/>
    </row>
    <row r="20" spans="1:13" ht="21.2" customHeight="1">
      <c r="B20" s="144"/>
      <c r="C20" s="177" t="s">
        <v>8</v>
      </c>
      <c r="D20" s="178"/>
      <c r="E20" s="89">
        <f>SUM(E21,E25)</f>
        <v>936246</v>
      </c>
      <c r="F20" s="3">
        <f>SUM(F21,F25)</f>
        <v>78098</v>
      </c>
      <c r="G20" s="3">
        <f>SUM(G21,G25)</f>
        <v>532788</v>
      </c>
      <c r="H20" s="89">
        <f>SUM(H21,H25)</f>
        <v>81786</v>
      </c>
      <c r="I20" s="89">
        <f>SUM(I21,I25)</f>
        <v>518172</v>
      </c>
      <c r="J20" s="90">
        <f t="shared" si="0"/>
        <v>3688</v>
      </c>
      <c r="K20" s="91">
        <f t="shared" si="1"/>
        <v>1.0472227201720914</v>
      </c>
      <c r="L20" s="92">
        <f t="shared" si="2"/>
        <v>-14616</v>
      </c>
      <c r="M20" s="24">
        <f>I20/G20</f>
        <v>0.97256694970607449</v>
      </c>
    </row>
    <row r="21" spans="1:13" ht="19.5" customHeight="1">
      <c r="B21" s="145"/>
      <c r="C21" s="192" t="s">
        <v>1</v>
      </c>
      <c r="D21" s="84" t="s">
        <v>0</v>
      </c>
      <c r="E21" s="85">
        <f>SUM(E22:E24)</f>
        <v>936246</v>
      </c>
      <c r="F21" s="85">
        <f>SUM(F22:F24)</f>
        <v>78098</v>
      </c>
      <c r="G21" s="85">
        <f>SUM(G22:G24)</f>
        <v>532788</v>
      </c>
      <c r="H21" s="85">
        <f>SUM(H22:H24)</f>
        <v>81786</v>
      </c>
      <c r="I21" s="85">
        <f>SUM(I22:I24)</f>
        <v>518172</v>
      </c>
      <c r="J21" s="86">
        <f t="shared" si="0"/>
        <v>3688</v>
      </c>
      <c r="K21" s="87">
        <f t="shared" si="1"/>
        <v>1.0472227201720914</v>
      </c>
      <c r="L21" s="88">
        <f t="shared" si="2"/>
        <v>-14616</v>
      </c>
      <c r="M21" s="81">
        <f t="shared" si="3"/>
        <v>0.97256694970607449</v>
      </c>
    </row>
    <row r="22" spans="1:13" ht="19.5" customHeight="1">
      <c r="B22" s="146" t="s">
        <v>19</v>
      </c>
      <c r="C22" s="192"/>
      <c r="D22" s="46" t="s">
        <v>5</v>
      </c>
      <c r="E22" s="123">
        <v>467367</v>
      </c>
      <c r="F22" s="164">
        <v>37751</v>
      </c>
      <c r="G22" s="48">
        <v>265415</v>
      </c>
      <c r="H22" s="48">
        <v>36623</v>
      </c>
      <c r="I22" s="48">
        <v>252819</v>
      </c>
      <c r="J22" s="133">
        <f t="shared" si="0"/>
        <v>-1128</v>
      </c>
      <c r="K22" s="45">
        <f t="shared" si="1"/>
        <v>0.97011999682127625</v>
      </c>
      <c r="L22" s="23">
        <f t="shared" si="2"/>
        <v>-12596</v>
      </c>
      <c r="M22" s="25">
        <f t="shared" si="3"/>
        <v>0.95254224516323494</v>
      </c>
    </row>
    <row r="23" spans="1:13" ht="19.5" customHeight="1">
      <c r="B23" s="146" t="s">
        <v>20</v>
      </c>
      <c r="C23" s="192"/>
      <c r="D23" s="2" t="s">
        <v>14</v>
      </c>
      <c r="E23" s="123">
        <v>457531</v>
      </c>
      <c r="F23" s="164">
        <v>39537</v>
      </c>
      <c r="G23" s="48">
        <v>260016</v>
      </c>
      <c r="H23" s="48">
        <v>43770</v>
      </c>
      <c r="I23" s="48">
        <v>253034</v>
      </c>
      <c r="J23" s="133">
        <f t="shared" si="0"/>
        <v>4233</v>
      </c>
      <c r="K23" s="45">
        <f t="shared" si="1"/>
        <v>1.1070642689126642</v>
      </c>
      <c r="L23" s="19">
        <f t="shared" si="2"/>
        <v>-6982</v>
      </c>
      <c r="M23" s="25">
        <f t="shared" si="3"/>
        <v>0.97314780628884379</v>
      </c>
    </row>
    <row r="24" spans="1:13" ht="19.5" customHeight="1">
      <c r="B24" s="147"/>
      <c r="C24" s="192"/>
      <c r="D24" s="2" t="s">
        <v>13</v>
      </c>
      <c r="E24" s="123">
        <v>11348</v>
      </c>
      <c r="F24" s="164">
        <v>810</v>
      </c>
      <c r="G24" s="48">
        <v>7357</v>
      </c>
      <c r="H24" s="48">
        <v>1393</v>
      </c>
      <c r="I24" s="48">
        <v>12319</v>
      </c>
      <c r="J24" s="133">
        <f t="shared" si="0"/>
        <v>583</v>
      </c>
      <c r="K24" s="45">
        <f t="shared" si="1"/>
        <v>1.719753086419753</v>
      </c>
      <c r="L24" s="19">
        <f t="shared" si="2"/>
        <v>4962</v>
      </c>
      <c r="M24" s="25">
        <f t="shared" si="3"/>
        <v>1.6744596982465678</v>
      </c>
    </row>
    <row r="25" spans="1:13" ht="19.5" customHeight="1">
      <c r="B25" s="145"/>
      <c r="C25" s="169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45"/>
      <c r="C26" s="169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48"/>
      <c r="C27" s="169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70" t="s">
        <v>67</v>
      </c>
      <c r="C28" s="171"/>
      <c r="D28" s="172"/>
      <c r="E28" s="104">
        <v>1429401</v>
      </c>
      <c r="F28" s="104">
        <v>128534</v>
      </c>
      <c r="G28" s="104">
        <v>864991</v>
      </c>
      <c r="H28" s="104">
        <v>164321</v>
      </c>
      <c r="I28" s="104">
        <v>939737</v>
      </c>
      <c r="J28" s="105">
        <f t="shared" si="0"/>
        <v>35787</v>
      </c>
      <c r="K28" s="106">
        <f t="shared" si="1"/>
        <v>1.2784243857656339</v>
      </c>
      <c r="L28" s="107">
        <f t="shared" si="2"/>
        <v>74746</v>
      </c>
      <c r="M28" s="108">
        <f t="shared" si="3"/>
        <v>1.0864124597828186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75" customFormat="1" ht="18.75" customHeight="1">
      <c r="A30" s="175" t="s">
        <v>27</v>
      </c>
    </row>
    <row r="31" spans="1:13" s="47" customFormat="1" ht="21.2" customHeight="1">
      <c r="B31" s="174" t="s">
        <v>24</v>
      </c>
      <c r="C31" s="174"/>
      <c r="D31" s="101"/>
      <c r="E31" s="101"/>
      <c r="F31" s="101"/>
      <c r="G31" s="101"/>
      <c r="H31" s="174" t="s">
        <v>25</v>
      </c>
      <c r="I31" s="174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3" customFormat="1" ht="24" customHeight="1"/>
    <row r="41" spans="2:13" ht="19.5" customHeight="1">
      <c r="B41" s="167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</row>
    <row r="42" spans="2:13" ht="19.5" customHeight="1">
      <c r="B42" s="167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C1" sqref="C1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12" t="s">
        <v>70</v>
      </c>
      <c r="G2" s="212"/>
      <c r="H2"/>
      <c r="I2"/>
      <c r="J2"/>
      <c r="K2" s="111"/>
      <c r="L2" s="111"/>
      <c r="M2" s="212" t="s">
        <v>29</v>
      </c>
      <c r="N2" s="212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22.07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22.07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9892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4">
        <f>통계요약!I10</f>
        <v>68039163</v>
      </c>
    </row>
    <row r="5" spans="1:27" s="52" customFormat="1" ht="30.2" customHeight="1" thickBot="1">
      <c r="A5"/>
      <c r="B5"/>
      <c r="C5"/>
      <c r="D5" s="111"/>
      <c r="E5" s="111"/>
      <c r="F5" s="213" t="s">
        <v>33</v>
      </c>
      <c r="G5" s="213"/>
      <c r="H5" s="56"/>
      <c r="I5" s="57"/>
      <c r="J5" s="57"/>
      <c r="K5" s="111"/>
      <c r="L5" s="111"/>
      <c r="M5" s="213" t="s">
        <v>34</v>
      </c>
      <c r="N5" s="213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22.07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22.07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518172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24" t="s">
        <v>39</v>
      </c>
      <c r="B2" s="225"/>
      <c r="C2" s="225"/>
      <c r="D2" s="228" t="s">
        <v>40</v>
      </c>
      <c r="E2" s="69"/>
      <c r="F2" s="220" t="s">
        <v>72</v>
      </c>
      <c r="G2" s="220"/>
      <c r="H2" s="220" t="s">
        <v>97</v>
      </c>
      <c r="I2" s="220"/>
      <c r="J2" s="220" t="s">
        <v>41</v>
      </c>
      <c r="K2" s="220"/>
      <c r="L2" s="220"/>
      <c r="M2" s="221"/>
    </row>
    <row r="3" spans="1:16" ht="21.95" customHeight="1">
      <c r="A3" s="226"/>
      <c r="B3" s="227"/>
      <c r="C3" s="227"/>
      <c r="D3" s="229"/>
      <c r="E3" s="70" t="s">
        <v>42</v>
      </c>
      <c r="F3" s="70" t="str">
        <f>통계요약!F6</f>
        <v>7월(A)</v>
      </c>
      <c r="G3" s="70" t="str">
        <f>통계요약!G6</f>
        <v>7월누계(B)</v>
      </c>
      <c r="H3" s="112" t="str">
        <f>통계요약!H6</f>
        <v>7월(C)</v>
      </c>
      <c r="I3" s="70" t="str">
        <f>통계요약!I6</f>
        <v>7월누계(D)</v>
      </c>
      <c r="J3" s="70" t="s">
        <v>43</v>
      </c>
      <c r="K3" s="71" t="s">
        <v>44</v>
      </c>
      <c r="L3" s="72" t="s">
        <v>45</v>
      </c>
      <c r="M3" s="125" t="s">
        <v>44</v>
      </c>
    </row>
    <row r="4" spans="1:16" ht="21.95" customHeight="1">
      <c r="A4" s="222" t="s">
        <v>46</v>
      </c>
      <c r="B4" s="223"/>
      <c r="C4" s="223"/>
      <c r="D4" s="16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78098</v>
      </c>
      <c r="G4" s="99">
        <f>SUM(G6,G8,G10,G12,G14,G16,G18,G22,G20,G26,G28,G30,G32,G24,G34)</f>
        <v>532788</v>
      </c>
      <c r="H4" s="99">
        <f>SUM(H6,H8,H10,H12,H14,H16,H18,H22,H20,H26,H28,H30,H32,H24,H34)</f>
        <v>81786</v>
      </c>
      <c r="I4" s="99">
        <f>SUM(I6,I8,I10,I12,I14,I16,I18,I22,I20,I26,I28,I30,I32,I24,I34)</f>
        <v>518172</v>
      </c>
      <c r="J4" s="93">
        <f t="shared" ref="J4:J31" si="0">H4-F4</f>
        <v>3688</v>
      </c>
      <c r="K4" s="94">
        <f t="shared" ref="K4:K33" si="1">(H4/F4*100)-100</f>
        <v>4.7222720172091357</v>
      </c>
      <c r="L4" s="95">
        <f t="shared" ref="L4:L31" si="2">I4-G4</f>
        <v>-14616</v>
      </c>
      <c r="M4" s="126">
        <f t="shared" ref="M4:M33" si="3">(I4/G4*100)-100</f>
        <v>-2.7433050293925447</v>
      </c>
    </row>
    <row r="5" spans="1:16" ht="21.95" customHeight="1">
      <c r="A5" s="222"/>
      <c r="B5" s="223"/>
      <c r="C5" s="223"/>
      <c r="D5" s="16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1175402</v>
      </c>
      <c r="G5" s="99">
        <f>SUM(G7,G9,G11,G13,G15,G17,G19,G21,G23,G27,G29,G31,G33,G25,G35)</f>
        <v>8098144</v>
      </c>
      <c r="H5" s="99">
        <f>SUM(H7,H9,H11,H13,H15,H17,H19,H21,H23,H27,H29,H31,H33,H25,H35)</f>
        <v>1219361</v>
      </c>
      <c r="I5" s="99">
        <f>SUM(I7,I9,I11,I13,I15,I17,I19,I21,I23,I27,I29,I31,I33,I25,I35)</f>
        <v>8053660</v>
      </c>
      <c r="J5" s="93">
        <f t="shared" si="0"/>
        <v>43959</v>
      </c>
      <c r="K5" s="94">
        <f t="shared" si="1"/>
        <v>3.7399119620351087</v>
      </c>
      <c r="L5" s="95">
        <f t="shared" si="2"/>
        <v>-44484</v>
      </c>
      <c r="M5" s="126">
        <f t="shared" si="3"/>
        <v>-0.5493110520138913</v>
      </c>
    </row>
    <row r="6" spans="1:16" ht="21.2" customHeight="1">
      <c r="A6" s="214" t="s">
        <v>53</v>
      </c>
      <c r="B6" s="215"/>
      <c r="C6" s="215"/>
      <c r="D6" s="73" t="s">
        <v>47</v>
      </c>
      <c r="E6" s="165">
        <v>54806</v>
      </c>
      <c r="F6" s="165">
        <v>5172</v>
      </c>
      <c r="G6" s="165">
        <v>31461</v>
      </c>
      <c r="H6" s="165">
        <v>5143</v>
      </c>
      <c r="I6" s="165">
        <v>33192</v>
      </c>
      <c r="J6" s="96">
        <f t="shared" ref="J6:J20" si="4">H6-F6</f>
        <v>-29</v>
      </c>
      <c r="K6" s="97">
        <f t="shared" ref="K6:K19" si="5">(H6/F6*100)-100</f>
        <v>-0.56071152358855159</v>
      </c>
      <c r="L6" s="98">
        <f>I6-G6</f>
        <v>1731</v>
      </c>
      <c r="M6" s="127">
        <f>(I6/G6*100)-100</f>
        <v>5.5020501573376492</v>
      </c>
      <c r="P6" s="64" t="s">
        <v>73</v>
      </c>
    </row>
    <row r="7" spans="1:16" ht="21.2" customHeight="1">
      <c r="A7" s="214"/>
      <c r="B7" s="215"/>
      <c r="C7" s="215"/>
      <c r="D7" s="73" t="s">
        <v>48</v>
      </c>
      <c r="E7" s="165">
        <v>1010788</v>
      </c>
      <c r="F7" s="165">
        <v>94598</v>
      </c>
      <c r="G7" s="165">
        <v>572985</v>
      </c>
      <c r="H7" s="165">
        <v>93612</v>
      </c>
      <c r="I7" s="165">
        <v>622583</v>
      </c>
      <c r="J7" s="96">
        <f t="shared" si="4"/>
        <v>-986</v>
      </c>
      <c r="K7" s="97">
        <f t="shared" si="5"/>
        <v>-1.042305334150825</v>
      </c>
      <c r="L7" s="98">
        <f t="shared" si="2"/>
        <v>49598</v>
      </c>
      <c r="M7" s="127">
        <f t="shared" si="3"/>
        <v>8.6560730211087531</v>
      </c>
      <c r="P7" s="64" t="s">
        <v>73</v>
      </c>
    </row>
    <row r="8" spans="1:16" ht="21.2" customHeight="1">
      <c r="A8" s="214" t="s">
        <v>54</v>
      </c>
      <c r="B8" s="215"/>
      <c r="C8" s="215"/>
      <c r="D8" s="73" t="s">
        <v>47</v>
      </c>
      <c r="E8" s="165">
        <v>73319</v>
      </c>
      <c r="F8" s="165">
        <v>7021</v>
      </c>
      <c r="G8" s="165">
        <v>40942</v>
      </c>
      <c r="H8" s="165">
        <v>6052</v>
      </c>
      <c r="I8" s="165">
        <v>40884</v>
      </c>
      <c r="J8" s="96">
        <f t="shared" si="4"/>
        <v>-969</v>
      </c>
      <c r="K8" s="97">
        <f t="shared" si="5"/>
        <v>-13.801452784503638</v>
      </c>
      <c r="L8" s="98">
        <f>I8-G8</f>
        <v>-58</v>
      </c>
      <c r="M8" s="127">
        <f>(I8/G8*100)-100</f>
        <v>-0.14166381710712983</v>
      </c>
      <c r="P8" s="64" t="s">
        <v>74</v>
      </c>
    </row>
    <row r="9" spans="1:16" ht="21.2" customHeight="1">
      <c r="A9" s="214"/>
      <c r="B9" s="215"/>
      <c r="C9" s="215"/>
      <c r="D9" s="73" t="s">
        <v>48</v>
      </c>
      <c r="E9" s="165">
        <v>1108270</v>
      </c>
      <c r="F9" s="165">
        <v>105495</v>
      </c>
      <c r="G9" s="165">
        <v>636919</v>
      </c>
      <c r="H9" s="165">
        <v>82814</v>
      </c>
      <c r="I9" s="165">
        <v>608617</v>
      </c>
      <c r="J9" s="96">
        <f t="shared" si="4"/>
        <v>-22681</v>
      </c>
      <c r="K9" s="97">
        <f t="shared" si="5"/>
        <v>-21.499597137305088</v>
      </c>
      <c r="L9" s="98">
        <f t="shared" si="2"/>
        <v>-28302</v>
      </c>
      <c r="M9" s="127">
        <f t="shared" si="3"/>
        <v>-4.4435791678376688</v>
      </c>
      <c r="P9" s="64" t="s">
        <v>74</v>
      </c>
    </row>
    <row r="10" spans="1:16" ht="21.2" customHeight="1">
      <c r="A10" s="214" t="s">
        <v>94</v>
      </c>
      <c r="B10" s="215"/>
      <c r="C10" s="215"/>
      <c r="D10" s="73" t="s">
        <v>47</v>
      </c>
      <c r="E10" s="165">
        <v>32</v>
      </c>
      <c r="F10" s="124">
        <v>0</v>
      </c>
      <c r="G10" s="124">
        <v>12</v>
      </c>
      <c r="H10" s="124">
        <v>0</v>
      </c>
      <c r="I10" s="124">
        <v>11</v>
      </c>
      <c r="J10" s="96">
        <f t="shared" si="4"/>
        <v>0</v>
      </c>
      <c r="K10" s="124">
        <v>0</v>
      </c>
      <c r="L10" s="98">
        <f t="shared" si="2"/>
        <v>-1</v>
      </c>
      <c r="M10" s="127">
        <f t="shared" si="3"/>
        <v>-8.3333333333333428</v>
      </c>
      <c r="P10" s="64" t="s">
        <v>95</v>
      </c>
    </row>
    <row r="11" spans="1:16" ht="21.2" customHeight="1">
      <c r="A11" s="214"/>
      <c r="B11" s="215"/>
      <c r="C11" s="215"/>
      <c r="D11" s="73" t="s">
        <v>48</v>
      </c>
      <c r="E11" s="165">
        <v>760</v>
      </c>
      <c r="F11" s="124">
        <v>0</v>
      </c>
      <c r="G11" s="124">
        <v>310</v>
      </c>
      <c r="H11" s="124">
        <v>0</v>
      </c>
      <c r="I11" s="124">
        <v>39</v>
      </c>
      <c r="J11" s="96">
        <f t="shared" si="4"/>
        <v>0</v>
      </c>
      <c r="K11" s="124">
        <v>0</v>
      </c>
      <c r="L11" s="98">
        <f t="shared" si="2"/>
        <v>-271</v>
      </c>
      <c r="M11" s="127">
        <f t="shared" si="3"/>
        <v>-87.41935483870968</v>
      </c>
      <c r="P11" s="64" t="s">
        <v>95</v>
      </c>
    </row>
    <row r="12" spans="1:16" ht="21.2" customHeight="1">
      <c r="A12" s="214" t="s">
        <v>66</v>
      </c>
      <c r="B12" s="215"/>
      <c r="C12" s="215"/>
      <c r="D12" s="73" t="s">
        <v>47</v>
      </c>
      <c r="E12" s="124">
        <v>0</v>
      </c>
      <c r="F12" s="124">
        <v>0</v>
      </c>
      <c r="G12" s="124">
        <v>0</v>
      </c>
      <c r="H12" s="124">
        <v>0</v>
      </c>
      <c r="I12" s="124">
        <v>0</v>
      </c>
      <c r="J12" s="96">
        <f t="shared" si="4"/>
        <v>0</v>
      </c>
      <c r="K12" s="124">
        <v>0</v>
      </c>
      <c r="L12" s="98">
        <f t="shared" si="2"/>
        <v>0</v>
      </c>
      <c r="M12" s="143">
        <v>0</v>
      </c>
      <c r="P12" s="64" t="s">
        <v>75</v>
      </c>
    </row>
    <row r="13" spans="1:16" ht="21.2" customHeight="1">
      <c r="A13" s="214"/>
      <c r="B13" s="215"/>
      <c r="C13" s="215"/>
      <c r="D13" s="73" t="s">
        <v>65</v>
      </c>
      <c r="E13" s="124">
        <v>0</v>
      </c>
      <c r="F13" s="124">
        <v>0</v>
      </c>
      <c r="G13" s="124">
        <v>0</v>
      </c>
      <c r="H13" s="124">
        <v>0</v>
      </c>
      <c r="I13" s="124">
        <v>0</v>
      </c>
      <c r="J13" s="96">
        <f t="shared" si="4"/>
        <v>0</v>
      </c>
      <c r="K13" s="124">
        <v>0</v>
      </c>
      <c r="L13" s="98">
        <f t="shared" si="2"/>
        <v>0</v>
      </c>
      <c r="M13" s="143">
        <v>0</v>
      </c>
      <c r="P13" s="64" t="s">
        <v>75</v>
      </c>
    </row>
    <row r="14" spans="1:16" ht="21.2" customHeight="1">
      <c r="A14" s="214" t="s">
        <v>55</v>
      </c>
      <c r="B14" s="215"/>
      <c r="C14" s="215"/>
      <c r="D14" s="73" t="s">
        <v>47</v>
      </c>
      <c r="E14" s="165">
        <v>113070</v>
      </c>
      <c r="F14" s="165">
        <v>9529</v>
      </c>
      <c r="G14" s="165">
        <v>66387</v>
      </c>
      <c r="H14" s="165">
        <v>10978</v>
      </c>
      <c r="I14" s="165">
        <v>74402</v>
      </c>
      <c r="J14" s="96">
        <f t="shared" si="4"/>
        <v>1449</v>
      </c>
      <c r="K14" s="97">
        <f t="shared" si="5"/>
        <v>15.206212614125292</v>
      </c>
      <c r="L14" s="98">
        <f t="shared" si="2"/>
        <v>8015</v>
      </c>
      <c r="M14" s="127">
        <f>(I14/G14*100)-100</f>
        <v>12.073146851040107</v>
      </c>
      <c r="P14" s="64" t="s">
        <v>76</v>
      </c>
    </row>
    <row r="15" spans="1:16" ht="21.2" customHeight="1">
      <c r="A15" s="214"/>
      <c r="B15" s="215"/>
      <c r="C15" s="215"/>
      <c r="D15" s="73" t="s">
        <v>48</v>
      </c>
      <c r="E15" s="165">
        <v>1740430</v>
      </c>
      <c r="F15" s="165">
        <v>151243</v>
      </c>
      <c r="G15" s="165">
        <v>997409</v>
      </c>
      <c r="H15" s="165">
        <v>172939</v>
      </c>
      <c r="I15" s="165">
        <v>1184139</v>
      </c>
      <c r="J15" s="96">
        <f t="shared" si="4"/>
        <v>21696</v>
      </c>
      <c r="K15" s="97">
        <f t="shared" si="5"/>
        <v>14.345126716608377</v>
      </c>
      <c r="L15" s="98">
        <f t="shared" si="2"/>
        <v>186730</v>
      </c>
      <c r="M15" s="127">
        <f t="shared" si="3"/>
        <v>18.7215074257401</v>
      </c>
      <c r="P15" s="64" t="s">
        <v>77</v>
      </c>
    </row>
    <row r="16" spans="1:16" ht="21.2" customHeight="1">
      <c r="A16" s="214" t="s">
        <v>62</v>
      </c>
      <c r="B16" s="215"/>
      <c r="C16" s="215"/>
      <c r="D16" s="73" t="s">
        <v>47</v>
      </c>
      <c r="E16" s="165">
        <v>257133</v>
      </c>
      <c r="F16" s="165">
        <v>22623</v>
      </c>
      <c r="G16" s="165">
        <v>155268</v>
      </c>
      <c r="H16" s="165">
        <v>20227</v>
      </c>
      <c r="I16" s="165">
        <v>131875</v>
      </c>
      <c r="J16" s="96">
        <f t="shared" si="4"/>
        <v>-2396</v>
      </c>
      <c r="K16" s="97">
        <f t="shared" si="5"/>
        <v>-10.59099146885913</v>
      </c>
      <c r="L16" s="98">
        <f t="shared" si="2"/>
        <v>-23393</v>
      </c>
      <c r="M16" s="127">
        <f t="shared" si="3"/>
        <v>-15.0662081046964</v>
      </c>
      <c r="P16" s="64" t="s">
        <v>78</v>
      </c>
    </row>
    <row r="17" spans="1:16" ht="21.2" customHeight="1">
      <c r="A17" s="214"/>
      <c r="B17" s="215"/>
      <c r="C17" s="215"/>
      <c r="D17" s="73" t="s">
        <v>48</v>
      </c>
      <c r="E17" s="165">
        <v>3567347</v>
      </c>
      <c r="F17" s="165">
        <v>287475</v>
      </c>
      <c r="G17" s="165">
        <v>2137528</v>
      </c>
      <c r="H17" s="165">
        <v>269504</v>
      </c>
      <c r="I17" s="165">
        <v>1854353</v>
      </c>
      <c r="J17" s="96">
        <f t="shared" si="4"/>
        <v>-17971</v>
      </c>
      <c r="K17" s="97">
        <f t="shared" si="5"/>
        <v>-6.251326202278463</v>
      </c>
      <c r="L17" s="98">
        <f t="shared" si="2"/>
        <v>-283175</v>
      </c>
      <c r="M17" s="127">
        <f t="shared" si="3"/>
        <v>-13.247779678207721</v>
      </c>
      <c r="P17" s="64" t="s">
        <v>79</v>
      </c>
    </row>
    <row r="18" spans="1:16" ht="21.2" customHeight="1">
      <c r="A18" s="214" t="s">
        <v>56</v>
      </c>
      <c r="B18" s="215"/>
      <c r="C18" s="215"/>
      <c r="D18" s="73" t="s">
        <v>47</v>
      </c>
      <c r="E18" s="165">
        <v>148930</v>
      </c>
      <c r="F18" s="165">
        <v>11226</v>
      </c>
      <c r="G18" s="165">
        <v>87105</v>
      </c>
      <c r="H18" s="165">
        <v>12519</v>
      </c>
      <c r="I18" s="165">
        <v>73977</v>
      </c>
      <c r="J18" s="96">
        <f t="shared" si="4"/>
        <v>1293</v>
      </c>
      <c r="K18" s="97">
        <f t="shared" si="5"/>
        <v>11.517904863709248</v>
      </c>
      <c r="L18" s="98">
        <f t="shared" si="2"/>
        <v>-13128</v>
      </c>
      <c r="M18" s="128">
        <f t="shared" si="3"/>
        <v>-15.071465472705356</v>
      </c>
      <c r="P18" s="64" t="s">
        <v>80</v>
      </c>
    </row>
    <row r="19" spans="1:16" ht="21.2" customHeight="1">
      <c r="A19" s="214"/>
      <c r="B19" s="215"/>
      <c r="C19" s="215"/>
      <c r="D19" s="73" t="s">
        <v>48</v>
      </c>
      <c r="E19" s="165">
        <v>2355281</v>
      </c>
      <c r="F19" s="165">
        <v>180504</v>
      </c>
      <c r="G19" s="165">
        <v>1369906</v>
      </c>
      <c r="H19" s="165">
        <v>207060</v>
      </c>
      <c r="I19" s="165">
        <v>1211804</v>
      </c>
      <c r="J19" s="96">
        <f t="shared" si="4"/>
        <v>26556</v>
      </c>
      <c r="K19" s="97">
        <f t="shared" si="5"/>
        <v>14.712139343172453</v>
      </c>
      <c r="L19" s="98">
        <f t="shared" si="2"/>
        <v>-158102</v>
      </c>
      <c r="M19" s="128">
        <f t="shared" si="3"/>
        <v>-11.541083840789085</v>
      </c>
      <c r="P19" s="64" t="s">
        <v>81</v>
      </c>
    </row>
    <row r="20" spans="1:16" ht="21.2" customHeight="1">
      <c r="A20" s="230" t="s">
        <v>68</v>
      </c>
      <c r="B20" s="231"/>
      <c r="C20" s="231"/>
      <c r="D20" s="109" t="s">
        <v>47</v>
      </c>
      <c r="E20" s="124">
        <v>0</v>
      </c>
      <c r="F20" s="124">
        <v>0</v>
      </c>
      <c r="G20" s="124">
        <v>0</v>
      </c>
      <c r="H20" s="124">
        <v>0</v>
      </c>
      <c r="I20" s="124">
        <v>0</v>
      </c>
      <c r="J20" s="110">
        <f t="shared" si="4"/>
        <v>0</v>
      </c>
      <c r="K20" s="124">
        <v>0</v>
      </c>
      <c r="L20" s="98">
        <f t="shared" si="2"/>
        <v>0</v>
      </c>
      <c r="M20" s="143">
        <v>0</v>
      </c>
      <c r="P20" s="64" t="s">
        <v>82</v>
      </c>
    </row>
    <row r="21" spans="1:16" ht="21.2" customHeight="1">
      <c r="A21" s="230"/>
      <c r="B21" s="231"/>
      <c r="C21" s="231"/>
      <c r="D21" s="109" t="s">
        <v>48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10">
        <f t="shared" si="0"/>
        <v>0</v>
      </c>
      <c r="K21" s="124">
        <v>0</v>
      </c>
      <c r="L21" s="98">
        <f t="shared" si="2"/>
        <v>0</v>
      </c>
      <c r="M21" s="143">
        <v>0</v>
      </c>
      <c r="P21" s="64" t="s">
        <v>83</v>
      </c>
    </row>
    <row r="22" spans="1:16" ht="21.2" customHeight="1">
      <c r="A22" s="214" t="s">
        <v>93</v>
      </c>
      <c r="B22" s="215"/>
      <c r="C22" s="215"/>
      <c r="D22" s="73" t="s">
        <v>47</v>
      </c>
      <c r="E22" s="165">
        <v>8</v>
      </c>
      <c r="F22" s="124">
        <v>0</v>
      </c>
      <c r="G22" s="124">
        <v>0</v>
      </c>
      <c r="H22" s="124">
        <v>0</v>
      </c>
      <c r="I22" s="124">
        <v>0</v>
      </c>
      <c r="J22" s="110">
        <f t="shared" si="0"/>
        <v>0</v>
      </c>
      <c r="K22" s="124">
        <v>0</v>
      </c>
      <c r="L22" s="98">
        <f t="shared" si="2"/>
        <v>0</v>
      </c>
      <c r="M22" s="143">
        <v>0</v>
      </c>
      <c r="P22" s="64" t="s">
        <v>96</v>
      </c>
    </row>
    <row r="23" spans="1:16" ht="21.2" customHeight="1">
      <c r="A23" s="214"/>
      <c r="B23" s="215"/>
      <c r="C23" s="215"/>
      <c r="D23" s="73" t="s">
        <v>48</v>
      </c>
      <c r="E23" s="165">
        <v>43</v>
      </c>
      <c r="F23" s="124">
        <v>0</v>
      </c>
      <c r="G23" s="124">
        <v>0</v>
      </c>
      <c r="H23" s="124">
        <v>0</v>
      </c>
      <c r="I23" s="124">
        <v>0</v>
      </c>
      <c r="J23" s="110">
        <f t="shared" si="0"/>
        <v>0</v>
      </c>
      <c r="K23" s="124">
        <v>0</v>
      </c>
      <c r="L23" s="98">
        <f t="shared" si="2"/>
        <v>0</v>
      </c>
      <c r="M23" s="143">
        <v>0</v>
      </c>
      <c r="P23" s="64" t="s">
        <v>96</v>
      </c>
    </row>
    <row r="24" spans="1:16" ht="21.2" customHeight="1">
      <c r="A24" s="214" t="s">
        <v>63</v>
      </c>
      <c r="B24" s="215"/>
      <c r="C24" s="215"/>
      <c r="D24" s="73" t="s">
        <v>64</v>
      </c>
      <c r="E24" s="165">
        <v>43</v>
      </c>
      <c r="F24" s="124">
        <v>0</v>
      </c>
      <c r="G24" s="124">
        <v>16</v>
      </c>
      <c r="H24" s="124">
        <v>0</v>
      </c>
      <c r="I24" s="124">
        <v>34</v>
      </c>
      <c r="J24" s="110">
        <f t="shared" si="0"/>
        <v>0</v>
      </c>
      <c r="K24" s="124">
        <v>0</v>
      </c>
      <c r="L24" s="98">
        <f t="shared" si="2"/>
        <v>18</v>
      </c>
      <c r="M24" s="127">
        <f t="shared" si="3"/>
        <v>112.5</v>
      </c>
      <c r="P24" s="64" t="s">
        <v>84</v>
      </c>
    </row>
    <row r="25" spans="1:16" ht="21.2" customHeight="1">
      <c r="A25" s="214"/>
      <c r="B25" s="215"/>
      <c r="C25" s="215"/>
      <c r="D25" s="73" t="s">
        <v>65</v>
      </c>
      <c r="E25" s="165">
        <v>492</v>
      </c>
      <c r="F25" s="124">
        <v>0</v>
      </c>
      <c r="G25" s="124">
        <v>129</v>
      </c>
      <c r="H25" s="124">
        <v>0</v>
      </c>
      <c r="I25" s="124">
        <v>244</v>
      </c>
      <c r="J25" s="110">
        <f t="shared" si="0"/>
        <v>0</v>
      </c>
      <c r="K25" s="124">
        <v>0</v>
      </c>
      <c r="L25" s="98">
        <f t="shared" si="2"/>
        <v>115</v>
      </c>
      <c r="M25" s="127">
        <f t="shared" si="3"/>
        <v>89.147286821705421</v>
      </c>
      <c r="P25" s="64" t="s">
        <v>84</v>
      </c>
    </row>
    <row r="26" spans="1:16" ht="21.2" customHeight="1">
      <c r="A26" s="214" t="s">
        <v>58</v>
      </c>
      <c r="B26" s="215"/>
      <c r="C26" s="215"/>
      <c r="D26" s="73" t="s">
        <v>47</v>
      </c>
      <c r="E26" s="165">
        <v>478</v>
      </c>
      <c r="F26" s="124">
        <v>16</v>
      </c>
      <c r="G26" s="124">
        <v>192</v>
      </c>
      <c r="H26" s="124">
        <v>0</v>
      </c>
      <c r="I26" s="165">
        <v>212</v>
      </c>
      <c r="J26" s="110">
        <f t="shared" si="0"/>
        <v>-16</v>
      </c>
      <c r="K26" s="97">
        <f t="shared" si="1"/>
        <v>-100</v>
      </c>
      <c r="L26" s="98">
        <f t="shared" si="2"/>
        <v>20</v>
      </c>
      <c r="M26" s="127">
        <f t="shared" si="3"/>
        <v>10.416666666666671</v>
      </c>
      <c r="P26" s="64" t="s">
        <v>85</v>
      </c>
    </row>
    <row r="27" spans="1:16" ht="21.2" customHeight="1">
      <c r="A27" s="214"/>
      <c r="B27" s="215"/>
      <c r="C27" s="215"/>
      <c r="D27" s="73" t="s">
        <v>48</v>
      </c>
      <c r="E27" s="165">
        <v>2537</v>
      </c>
      <c r="F27" s="124">
        <v>250</v>
      </c>
      <c r="G27" s="124">
        <v>1817</v>
      </c>
      <c r="H27" s="124">
        <v>0</v>
      </c>
      <c r="I27" s="165">
        <v>1888</v>
      </c>
      <c r="J27" s="110">
        <f t="shared" si="0"/>
        <v>-250</v>
      </c>
      <c r="K27" s="97">
        <f t="shared" si="1"/>
        <v>-100</v>
      </c>
      <c r="L27" s="98">
        <f t="shared" si="2"/>
        <v>71</v>
      </c>
      <c r="M27" s="127">
        <f t="shared" si="3"/>
        <v>3.9075399009356033</v>
      </c>
      <c r="P27" s="64" t="s">
        <v>86</v>
      </c>
    </row>
    <row r="28" spans="1:16" ht="21.2" customHeight="1">
      <c r="A28" s="214" t="s">
        <v>59</v>
      </c>
      <c r="B28" s="215"/>
      <c r="C28" s="215"/>
      <c r="D28" s="73" t="s">
        <v>47</v>
      </c>
      <c r="E28" s="165">
        <v>95587</v>
      </c>
      <c r="F28" s="165">
        <v>8145</v>
      </c>
      <c r="G28" s="165">
        <v>51028</v>
      </c>
      <c r="H28" s="165">
        <v>8159</v>
      </c>
      <c r="I28" s="165">
        <v>54570</v>
      </c>
      <c r="J28" s="110">
        <f t="shared" si="0"/>
        <v>14</v>
      </c>
      <c r="K28" s="97">
        <f t="shared" si="1"/>
        <v>0.17188459177408788</v>
      </c>
      <c r="L28" s="98">
        <f t="shared" si="2"/>
        <v>3542</v>
      </c>
      <c r="M28" s="127">
        <f t="shared" si="3"/>
        <v>6.941287136474088</v>
      </c>
      <c r="P28" s="64" t="s">
        <v>87</v>
      </c>
    </row>
    <row r="29" spans="1:16" ht="21.2" customHeight="1">
      <c r="A29" s="214"/>
      <c r="B29" s="215"/>
      <c r="C29" s="215"/>
      <c r="D29" s="73" t="s">
        <v>48</v>
      </c>
      <c r="E29" s="165">
        <v>1614394</v>
      </c>
      <c r="F29" s="165">
        <v>138955</v>
      </c>
      <c r="G29" s="165">
        <v>838231</v>
      </c>
      <c r="H29" s="165">
        <v>132172</v>
      </c>
      <c r="I29" s="165">
        <v>944169</v>
      </c>
      <c r="J29" s="110">
        <f t="shared" si="0"/>
        <v>-6783</v>
      </c>
      <c r="K29" s="97">
        <f t="shared" si="1"/>
        <v>-4.8814364362563367</v>
      </c>
      <c r="L29" s="98">
        <f t="shared" si="2"/>
        <v>105938</v>
      </c>
      <c r="M29" s="127">
        <f t="shared" si="3"/>
        <v>12.638282287340829</v>
      </c>
      <c r="P29" s="64" t="s">
        <v>88</v>
      </c>
    </row>
    <row r="30" spans="1:16" ht="21.2" customHeight="1">
      <c r="A30" s="214" t="s">
        <v>60</v>
      </c>
      <c r="B30" s="215"/>
      <c r="C30" s="215"/>
      <c r="D30" s="73" t="s">
        <v>47</v>
      </c>
      <c r="E30" s="165">
        <v>139949</v>
      </c>
      <c r="F30" s="165">
        <v>10141</v>
      </c>
      <c r="G30" s="165">
        <v>68993</v>
      </c>
      <c r="H30" s="165">
        <v>13626</v>
      </c>
      <c r="I30" s="165">
        <v>80496</v>
      </c>
      <c r="J30" s="96">
        <f t="shared" si="0"/>
        <v>3485</v>
      </c>
      <c r="K30" s="97">
        <f t="shared" si="1"/>
        <v>34.365447194556737</v>
      </c>
      <c r="L30" s="98">
        <f t="shared" si="2"/>
        <v>11503</v>
      </c>
      <c r="M30" s="127">
        <f t="shared" si="3"/>
        <v>16.672705926688209</v>
      </c>
      <c r="P30" s="64" t="s">
        <v>89</v>
      </c>
    </row>
    <row r="31" spans="1:16" ht="21.2" customHeight="1">
      <c r="A31" s="214"/>
      <c r="B31" s="215"/>
      <c r="C31" s="215"/>
      <c r="D31" s="73" t="s">
        <v>48</v>
      </c>
      <c r="E31" s="165">
        <v>2096293</v>
      </c>
      <c r="F31" s="165">
        <v>150324</v>
      </c>
      <c r="G31" s="165">
        <v>1045416</v>
      </c>
      <c r="H31" s="165">
        <v>196649</v>
      </c>
      <c r="I31" s="165">
        <v>1171459</v>
      </c>
      <c r="J31" s="96">
        <f t="shared" si="0"/>
        <v>46325</v>
      </c>
      <c r="K31" s="97">
        <f t="shared" si="1"/>
        <v>30.816769112051304</v>
      </c>
      <c r="L31" s="98">
        <f t="shared" si="2"/>
        <v>126043</v>
      </c>
      <c r="M31" s="127">
        <f t="shared" si="3"/>
        <v>12.056731482969468</v>
      </c>
      <c r="P31" s="64" t="s">
        <v>90</v>
      </c>
    </row>
    <row r="32" spans="1:16" ht="21.2" customHeight="1">
      <c r="A32" s="214" t="s">
        <v>61</v>
      </c>
      <c r="B32" s="215"/>
      <c r="C32" s="215"/>
      <c r="D32" s="73" t="s">
        <v>47</v>
      </c>
      <c r="E32" s="165">
        <v>52891</v>
      </c>
      <c r="F32" s="165">
        <v>4225</v>
      </c>
      <c r="G32" s="165">
        <v>31384</v>
      </c>
      <c r="H32" s="165">
        <v>5082</v>
      </c>
      <c r="I32" s="165">
        <v>28439</v>
      </c>
      <c r="J32" s="96">
        <f>H32-F32</f>
        <v>857</v>
      </c>
      <c r="K32" s="97">
        <f t="shared" si="1"/>
        <v>20.284023668639065</v>
      </c>
      <c r="L32" s="98">
        <f>I32-G32</f>
        <v>-2945</v>
      </c>
      <c r="M32" s="127">
        <f t="shared" si="3"/>
        <v>-9.3837624267142417</v>
      </c>
      <c r="P32" s="64" t="s">
        <v>91</v>
      </c>
    </row>
    <row r="33" spans="1:16" ht="21.2" customHeight="1">
      <c r="A33" s="214"/>
      <c r="B33" s="215"/>
      <c r="C33" s="215"/>
      <c r="D33" s="73" t="s">
        <v>48</v>
      </c>
      <c r="E33" s="165">
        <v>864813</v>
      </c>
      <c r="F33" s="165">
        <v>66558</v>
      </c>
      <c r="G33" s="165">
        <v>497494</v>
      </c>
      <c r="H33" s="165">
        <v>64611</v>
      </c>
      <c r="I33" s="165">
        <v>452981</v>
      </c>
      <c r="J33" s="96">
        <f>H33-F33</f>
        <v>-1947</v>
      </c>
      <c r="K33" s="97">
        <f t="shared" si="1"/>
        <v>-2.9252681871450505</v>
      </c>
      <c r="L33" s="98">
        <f>I33-G33</f>
        <v>-44513</v>
      </c>
      <c r="M33" s="127">
        <f t="shared" si="3"/>
        <v>-8.9474445922965913</v>
      </c>
      <c r="P33" s="64" t="s">
        <v>92</v>
      </c>
    </row>
    <row r="34" spans="1:16" ht="21.2" customHeight="1">
      <c r="A34" s="216" t="s">
        <v>100</v>
      </c>
      <c r="B34" s="217"/>
      <c r="C34" s="217"/>
      <c r="D34" s="149" t="s">
        <v>47</v>
      </c>
      <c r="E34" s="124">
        <v>0</v>
      </c>
      <c r="F34" s="124">
        <v>0</v>
      </c>
      <c r="G34" s="124">
        <v>0</v>
      </c>
      <c r="H34" s="124">
        <v>0</v>
      </c>
      <c r="I34" s="150">
        <v>80</v>
      </c>
      <c r="J34" s="151">
        <f>H34-F34</f>
        <v>0</v>
      </c>
      <c r="K34" s="124">
        <v>0</v>
      </c>
      <c r="L34" s="152">
        <f>I34-G34</f>
        <v>80</v>
      </c>
      <c r="M34" s="155" t="s">
        <v>99</v>
      </c>
      <c r="P34" s="64" t="s">
        <v>101</v>
      </c>
    </row>
    <row r="35" spans="1:16" ht="21.2" customHeight="1" thickBot="1">
      <c r="A35" s="218"/>
      <c r="B35" s="219"/>
      <c r="C35" s="219"/>
      <c r="D35" s="129" t="s">
        <v>48</v>
      </c>
      <c r="E35" s="153">
        <v>0</v>
      </c>
      <c r="F35" s="124">
        <v>0</v>
      </c>
      <c r="G35" s="124">
        <v>0</v>
      </c>
      <c r="H35" s="124">
        <v>0</v>
      </c>
      <c r="I35" s="130">
        <v>1384</v>
      </c>
      <c r="J35" s="131">
        <f>H35-F35</f>
        <v>0</v>
      </c>
      <c r="K35" s="153">
        <v>0</v>
      </c>
      <c r="L35" s="132">
        <f>I35-G35</f>
        <v>1384</v>
      </c>
      <c r="M35" s="156" t="s">
        <v>99</v>
      </c>
      <c r="P35" s="64" t="s">
        <v>101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재게(7월)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2022-08-28T14:39:20Z</dcterms:modified>
</cp:coreProperties>
</file>