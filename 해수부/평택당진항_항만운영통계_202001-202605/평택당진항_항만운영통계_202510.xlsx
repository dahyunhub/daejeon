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3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I25" i="21" l="1"/>
  <c r="I24" i="21"/>
  <c r="I23" i="21"/>
  <c r="I18" i="21"/>
  <c r="I17" i="21"/>
  <c r="I15" i="21"/>
  <c r="I14" i="21"/>
  <c r="I13" i="21"/>
  <c r="H15" i="21"/>
  <c r="I10" i="21"/>
  <c r="I9" i="21"/>
  <c r="H10" i="21"/>
  <c r="H9" i="21"/>
  <c r="I22" i="21" l="1"/>
  <c r="I8" i="21" l="1"/>
  <c r="E12" i="21" l="1"/>
  <c r="L22" i="32"/>
  <c r="L28" i="32"/>
  <c r="E16" i="21"/>
  <c r="H9" i="32" l="1"/>
  <c r="H7" i="33"/>
  <c r="J13" i="21"/>
  <c r="J14" i="21"/>
  <c r="J15" i="21"/>
  <c r="J18" i="21"/>
  <c r="J17" i="21"/>
  <c r="J24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E7" i="32"/>
  <c r="J25" i="32" l="1"/>
  <c r="J24" i="32"/>
  <c r="D9" i="32"/>
  <c r="D8" i="32"/>
  <c r="E8" i="21"/>
  <c r="F9" i="32" l="1"/>
  <c r="J23" i="21"/>
  <c r="J25" i="2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E11" i="21" l="1"/>
  <c r="H22" i="2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<sst xmlns="http://schemas.openxmlformats.org/spreadsheetml/2006/main" count="159" uniqueCount="112">
  <si>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</si>
  <si>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</si>
  <si>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</si>
  <si>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</si>
  <si>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</si>
  <si>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</si>
  <si>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</si>
  <si>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10" type="noConversion"/>
  </si>
  <si>
    <t xml:space="preserve"> 합  계</t>
    <phoneticPr fontId="10" type="noConversion"/>
  </si>
  <si>
    <t xml:space="preserve"> 외  항</t>
    <phoneticPr fontId="10" type="noConversion"/>
  </si>
  <si>
    <t xml:space="preserve"> 내  항</t>
    <phoneticPr fontId="10" type="noConversion"/>
  </si>
  <si>
    <t>연간누계</t>
    <phoneticPr fontId="10" type="noConversion"/>
  </si>
  <si>
    <t>계</t>
    <phoneticPr fontId="10" type="noConversion"/>
  </si>
  <si>
    <t>환적</t>
    <phoneticPr fontId="10" type="noConversion"/>
  </si>
  <si>
    <t>수출</t>
    <phoneticPr fontId="10" type="noConversion"/>
  </si>
  <si>
    <t>전년동기대비</t>
    <phoneticPr fontId="10" type="noConversion"/>
  </si>
  <si>
    <t>(%)</t>
    <phoneticPr fontId="10" type="noConversion"/>
  </si>
  <si>
    <t>환적</t>
    <phoneticPr fontId="10" type="noConversion"/>
  </si>
  <si>
    <t>D-B</t>
    <phoneticPr fontId="10" type="noConversion"/>
  </si>
  <si>
    <t>선박</t>
    <phoneticPr fontId="10" type="noConversion"/>
  </si>
  <si>
    <t>화물</t>
    <phoneticPr fontId="10" type="noConversion"/>
  </si>
  <si>
    <t>(단위:TEU, 100% 기준)</t>
    <phoneticPr fontId="10" type="noConversion"/>
  </si>
  <si>
    <t>컨테이너</t>
    <phoneticPr fontId="10" type="noConversion"/>
  </si>
  <si>
    <t>구     분</t>
    <phoneticPr fontId="10" type="noConversion"/>
  </si>
  <si>
    <t>단위</t>
    <phoneticPr fontId="22" type="noConversion"/>
  </si>
  <si>
    <t>전년동기대비</t>
    <phoneticPr fontId="10" type="noConversion"/>
  </si>
  <si>
    <t>연간누계</t>
    <phoneticPr fontId="10" type="noConversion"/>
  </si>
  <si>
    <t>C-A</t>
    <phoneticPr fontId="10" type="noConversion"/>
  </si>
  <si>
    <t>(%)</t>
    <phoneticPr fontId="10" type="noConversion"/>
  </si>
  <si>
    <t>D-B</t>
    <phoneticPr fontId="10" type="noConversion"/>
  </si>
  <si>
    <t>합  계</t>
    <phoneticPr fontId="10" type="noConversion"/>
  </si>
  <si>
    <t>TEU</t>
    <phoneticPr fontId="22" type="noConversion"/>
  </si>
  <si>
    <t>톤</t>
    <phoneticPr fontId="22" type="noConversion"/>
  </si>
  <si>
    <t>국제여객부두1번</t>
  </si>
  <si>
    <t>국제여객부두2번</t>
  </si>
  <si>
    <t>동부두 6</t>
    <phoneticPr fontId="22" type="noConversion"/>
  </si>
  <si>
    <t>동부두 8</t>
    <phoneticPr fontId="22" type="noConversion"/>
  </si>
  <si>
    <t>C-A</t>
    <phoneticPr fontId="10" type="noConversion"/>
  </si>
  <si>
    <t>동부두 12</t>
    <phoneticPr fontId="22" type="noConversion"/>
  </si>
  <si>
    <t>동부두 14</t>
    <phoneticPr fontId="22" type="noConversion"/>
  </si>
  <si>
    <t>동부두 15</t>
    <phoneticPr fontId="22" type="noConversion"/>
  </si>
  <si>
    <t>동부두 16</t>
    <phoneticPr fontId="22" type="noConversion"/>
  </si>
  <si>
    <t>동부두 7</t>
    <phoneticPr fontId="22" type="noConversion"/>
  </si>
  <si>
    <t>동부두 11</t>
    <phoneticPr fontId="22" type="noConversion"/>
  </si>
  <si>
    <t>TEU</t>
    <phoneticPr fontId="22" type="noConversion"/>
  </si>
  <si>
    <t>톤</t>
    <phoneticPr fontId="22" type="noConversion"/>
  </si>
  <si>
    <t>동부두 5</t>
    <phoneticPr fontId="22" type="noConversion"/>
  </si>
  <si>
    <t>자동차(대)</t>
    <phoneticPr fontId="10" type="noConversion"/>
  </si>
  <si>
    <t>동부두 9</t>
    <phoneticPr fontId="22" type="noConversion"/>
  </si>
  <si>
    <t>소계</t>
    <phoneticPr fontId="10" type="noConversion"/>
  </si>
  <si>
    <t>(단위 : 척)</t>
    <phoneticPr fontId="10" type="noConversion"/>
  </si>
  <si>
    <t>국제여객부두 1번선석</t>
  </si>
  <si>
    <t>국제여객부두 2번선석</t>
    <phoneticPr fontId="22" type="noConversion"/>
  </si>
  <si>
    <t>동부두 5번선석</t>
    <phoneticPr fontId="22" type="noConversion"/>
  </si>
  <si>
    <t>동부두 6번선석</t>
    <phoneticPr fontId="22" type="noConversion"/>
  </si>
  <si>
    <t>동부두 6번선석</t>
    <phoneticPr fontId="22" type="noConversion"/>
  </si>
  <si>
    <t>동부두 7번선석</t>
    <phoneticPr fontId="22" type="noConversion"/>
  </si>
  <si>
    <t>동부두 7번선석</t>
    <phoneticPr fontId="22" type="noConversion"/>
  </si>
  <si>
    <t>동부두 8번선석</t>
    <phoneticPr fontId="22" type="noConversion"/>
  </si>
  <si>
    <t>동부두 8번선석</t>
    <phoneticPr fontId="22" type="noConversion"/>
  </si>
  <si>
    <t>동부두 9번선석</t>
    <phoneticPr fontId="22" type="noConversion"/>
  </si>
  <si>
    <t>동부두 9번선석</t>
    <phoneticPr fontId="22" type="noConversion"/>
  </si>
  <si>
    <t>동부두 11번선석</t>
    <phoneticPr fontId="22" type="noConversion"/>
  </si>
  <si>
    <t>동부두 12번선석</t>
    <phoneticPr fontId="22" type="noConversion"/>
  </si>
  <si>
    <t>동부두 12번선석</t>
    <phoneticPr fontId="22" type="noConversion"/>
  </si>
  <si>
    <t>동부두 14번선석</t>
    <phoneticPr fontId="22" type="noConversion"/>
  </si>
  <si>
    <t>동부두 14번선석</t>
    <phoneticPr fontId="22" type="noConversion"/>
  </si>
  <si>
    <t>동부두 15번선석</t>
    <phoneticPr fontId="22" type="noConversion"/>
  </si>
  <si>
    <t>동부두 15번선석</t>
    <phoneticPr fontId="22" type="noConversion"/>
  </si>
  <si>
    <t>동부두 16번선석</t>
    <phoneticPr fontId="22" type="noConversion"/>
  </si>
  <si>
    <t>동부두 16번선석</t>
    <phoneticPr fontId="22" type="noConversion"/>
  </si>
  <si>
    <t>동부두 10</t>
    <phoneticPr fontId="22" type="noConversion"/>
  </si>
  <si>
    <t>동부두 1</t>
    <phoneticPr fontId="22" type="noConversion"/>
  </si>
  <si>
    <t>동부두 1번선석</t>
    <phoneticPr fontId="22" type="noConversion"/>
  </si>
  <si>
    <t>동부두 10번선석</t>
    <phoneticPr fontId="22" type="noConversion"/>
  </si>
  <si>
    <t>순증</t>
    <phoneticPr fontId="10" type="noConversion"/>
  </si>
  <si>
    <t>PNCT</t>
    <phoneticPr fontId="22" type="noConversion"/>
  </si>
  <si>
    <t>터미널별</t>
    <phoneticPr fontId="22" type="noConversion"/>
  </si>
  <si>
    <t>2022년 월별</t>
    <phoneticPr fontId="22" type="noConversion"/>
  </si>
  <si>
    <t>2022년 누계</t>
    <phoneticPr fontId="22" type="noConversion"/>
  </si>
  <si>
    <t>2023년 월별</t>
    <phoneticPr fontId="22" type="noConversion"/>
  </si>
  <si>
    <t>2023년 누계</t>
    <phoneticPr fontId="22" type="noConversion"/>
  </si>
  <si>
    <t>여객부두</t>
    <phoneticPr fontId="22" type="noConversion"/>
  </si>
  <si>
    <t>HPCTC</t>
    <phoneticPr fontId="22" type="noConversion"/>
  </si>
  <si>
    <t>`</t>
    <phoneticPr fontId="22" type="noConversion"/>
  </si>
  <si>
    <t>(단위 : 척, 천톤, 100% 기준)</t>
  </si>
  <si>
    <t>컨테이너</t>
    <phoneticPr fontId="10" type="noConversion"/>
  </si>
  <si>
    <t>연도별 수송실적</t>
    <phoneticPr fontId="10" type="noConversion"/>
  </si>
  <si>
    <t>(단위 : 천톤)</t>
    <phoneticPr fontId="10" type="noConversion"/>
  </si>
  <si>
    <t>(단위 : TEU)</t>
    <phoneticPr fontId="10" type="noConversion"/>
  </si>
  <si>
    <t>(단위 : 명)</t>
    <phoneticPr fontId="10" type="noConversion"/>
  </si>
  <si>
    <t>화물
입출항</t>
    <phoneticPr fontId="10" type="noConversion"/>
  </si>
  <si>
    <t>선박
입출항</t>
    <phoneticPr fontId="10" type="noConversion"/>
  </si>
  <si>
    <t>여  객</t>
    <phoneticPr fontId="10" type="noConversion"/>
  </si>
  <si>
    <t>구 분</t>
    <phoneticPr fontId="10" type="noConversion"/>
  </si>
  <si>
    <t>(선박입출항)</t>
    <phoneticPr fontId="10" type="noConversion"/>
  </si>
  <si>
    <t>(화물입출항)</t>
    <phoneticPr fontId="10" type="noConversion"/>
  </si>
  <si>
    <t>(컨테이너)</t>
    <phoneticPr fontId="10" type="noConversion"/>
  </si>
  <si>
    <t xml:space="preserve">□ 연도별 추이 </t>
    <phoneticPr fontId="21" type="noConversion"/>
  </si>
  <si>
    <t>(여 객)</t>
    <phoneticPr fontId="10" type="noConversion"/>
  </si>
  <si>
    <t>`</t>
    <phoneticPr fontId="10" type="noConversion"/>
  </si>
  <si>
    <t>2024년도</t>
    <phoneticPr fontId="10" type="noConversion"/>
  </si>
  <si>
    <t xml:space="preserve"> </t>
    <phoneticPr fontId="21" type="noConversion"/>
  </si>
  <si>
    <t>10월(A)</t>
    <phoneticPr fontId="10" type="noConversion"/>
  </si>
  <si>
    <t xml:space="preserve"> 10월누계(B) </t>
    <phoneticPr fontId="10" type="noConversion"/>
  </si>
  <si>
    <t>10월(C)</t>
    <phoneticPr fontId="10" type="noConversion"/>
  </si>
  <si>
    <t xml:space="preserve"> 10월누계(D) </t>
    <phoneticPr fontId="10" type="noConversion"/>
  </si>
  <si>
    <t>항만운영통계(10월)</t>
    <phoneticPr fontId="10" type="noConversion"/>
  </si>
  <si>
    <t>부두별 컨테이너 물동량(10월)</t>
    <phoneticPr fontId="22" type="noConversion"/>
  </si>
  <si>
    <t>2025년도</t>
    <phoneticPr fontId="10" type="noConversion"/>
  </si>
  <si>
    <t>2025.10.</t>
    <phoneticPr fontId="21" type="noConversion"/>
  </si>
  <si>
    <t>2024년도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</si>
</sst>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2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69">
    <xf numFmtId="0" fontId="0" fillId="0" borderId="0"/>
    <xf numFmtId="38" fontId="11" fillId="0" borderId="0" applyFont="0" applyFill="0" applyBorder="0" applyAlignment="0" applyProtection="0"/>
    <xf numFmtId="4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38" fontId="14" fillId="2" borderId="0" applyNumberFormat="0" applyBorder="0" applyAlignment="0" applyProtection="0"/>
    <xf numFmtId="10" fontId="14" fillId="3" borderId="1" applyNumberFormat="0" applyBorder="0" applyAlignment="0" applyProtection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9" fontId="12" fillId="0" borderId="0"/>
    <xf numFmtId="0" fontId="11" fillId="0" borderId="0"/>
    <xf numFmtId="10" fontId="12" fillId="0" borderId="0" applyFont="0" applyFill="0" applyBorder="0" applyAlignment="0" applyProtection="0"/>
    <xf numFmtId="9" fontId="13" fillId="0" borderId="2" applyNumberFormat="0" applyBorder="0"/>
    <xf numFmtId="176" fontId="8" fillId="0" borderId="0" applyFont="0" applyFill="0" applyBorder="0" applyAlignment="0" applyProtection="0"/>
    <xf numFmtId="0" fontId="8" fillId="0" borderId="0"/>
    <xf numFmtId="0" fontId="25" fillId="0" borderId="0">
      <alignment vertical="center"/>
    </xf>
    <xf numFmtId="0" fontId="6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5" fillId="0" borderId="0">
      <alignment vertical="center"/>
    </xf>
    <xf numFmtId="0" fontId="32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176" fontId="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3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36" fillId="0" borderId="0"/>
    <xf numFmtId="0" fontId="25" fillId="0" borderId="0">
      <alignment vertical="center"/>
    </xf>
    <xf numFmtId="0" fontId="37" fillId="0" borderId="0">
      <alignment vertical="center"/>
    </xf>
    <xf numFmtId="0" fontId="25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325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 vertical="center"/>
    </xf>
    <xf numFmtId="180" fontId="9" fillId="0" borderId="0" xfId="0" applyNumberFormat="1" applyFont="1" applyAlignment="1">
      <alignment horizontal="right" vertical="center"/>
    </xf>
    <xf numFmtId="176" fontId="15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right" vertical="center"/>
    </xf>
    <xf numFmtId="181" fontId="16" fillId="0" borderId="0" xfId="0" applyNumberFormat="1" applyFont="1" applyFill="1" applyBorder="1" applyAlignment="1">
      <alignment horizontal="right" vertical="center"/>
    </xf>
    <xf numFmtId="9" fontId="16" fillId="0" borderId="0" xfId="0" quotePrefix="1" applyNumberFormat="1" applyFont="1" applyFill="1" applyBorder="1" applyAlignment="1">
      <alignment horizontal="right" vertical="center"/>
    </xf>
    <xf numFmtId="9" fontId="18" fillId="0" borderId="0" xfId="0" applyNumberFormat="1" applyFont="1" applyFill="1" applyBorder="1" applyAlignment="1">
      <alignment horizontal="right" vertical="center"/>
    </xf>
    <xf numFmtId="0" fontId="20" fillId="0" borderId="0" xfId="0" applyFont="1"/>
    <xf numFmtId="0" fontId="8" fillId="0" borderId="0" xfId="16"/>
    <xf numFmtId="0" fontId="23" fillId="0" borderId="0" xfId="0" applyFont="1" applyBorder="1" applyAlignment="1">
      <alignment horizontal="center" vertical="center"/>
    </xf>
    <xf numFmtId="183" fontId="24" fillId="0" borderId="0" xfId="0" applyNumberFormat="1" applyFont="1" applyBorder="1" applyAlignment="1">
      <alignment vertical="center"/>
    </xf>
    <xf numFmtId="0" fontId="8" fillId="0" borderId="0" xfId="16" applyAlignment="1">
      <alignment horizontal="right"/>
    </xf>
    <xf numFmtId="180" fontId="8" fillId="0" borderId="0" xfId="16" applyNumberFormat="1" applyAlignment="1">
      <alignment horizontal="right"/>
    </xf>
    <xf numFmtId="0" fontId="9" fillId="0" borderId="0" xfId="16" applyFont="1" applyAlignment="1">
      <alignment horizontal="right" vertical="center"/>
    </xf>
    <xf numFmtId="180" fontId="9" fillId="0" borderId="0" xfId="16" applyNumberFormat="1" applyFont="1" applyAlignment="1">
      <alignment horizontal="right" vertical="center"/>
    </xf>
    <xf numFmtId="0" fontId="17" fillId="0" borderId="0" xfId="16" applyFont="1" applyAlignment="1">
      <alignment vertical="center"/>
    </xf>
    <xf numFmtId="0" fontId="25" fillId="0" borderId="0" xfId="17">
      <alignment vertical="center"/>
    </xf>
    <xf numFmtId="0" fontId="28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5" fillId="0" borderId="0" xfId="17" applyFont="1">
      <alignment vertical="center"/>
    </xf>
    <xf numFmtId="3" fontId="0" fillId="0" borderId="0" xfId="0" applyNumberFormat="1"/>
    <xf numFmtId="43" fontId="25" fillId="0" borderId="0" xfId="17" applyNumberFormat="1">
      <alignment vertical="center"/>
    </xf>
    <xf numFmtId="0" fontId="25" fillId="0" borderId="0" xfId="17" applyFont="1" applyAlignment="1">
      <alignment horizontal="center" vertical="center"/>
    </xf>
    <xf numFmtId="0" fontId="25" fillId="0" borderId="0" xfId="17" applyAlignment="1">
      <alignment horizontal="center" vertical="center"/>
    </xf>
    <xf numFmtId="176" fontId="25" fillId="0" borderId="1" xfId="15" applyFont="1" applyBorder="1" applyAlignment="1">
      <alignment horizontal="center" vertical="center"/>
    </xf>
    <xf numFmtId="0" fontId="25" fillId="0" borderId="1" xfId="15" applyNumberFormat="1" applyFont="1" applyBorder="1" applyAlignment="1">
      <alignment horizontal="center" vertical="center"/>
    </xf>
    <xf numFmtId="41" fontId="25" fillId="0" borderId="1" xfId="15" applyNumberFormat="1" applyFont="1" applyBorder="1" applyAlignment="1">
      <alignment horizontal="center" vertical="center"/>
    </xf>
    <xf numFmtId="189" fontId="25" fillId="0" borderId="0" xfId="17" applyNumberFormat="1">
      <alignment vertical="center"/>
    </xf>
    <xf numFmtId="176" fontId="16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25" fillId="0" borderId="0" xfId="65">
      <alignment vertical="center"/>
    </xf>
    <xf numFmtId="0" fontId="25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5" fillId="0" borderId="0" xfId="65" applyFill="1" applyBorder="1">
      <alignment vertical="center"/>
    </xf>
    <xf numFmtId="0" fontId="8" fillId="0" borderId="0" xfId="16" applyFill="1" applyBorder="1"/>
    <xf numFmtId="186" fontId="23" fillId="0" borderId="0" xfId="0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/>
    </xf>
    <xf numFmtId="187" fontId="23" fillId="0" borderId="0" xfId="0" quotePrefix="1" applyNumberFormat="1" applyFont="1" applyFill="1" applyBorder="1" applyAlignment="1">
      <alignment horizontal="center" vertical="center"/>
    </xf>
    <xf numFmtId="176" fontId="30" fillId="0" borderId="0" xfId="15" applyFont="1" applyFill="1" applyBorder="1" applyAlignment="1">
      <alignment horizontal="center" vertical="center" shrinkToFit="1"/>
    </xf>
    <xf numFmtId="0" fontId="17" fillId="0" borderId="0" xfId="16" applyFont="1" applyFill="1" applyBorder="1" applyAlignment="1">
      <alignment vertical="center"/>
    </xf>
    <xf numFmtId="176" fontId="16" fillId="8" borderId="6" xfId="0" applyNumberFormat="1" applyFont="1" applyFill="1" applyBorder="1" applyAlignment="1">
      <alignment horizontal="right" vertical="center"/>
    </xf>
    <xf numFmtId="9" fontId="16" fillId="8" borderId="6" xfId="0" quotePrefix="1" applyNumberFormat="1" applyFont="1" applyFill="1" applyBorder="1" applyAlignment="1">
      <alignment horizontal="right" vertical="center"/>
    </xf>
    <xf numFmtId="9" fontId="15" fillId="4" borderId="6" xfId="0" quotePrefix="1" applyNumberFormat="1" applyFont="1" applyFill="1" applyBorder="1" applyAlignment="1">
      <alignment horizontal="right" vertical="center"/>
    </xf>
    <xf numFmtId="9" fontId="9" fillId="4" borderId="6" xfId="0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right" vertical="center"/>
    </xf>
    <xf numFmtId="182" fontId="16" fillId="8" borderId="6" xfId="0" applyNumberFormat="1" applyFont="1" applyFill="1" applyBorder="1" applyAlignment="1">
      <alignment horizontal="right" vertical="center"/>
    </xf>
    <xf numFmtId="176" fontId="16" fillId="8" borderId="6" xfId="0" applyNumberFormat="1" applyFont="1" applyFill="1" applyBorder="1" applyAlignment="1">
      <alignment horizontal="center" vertical="center"/>
    </xf>
    <xf numFmtId="176" fontId="15" fillId="4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center" vertical="center"/>
    </xf>
    <xf numFmtId="9" fontId="9" fillId="4" borderId="11" xfId="0" applyNumberFormat="1" applyFont="1" applyFill="1" applyBorder="1" applyAlignment="1">
      <alignment horizontal="right" vertical="center"/>
    </xf>
    <xf numFmtId="9" fontId="18" fillId="8" borderId="11" xfId="0" applyNumberFormat="1" applyFont="1" applyFill="1" applyBorder="1" applyAlignment="1">
      <alignment horizontal="right" vertical="center"/>
    </xf>
    <xf numFmtId="176" fontId="15" fillId="0" borderId="6" xfId="0" applyNumberFormat="1" applyFont="1" applyBorder="1" applyAlignment="1">
      <alignment horizontal="center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29" fillId="4" borderId="6" xfId="0" applyNumberFormat="1" applyFont="1" applyFill="1" applyBorder="1" applyAlignment="1">
      <alignment horizontal="right" vertical="center"/>
    </xf>
    <xf numFmtId="0" fontId="16" fillId="4" borderId="10" xfId="0" applyFont="1" applyFill="1" applyBorder="1" applyAlignment="1">
      <alignment horizontal="left"/>
    </xf>
    <xf numFmtId="176" fontId="29" fillId="4" borderId="11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/>
    </xf>
    <xf numFmtId="176" fontId="16" fillId="6" borderId="18" xfId="0" applyNumberFormat="1" applyFont="1" applyFill="1" applyBorder="1" applyAlignment="1">
      <alignment horizontal="center" vertical="center" wrapText="1"/>
    </xf>
    <xf numFmtId="9" fontId="16" fillId="6" borderId="18" xfId="0" applyNumberFormat="1" applyFont="1" applyFill="1" applyBorder="1" applyAlignment="1">
      <alignment horizontal="center" vertical="center"/>
    </xf>
    <xf numFmtId="180" fontId="16" fillId="6" borderId="19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4" borderId="20" xfId="0" applyNumberFormat="1" applyFont="1" applyFill="1" applyBorder="1" applyAlignment="1">
      <alignment horizontal="right" vertical="center"/>
    </xf>
    <xf numFmtId="9" fontId="15" fillId="4" borderId="20" xfId="0" quotePrefix="1" applyNumberFormat="1" applyFont="1" applyFill="1" applyBorder="1" applyAlignment="1">
      <alignment horizontal="right" vertical="center"/>
    </xf>
    <xf numFmtId="9" fontId="9" fillId="4" borderId="21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3" xfId="0" quotePrefix="1" applyNumberFormat="1" applyFont="1" applyFill="1" applyBorder="1" applyAlignment="1">
      <alignment horizontal="right" vertical="center"/>
    </xf>
    <xf numFmtId="9" fontId="18" fillId="8" borderId="24" xfId="0" applyNumberFormat="1" applyFont="1" applyFill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9" fontId="15" fillId="0" borderId="18" xfId="0" quotePrefix="1" applyNumberFormat="1" applyFont="1" applyFill="1" applyBorder="1" applyAlignment="1">
      <alignment horizontal="right" vertical="center"/>
    </xf>
    <xf numFmtId="9" fontId="9" fillId="0" borderId="19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center" vertical="center"/>
    </xf>
    <xf numFmtId="182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9" fontId="16" fillId="8" borderId="20" xfId="0" quotePrefix="1" applyNumberFormat="1" applyFont="1" applyFill="1" applyBorder="1" applyAlignment="1">
      <alignment horizontal="right" vertical="center"/>
    </xf>
    <xf numFmtId="9" fontId="18" fillId="8" borderId="21" xfId="0" applyNumberFormat="1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/>
    </xf>
    <xf numFmtId="176" fontId="15" fillId="0" borderId="18" xfId="0" applyNumberFormat="1" applyFont="1" applyBorder="1" applyAlignment="1">
      <alignment horizontal="right" vertical="center"/>
    </xf>
    <xf numFmtId="176" fontId="15" fillId="0" borderId="18" xfId="0" applyNumberFormat="1" applyFont="1" applyBorder="1" applyAlignment="1">
      <alignment horizontal="center" vertical="center"/>
    </xf>
    <xf numFmtId="176" fontId="16" fillId="4" borderId="18" xfId="0" applyNumberFormat="1" applyFont="1" applyFill="1" applyBorder="1" applyAlignment="1">
      <alignment horizontal="right" vertical="center"/>
    </xf>
    <xf numFmtId="9" fontId="18" fillId="8" borderId="20" xfId="0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center" vertical="center" shrinkToFit="1"/>
    </xf>
    <xf numFmtId="176" fontId="16" fillId="8" borderId="23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right" vertical="center" shrinkToFit="1"/>
    </xf>
    <xf numFmtId="9" fontId="16" fillId="8" borderId="23" xfId="0" quotePrefix="1" applyNumberFormat="1" applyFont="1" applyFill="1" applyBorder="1" applyAlignment="1">
      <alignment horizontal="right" vertical="center" shrinkToFit="1"/>
    </xf>
    <xf numFmtId="41" fontId="15" fillId="0" borderId="18" xfId="0" applyNumberFormat="1" applyFont="1" applyFill="1" applyBorder="1" applyAlignment="1">
      <alignment horizontal="center" vertical="center"/>
    </xf>
    <xf numFmtId="176" fontId="29" fillId="4" borderId="18" xfId="0" applyNumberFormat="1" applyFont="1" applyFill="1" applyBorder="1" applyAlignment="1">
      <alignment horizontal="right" vertical="center"/>
    </xf>
    <xf numFmtId="176" fontId="29" fillId="4" borderId="18" xfId="0" applyNumberFormat="1" applyFont="1" applyFill="1" applyBorder="1" applyAlignment="1">
      <alignment horizontal="center" vertical="center"/>
    </xf>
    <xf numFmtId="176" fontId="29" fillId="4" borderId="19" xfId="0" applyNumberFormat="1" applyFont="1" applyFill="1" applyBorder="1" applyAlignment="1">
      <alignment horizontal="center" vertical="center"/>
    </xf>
    <xf numFmtId="176" fontId="15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23" fillId="4" borderId="6" xfId="17" applyFont="1" applyFill="1" applyBorder="1" applyAlignment="1">
      <alignment horizontal="center" vertical="center"/>
    </xf>
    <xf numFmtId="184" fontId="16" fillId="4" borderId="6" xfId="17" quotePrefix="1" applyNumberFormat="1" applyFont="1" applyFill="1" applyBorder="1" applyAlignment="1">
      <alignment horizontal="right" vertical="center" shrinkToFit="1"/>
    </xf>
    <xf numFmtId="176" fontId="16" fillId="4" borderId="6" xfId="17" applyNumberFormat="1" applyFont="1" applyFill="1" applyBorder="1" applyAlignment="1">
      <alignment horizontal="right" vertical="center" shrinkToFit="1"/>
    </xf>
    <xf numFmtId="0" fontId="23" fillId="0" borderId="6" xfId="17" applyFont="1" applyFill="1" applyBorder="1" applyAlignment="1">
      <alignment horizontal="center" vertical="center"/>
    </xf>
    <xf numFmtId="184" fontId="16" fillId="4" borderId="11" xfId="17" quotePrefix="1" applyNumberFormat="1" applyFont="1" applyFill="1" applyBorder="1" applyAlignment="1">
      <alignment horizontal="right" vertical="center" shrinkToFit="1"/>
    </xf>
    <xf numFmtId="0" fontId="23" fillId="4" borderId="13" xfId="17" applyFont="1" applyFill="1" applyBorder="1" applyAlignment="1">
      <alignment horizontal="center" vertical="center"/>
    </xf>
    <xf numFmtId="184" fontId="16" fillId="4" borderId="13" xfId="17" quotePrefix="1" applyNumberFormat="1" applyFont="1" applyFill="1" applyBorder="1" applyAlignment="1">
      <alignment horizontal="right" vertical="center" shrinkToFit="1"/>
    </xf>
    <xf numFmtId="176" fontId="16" fillId="4" borderId="13" xfId="17" applyNumberFormat="1" applyFont="1" applyFill="1" applyBorder="1" applyAlignment="1">
      <alignment horizontal="right" vertical="center" shrinkToFit="1"/>
    </xf>
    <xf numFmtId="184" fontId="16" fillId="4" borderId="14" xfId="17" quotePrefix="1" applyNumberFormat="1" applyFont="1" applyFill="1" applyBorder="1" applyAlignment="1">
      <alignment horizontal="right" vertical="center" shrinkToFit="1"/>
    </xf>
    <xf numFmtId="176" fontId="16" fillId="6" borderId="18" xfId="17" applyNumberFormat="1" applyFont="1" applyFill="1" applyBorder="1" applyAlignment="1">
      <alignment horizontal="center" vertical="center"/>
    </xf>
    <xf numFmtId="9" fontId="16" fillId="6" borderId="18" xfId="17" applyNumberFormat="1" applyFont="1" applyFill="1" applyBorder="1" applyAlignment="1">
      <alignment horizontal="center" vertical="center"/>
    </xf>
    <xf numFmtId="0" fontId="18" fillId="6" borderId="18" xfId="17" applyFont="1" applyFill="1" applyBorder="1" applyAlignment="1">
      <alignment horizontal="center" vertical="center"/>
    </xf>
    <xf numFmtId="180" fontId="16" fillId="6" borderId="19" xfId="17" applyNumberFormat="1" applyFont="1" applyFill="1" applyBorder="1" applyAlignment="1">
      <alignment horizontal="center" vertical="center"/>
    </xf>
    <xf numFmtId="0" fontId="23" fillId="8" borderId="28" xfId="17" applyFont="1" applyFill="1" applyBorder="1" applyAlignment="1">
      <alignment horizontal="center" vertical="center"/>
    </xf>
    <xf numFmtId="183" fontId="23" fillId="8" borderId="28" xfId="17" applyNumberFormat="1" applyFont="1" applyFill="1" applyBorder="1" applyAlignment="1">
      <alignment vertical="center" shrinkToFit="1"/>
    </xf>
    <xf numFmtId="185" fontId="16" fillId="8" borderId="28" xfId="17" applyNumberFormat="1" applyFont="1" applyFill="1" applyBorder="1" applyAlignment="1">
      <alignment horizontal="right" vertical="center" shrinkToFit="1"/>
    </xf>
    <xf numFmtId="184" fontId="16" fillId="8" borderId="28" xfId="17" quotePrefix="1" applyNumberFormat="1" applyFont="1" applyFill="1" applyBorder="1" applyAlignment="1">
      <alignment horizontal="right" vertical="center" shrinkToFit="1"/>
    </xf>
    <xf numFmtId="176" fontId="16" fillId="8" borderId="28" xfId="17" applyNumberFormat="1" applyFont="1" applyFill="1" applyBorder="1" applyAlignment="1">
      <alignment horizontal="right" vertical="center" shrinkToFit="1"/>
    </xf>
    <xf numFmtId="184" fontId="16" fillId="8" borderId="29" xfId="17" quotePrefix="1" applyNumberFormat="1" applyFont="1" applyFill="1" applyBorder="1" applyAlignment="1">
      <alignment horizontal="right" vertical="center" shrinkToFit="1"/>
    </xf>
    <xf numFmtId="0" fontId="23" fillId="8" borderId="15" xfId="17" applyFont="1" applyFill="1" applyBorder="1" applyAlignment="1">
      <alignment horizontal="center" vertical="center"/>
    </xf>
    <xf numFmtId="183" fontId="23" fillId="8" borderId="15" xfId="17" applyNumberFormat="1" applyFont="1" applyFill="1" applyBorder="1" applyAlignment="1">
      <alignment vertical="center" shrinkToFit="1"/>
    </xf>
    <xf numFmtId="185" fontId="16" fillId="8" borderId="15" xfId="17" applyNumberFormat="1" applyFont="1" applyFill="1" applyBorder="1" applyAlignment="1">
      <alignment horizontal="right" vertical="center" shrinkToFit="1"/>
    </xf>
    <xf numFmtId="184" fontId="16" fillId="8" borderId="15" xfId="17" quotePrefix="1" applyNumberFormat="1" applyFont="1" applyFill="1" applyBorder="1" applyAlignment="1">
      <alignment horizontal="right" vertical="center" shrinkToFit="1"/>
    </xf>
    <xf numFmtId="176" fontId="16" fillId="8" borderId="15" xfId="17" applyNumberFormat="1" applyFont="1" applyFill="1" applyBorder="1" applyAlignment="1">
      <alignment horizontal="right" vertical="center" shrinkToFit="1"/>
    </xf>
    <xf numFmtId="184" fontId="16" fillId="8" borderId="16" xfId="17" quotePrefix="1" applyNumberFormat="1" applyFont="1" applyFill="1" applyBorder="1" applyAlignment="1">
      <alignment horizontal="right" vertical="center" shrinkToFit="1"/>
    </xf>
    <xf numFmtId="0" fontId="23" fillId="9" borderId="6" xfId="17" applyFont="1" applyFill="1" applyBorder="1" applyAlignment="1">
      <alignment horizontal="center" vertical="center"/>
    </xf>
    <xf numFmtId="184" fontId="16" fillId="9" borderId="6" xfId="17" quotePrefix="1" applyNumberFormat="1" applyFont="1" applyFill="1" applyBorder="1" applyAlignment="1">
      <alignment horizontal="right" vertical="center" shrinkToFit="1"/>
    </xf>
    <xf numFmtId="176" fontId="16" fillId="9" borderId="6" xfId="17" applyNumberFormat="1" applyFont="1" applyFill="1" applyBorder="1" applyAlignment="1">
      <alignment horizontal="right" vertical="center" shrinkToFit="1"/>
    </xf>
    <xf numFmtId="184" fontId="16" fillId="9" borderId="11" xfId="17" quotePrefix="1" applyNumberFormat="1" applyFont="1" applyFill="1" applyBorder="1" applyAlignment="1">
      <alignment horizontal="right" vertical="center" shrinkToFit="1"/>
    </xf>
    <xf numFmtId="41" fontId="24" fillId="9" borderId="6" xfId="23" applyFont="1" applyFill="1" applyBorder="1" applyAlignment="1">
      <alignment horizontal="right" vertical="center"/>
    </xf>
    <xf numFmtId="0" fontId="23" fillId="6" borderId="7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186" fontId="23" fillId="6" borderId="32" xfId="0" applyNumberFormat="1" applyFont="1" applyFill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/>
    </xf>
    <xf numFmtId="187" fontId="23" fillId="6" borderId="32" xfId="0" quotePrefix="1" applyNumberFormat="1" applyFont="1" applyFill="1" applyBorder="1" applyAlignment="1">
      <alignment horizontal="center" vertical="center"/>
    </xf>
    <xf numFmtId="188" fontId="38" fillId="0" borderId="33" xfId="0" applyNumberFormat="1" applyFont="1" applyBorder="1" applyAlignment="1">
      <alignment horizontal="center" vertical="center"/>
    </xf>
    <xf numFmtId="176" fontId="38" fillId="0" borderId="33" xfId="15" applyFont="1" applyBorder="1" applyAlignment="1">
      <alignment horizontal="center" vertical="center" shrinkToFit="1"/>
    </xf>
    <xf numFmtId="0" fontId="25" fillId="0" borderId="0" xfId="17" applyFill="1">
      <alignment vertical="center"/>
    </xf>
    <xf numFmtId="182" fontId="15" fillId="0" borderId="6" xfId="0" applyNumberFormat="1" applyFont="1" applyBorder="1" applyAlignment="1">
      <alignment horizontal="right" vertical="center"/>
    </xf>
    <xf numFmtId="0" fontId="23" fillId="9" borderId="28" xfId="17" applyFont="1" applyFill="1" applyBorder="1" applyAlignment="1">
      <alignment horizontal="center" vertical="center"/>
    </xf>
    <xf numFmtId="184" fontId="16" fillId="9" borderId="28" xfId="17" quotePrefix="1" applyNumberFormat="1" applyFont="1" applyFill="1" applyBorder="1" applyAlignment="1">
      <alignment horizontal="right" vertical="center" shrinkToFit="1"/>
    </xf>
    <xf numFmtId="176" fontId="16" fillId="9" borderId="28" xfId="17" applyNumberFormat="1" applyFont="1" applyFill="1" applyBorder="1" applyAlignment="1">
      <alignment horizontal="right" vertical="center" shrinkToFit="1"/>
    </xf>
    <xf numFmtId="184" fontId="16" fillId="9" borderId="35" xfId="17" quotePrefix="1" applyNumberFormat="1" applyFont="1" applyFill="1" applyBorder="1" applyAlignment="1">
      <alignment horizontal="right" vertical="center" shrinkToFit="1"/>
    </xf>
    <xf numFmtId="176" fontId="15" fillId="4" borderId="15" xfId="0" applyNumberFormat="1" applyFont="1" applyFill="1" applyBorder="1" applyAlignment="1">
      <alignment horizontal="center" vertical="center"/>
    </xf>
    <xf numFmtId="0" fontId="23" fillId="5" borderId="6" xfId="17" applyFont="1" applyFill="1" applyBorder="1" applyAlignment="1">
      <alignment horizontal="center" vertical="center"/>
    </xf>
    <xf numFmtId="184" fontId="16" fillId="5" borderId="6" xfId="17" quotePrefix="1" applyNumberFormat="1" applyFont="1" applyFill="1" applyBorder="1" applyAlignment="1">
      <alignment horizontal="right" vertical="center" shrinkToFit="1"/>
    </xf>
    <xf numFmtId="176" fontId="16" fillId="5" borderId="6" xfId="17" applyNumberFormat="1" applyFont="1" applyFill="1" applyBorder="1" applyAlignment="1">
      <alignment horizontal="right" vertical="center" shrinkToFit="1"/>
    </xf>
    <xf numFmtId="184" fontId="16" fillId="5" borderId="11" xfId="17" quotePrefix="1" applyNumberFormat="1" applyFont="1" applyFill="1" applyBorder="1" applyAlignment="1">
      <alignment horizontal="right" vertical="center" shrinkToFit="1"/>
    </xf>
    <xf numFmtId="185" fontId="16" fillId="9" borderId="36" xfId="17" applyNumberFormat="1" applyFont="1" applyFill="1" applyBorder="1" applyAlignment="1">
      <alignment horizontal="right" vertical="center" shrinkToFit="1"/>
    </xf>
    <xf numFmtId="185" fontId="16" fillId="5" borderId="37" xfId="17" applyNumberFormat="1" applyFont="1" applyFill="1" applyBorder="1" applyAlignment="1">
      <alignment horizontal="right" vertical="center" shrinkToFit="1"/>
    </xf>
    <xf numFmtId="185" fontId="16" fillId="9" borderId="37" xfId="17" applyNumberFormat="1" applyFont="1" applyFill="1" applyBorder="1" applyAlignment="1">
      <alignment horizontal="right" vertical="center" shrinkToFit="1"/>
    </xf>
    <xf numFmtId="41" fontId="24" fillId="5" borderId="6" xfId="40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31" fillId="8" borderId="23" xfId="0" applyNumberFormat="1" applyFont="1" applyFill="1" applyBorder="1" applyAlignment="1">
      <alignment horizontal="right" vertical="center" shrinkToFit="1"/>
    </xf>
    <xf numFmtId="9" fontId="31" fillId="8" borderId="23" xfId="0" quotePrefix="1" applyNumberFormat="1" applyFont="1" applyFill="1" applyBorder="1" applyAlignment="1">
      <alignment horizontal="right" vertical="center"/>
    </xf>
    <xf numFmtId="9" fontId="39" fillId="8" borderId="24" xfId="0" applyNumberFormat="1" applyFont="1" applyFill="1" applyBorder="1" applyAlignment="1">
      <alignment horizontal="right" vertical="center"/>
    </xf>
    <xf numFmtId="185" fontId="16" fillId="5" borderId="38" xfId="17" applyNumberFormat="1" applyFont="1" applyFill="1" applyBorder="1" applyAlignment="1">
      <alignment horizontal="right" vertical="center" shrinkToFit="1"/>
    </xf>
    <xf numFmtId="180" fontId="15" fillId="0" borderId="0" xfId="0" applyNumberFormat="1" applyFont="1" applyAlignment="1">
      <alignment horizontal="right" vertical="center"/>
    </xf>
    <xf numFmtId="0" fontId="24" fillId="0" borderId="0" xfId="65" applyFont="1">
      <alignment vertical="center"/>
    </xf>
    <xf numFmtId="180" fontId="15" fillId="0" borderId="0" xfId="17" applyNumberFormat="1" applyFont="1" applyAlignment="1">
      <alignment horizontal="right" vertical="center"/>
    </xf>
    <xf numFmtId="0" fontId="24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9" fillId="0" borderId="0" xfId="0" applyNumberFormat="1" applyFont="1" applyAlignment="1">
      <alignment horizontal="right" vertical="center"/>
    </xf>
    <xf numFmtId="183" fontId="25" fillId="0" borderId="0" xfId="65" applyNumberFormat="1">
      <alignment vertical="center"/>
    </xf>
    <xf numFmtId="183" fontId="25" fillId="0" borderId="0" xfId="17" applyNumberFormat="1" applyAlignment="1">
      <alignment horizontal="right"/>
    </xf>
    <xf numFmtId="183" fontId="9" fillId="0" borderId="0" xfId="17" applyNumberFormat="1" applyFont="1" applyAlignment="1">
      <alignment horizontal="right" vertical="center"/>
    </xf>
    <xf numFmtId="183" fontId="31" fillId="6" borderId="18" xfId="17" applyNumberFormat="1" applyFont="1" applyFill="1" applyBorder="1" applyAlignment="1">
      <alignment horizontal="center" vertical="center"/>
    </xf>
    <xf numFmtId="183" fontId="16" fillId="6" borderId="18" xfId="17" applyNumberFormat="1" applyFont="1" applyFill="1" applyBorder="1" applyAlignment="1">
      <alignment horizontal="center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5" fillId="0" borderId="0" xfId="17" applyNumberFormat="1">
      <alignment vertical="center"/>
    </xf>
    <xf numFmtId="183" fontId="25" fillId="0" borderId="0" xfId="17" applyNumberFormat="1" applyAlignment="1">
      <alignment horizontal="center" vertical="center"/>
    </xf>
    <xf numFmtId="176" fontId="23" fillId="8" borderId="28" xfId="15" applyFont="1" applyFill="1" applyBorder="1" applyAlignment="1">
      <alignment horizontal="center" vertical="center" shrinkToFit="1"/>
    </xf>
    <xf numFmtId="176" fontId="23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5" fillId="0" borderId="0" xfId="15" applyFont="1" applyAlignment="1">
      <alignment vertical="center"/>
    </xf>
    <xf numFmtId="176" fontId="25" fillId="0" borderId="0" xfId="15" applyFont="1" applyAlignment="1">
      <alignment horizontal="right"/>
    </xf>
    <xf numFmtId="176" fontId="16" fillId="6" borderId="18" xfId="15" applyFont="1" applyFill="1" applyBorder="1" applyAlignment="1">
      <alignment horizontal="center" vertical="center"/>
    </xf>
    <xf numFmtId="176" fontId="23" fillId="8" borderId="28" xfId="15" applyFont="1" applyFill="1" applyBorder="1" applyAlignment="1">
      <alignment vertical="center" shrinkToFit="1"/>
    </xf>
    <xf numFmtId="176" fontId="23" fillId="8" borderId="15" xfId="15" applyFont="1" applyFill="1" applyBorder="1" applyAlignment="1">
      <alignment vertical="center" shrinkToFit="1"/>
    </xf>
    <xf numFmtId="176" fontId="24" fillId="9" borderId="6" xfId="15" applyFont="1" applyFill="1" applyBorder="1" applyAlignment="1">
      <alignment horizontal="right" vertical="center"/>
    </xf>
    <xf numFmtId="185" fontId="41" fillId="10" borderId="37" xfId="103" applyNumberFormat="1" applyFont="1" applyBorder="1" applyAlignment="1">
      <alignment horizontal="right" vertical="center" shrinkToFit="1"/>
    </xf>
    <xf numFmtId="176" fontId="15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7" fillId="0" borderId="0" xfId="15" applyFont="1" applyBorder="1" applyAlignment="1">
      <alignment vertical="center"/>
    </xf>
    <xf numFmtId="176" fontId="7" fillId="0" borderId="0" xfId="15" applyFont="1" applyBorder="1" applyAlignment="1">
      <alignment horizontal="right" vertical="center"/>
    </xf>
    <xf numFmtId="176" fontId="16" fillId="6" borderId="8" xfId="15" quotePrefix="1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/>
    </xf>
    <xf numFmtId="176" fontId="15" fillId="0" borderId="18" xfId="15" applyFont="1" applyBorder="1" applyAlignment="1">
      <alignment horizontal="right" vertical="center"/>
    </xf>
    <xf numFmtId="176" fontId="16" fillId="8" borderId="23" xfId="15" applyFont="1" applyFill="1" applyBorder="1" applyAlignment="1">
      <alignment horizontal="center" vertical="center" shrinkToFit="1"/>
    </xf>
    <xf numFmtId="176" fontId="16" fillId="8" borderId="20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29" fillId="4" borderId="6" xfId="15" applyFont="1" applyFill="1" applyBorder="1" applyAlignment="1">
      <alignment horizontal="center" vertical="center"/>
    </xf>
    <xf numFmtId="176" fontId="15" fillId="0" borderId="18" xfId="15" applyFont="1" applyFill="1" applyBorder="1" applyAlignment="1">
      <alignment horizontal="center" vertical="center"/>
    </xf>
    <xf numFmtId="176" fontId="31" fillId="8" borderId="22" xfId="15" applyFont="1" applyFill="1" applyBorder="1" applyAlignment="1">
      <alignment horizontal="right" vertical="center"/>
    </xf>
    <xf numFmtId="176" fontId="16" fillId="0" borderId="0" xfId="15" applyFont="1" applyFill="1" applyBorder="1" applyAlignment="1">
      <alignment horizontal="right" vertical="center"/>
    </xf>
    <xf numFmtId="182" fontId="16" fillId="8" borderId="23" xfId="15" applyNumberFormat="1" applyFont="1" applyFill="1" applyBorder="1" applyAlignment="1">
      <alignment horizontal="right" vertical="center"/>
    </xf>
    <xf numFmtId="182" fontId="16" fillId="8" borderId="20" xfId="15" applyNumberFormat="1" applyFont="1" applyFill="1" applyBorder="1" applyAlignment="1">
      <alignment horizontal="right" vertical="center"/>
    </xf>
    <xf numFmtId="182" fontId="16" fillId="8" borderId="6" xfId="15" applyNumberFormat="1" applyFont="1" applyFill="1" applyBorder="1" applyAlignment="1">
      <alignment horizontal="right" vertical="center"/>
    </xf>
    <xf numFmtId="176" fontId="40" fillId="0" borderId="6" xfId="15" applyFont="1" applyBorder="1" applyAlignment="1">
      <alignment horizontal="right" vertical="center"/>
    </xf>
    <xf numFmtId="176" fontId="40" fillId="4" borderId="6" xfId="0" applyNumberFormat="1" applyFont="1" applyFill="1" applyBorder="1" applyAlignment="1">
      <alignment horizontal="center" vertical="center"/>
    </xf>
    <xf numFmtId="176" fontId="9" fillId="0" borderId="0" xfId="15" applyFont="1" applyAlignment="1">
      <alignment horizontal="right" vertical="center"/>
    </xf>
    <xf numFmtId="176" fontId="18" fillId="6" borderId="18" xfId="15" applyFont="1" applyFill="1" applyBorder="1" applyAlignment="1">
      <alignment horizontal="center" vertical="center"/>
    </xf>
    <xf numFmtId="176" fontId="15" fillId="4" borderId="20" xfId="15" applyFont="1" applyFill="1" applyBorder="1" applyAlignment="1">
      <alignment horizontal="right" vertical="center"/>
    </xf>
    <xf numFmtId="176" fontId="15" fillId="0" borderId="18" xfId="15" applyFont="1" applyFill="1" applyBorder="1" applyAlignment="1">
      <alignment horizontal="right" vertical="center"/>
    </xf>
    <xf numFmtId="176" fontId="16" fillId="8" borderId="20" xfId="15" applyFont="1" applyFill="1" applyBorder="1" applyAlignment="1">
      <alignment horizontal="right" vertical="center"/>
    </xf>
    <xf numFmtId="176" fontId="18" fillId="8" borderId="6" xfId="15" applyFont="1" applyFill="1" applyBorder="1" applyAlignment="1">
      <alignment horizontal="right" vertical="center"/>
    </xf>
    <xf numFmtId="176" fontId="40" fillId="4" borderId="6" xfId="15" applyFont="1" applyFill="1" applyBorder="1" applyAlignment="1">
      <alignment horizontal="center" vertical="center"/>
    </xf>
    <xf numFmtId="176" fontId="16" fillId="8" borderId="23" xfId="15" applyFont="1" applyFill="1" applyBorder="1" applyAlignment="1">
      <alignment horizontal="right" vertical="center" shrinkToFit="1"/>
    </xf>
    <xf numFmtId="176" fontId="9" fillId="4" borderId="6" xfId="15" applyFont="1" applyFill="1" applyBorder="1" applyAlignment="1">
      <alignment horizontal="right" vertical="center"/>
    </xf>
    <xf numFmtId="176" fontId="9" fillId="4" borderId="18" xfId="15" applyFont="1" applyFill="1" applyBorder="1" applyAlignment="1">
      <alignment horizontal="right" vertical="center"/>
    </xf>
    <xf numFmtId="176" fontId="31" fillId="8" borderId="23" xfId="15" applyFont="1" applyFill="1" applyBorder="1" applyAlignment="1">
      <alignment horizontal="right" vertical="center" shrinkToFit="1"/>
    </xf>
    <xf numFmtId="176" fontId="18" fillId="0" borderId="0" xfId="15" applyFont="1" applyFill="1" applyBorder="1" applyAlignment="1">
      <alignment horizontal="right" vertical="center"/>
    </xf>
    <xf numFmtId="182" fontId="18" fillId="8" borderId="23" xfId="15" applyNumberFormat="1" applyFont="1" applyFill="1" applyBorder="1" applyAlignment="1">
      <alignment horizontal="right" vertical="center"/>
    </xf>
    <xf numFmtId="176" fontId="33" fillId="5" borderId="20" xfId="15" applyFont="1" applyFill="1" applyBorder="1" applyAlignment="1">
      <alignment horizontal="right" vertical="center"/>
    </xf>
    <xf numFmtId="176" fontId="33" fillId="5" borderId="18" xfId="15" applyFont="1" applyFill="1" applyBorder="1" applyAlignment="1">
      <alignment horizontal="right" vertical="center"/>
    </xf>
    <xf numFmtId="182" fontId="36" fillId="0" borderId="6" xfId="22" applyNumberFormat="1" applyFont="1" applyBorder="1">
      <alignment vertical="center"/>
    </xf>
    <xf numFmtId="182" fontId="40" fillId="5" borderId="6" xfId="15" applyNumberFormat="1" applyFont="1" applyFill="1" applyBorder="1" applyAlignment="1">
      <alignment horizontal="right" vertical="center"/>
    </xf>
    <xf numFmtId="182" fontId="40" fillId="5" borderId="6" xfId="15" applyNumberFormat="1" applyFont="1" applyFill="1" applyBorder="1" applyAlignment="1">
      <alignment horizontal="right" vertical="center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20" xfId="0" applyNumberFormat="1" applyFont="1" applyBorder="1" applyAlignment="1">
      <alignment horizontal="right" vertical="center"/>
    </xf>
    <xf numFmtId="176" fontId="15" fillId="0" borderId="18" xfId="0" applyNumberFormat="1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81" fontId="31" fillId="8" borderId="23" xfId="0" applyNumberFormat="1" applyFont="1" applyFill="1" applyBorder="1" applyAlignment="1">
      <alignment horizontal="right" vertical="center"/>
    </xf>
    <xf numFmtId="176" fontId="15" fillId="0" borderId="6" xfId="15" applyFont="1" applyFill="1" applyBorder="1" applyAlignment="1">
      <alignment horizontal="center" vertical="center"/>
    </xf>
    <xf numFmtId="176" fontId="15" fillId="0" borderId="6" xfId="15" applyFont="1" applyFill="1" applyBorder="1" applyAlignment="1">
      <alignment horizontal="right" vertical="center"/>
    </xf>
    <xf numFmtId="176" fontId="15" fillId="5" borderId="6" xfId="15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88" fontId="24" fillId="0" borderId="13" xfId="0" applyNumberFormat="1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88" fontId="24" fillId="0" borderId="25" xfId="0" applyNumberFormat="1" applyFont="1" applyBorder="1" applyAlignment="1">
      <alignment horizontal="center" vertical="center"/>
    </xf>
    <xf numFmtId="188" fontId="24" fillId="0" borderId="25" xfId="15" applyNumberFormat="1" applyFont="1" applyBorder="1" applyAlignment="1">
      <alignment horizontal="center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 shrinkToFit="1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 shrinkToFit="1"/>
    </xf>
    <xf numFmtId="41" fontId="24" fillId="9" borderId="6" xfId="23" applyFont="1" applyFill="1" applyBorder="1" applyAlignment="1">
      <alignment horizontal="right" vertical="center"/>
    </xf>
    <xf numFmtId="180" fontId="23" fillId="6" borderId="8" xfId="0" quotePrefix="1" applyNumberFormat="1" applyFont="1" applyFill="1" applyBorder="1" applyAlignment="1">
      <alignment horizontal="center" vertical="center"/>
    </xf>
    <xf numFmtId="176" fontId="24" fillId="0" borderId="13" xfId="15" applyFont="1" applyBorder="1" applyAlignment="1">
      <alignment horizontal="center" vertical="center"/>
    </xf>
    <xf numFmtId="180" fontId="23" fillId="6" borderId="31" xfId="0" quotePrefix="1" applyNumberFormat="1" applyFont="1" applyFill="1" applyBorder="1" applyAlignment="1">
      <alignment horizontal="center" vertical="center"/>
    </xf>
    <xf numFmtId="176" fontId="24" fillId="0" borderId="25" xfId="15" applyFont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183" fontId="24" fillId="9" borderId="28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176" fontId="24" fillId="9" borderId="6" xfId="15" applyFont="1" applyFill="1" applyBorder="1" applyAlignment="1">
      <alignment horizontal="right" vertical="center"/>
    </xf>
    <xf numFmtId="41" fontId="24" fillId="0" borderId="6" xfId="23" applyFont="1" applyFill="1" applyBorder="1" applyAlignment="1">
      <alignment horizontal="right" vertical="center"/>
    </xf>
    <xf numFmtId="41" fontId="24" fillId="9" borderId="6" xfId="23" applyFont="1" applyFill="1" applyBorder="1" applyAlignment="1">
      <alignment horizontal="right" vertical="center"/>
    </xf>
    <xf numFmtId="182" fontId="15" fillId="0" borderId="6" xfId="0" applyNumberFormat="1" applyFont="1" applyBorder="1" applyAlignment="1">
      <alignment horizontal="right" vertical="center"/>
    </xf>
    <xf numFmtId="41" fontId="24" fillId="9" borderId="28" xfId="40" applyFont="1" applyFill="1" applyBorder="1" applyAlignment="1">
      <alignment horizontal="center" vertical="center"/>
    </xf>
    <xf numFmtId="41" fontId="24" fillId="5" borderId="6" xfId="40" applyFont="1" applyFill="1" applyBorder="1" applyAlignment="1">
      <alignment horizontal="center" vertical="center"/>
    </xf>
    <xf numFmtId="41" fontId="24" fillId="9" borderId="6" xfId="40" applyFont="1" applyFill="1" applyBorder="1" applyAlignment="1">
      <alignment horizontal="center" vertical="center"/>
    </xf>
    <xf numFmtId="41" fontId="24" fillId="5" borderId="13" xfId="40" applyFont="1" applyFill="1" applyBorder="1" applyAlignment="1">
      <alignment horizontal="center" vertical="center"/>
    </xf>
    <xf numFmtId="183" fontId="24" fillId="0" borderId="6" xfId="23" applyNumberFormat="1" applyFont="1" applyFill="1" applyBorder="1" applyAlignment="1">
      <alignment horizontal="right" vertical="center" wrapText="1"/>
    </xf>
    <xf numFmtId="176" fontId="15" fillId="0" borderId="6" xfId="0" applyNumberFormat="1" applyFont="1" applyFill="1" applyBorder="1" applyAlignment="1">
      <alignment horizontal="center" vertical="center"/>
    </xf>
    <xf numFmtId="176" fontId="15" fillId="0" borderId="20" xfId="19" applyNumberFormat="1" applyFont="1" applyFill="1" applyBorder="1" applyAlignment="1">
      <alignment horizontal="center" vertical="center"/>
    </xf>
    <xf numFmtId="176" fontId="15" fillId="0" borderId="6" xfId="19" applyNumberFormat="1" applyFont="1" applyFill="1" applyBorder="1" applyAlignment="1">
      <alignment horizontal="center" vertical="center"/>
    </xf>
    <xf numFmtId="176" fontId="15" fillId="0" borderId="18" xfId="19" applyNumberFormat="1" applyFont="1" applyFill="1" applyBorder="1" applyAlignment="1">
      <alignment horizontal="center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3" fontId="24" fillId="9" borderId="28" xfId="0" applyNumberFormat="1" applyFont="1" applyFill="1" applyBorder="1" applyAlignment="1">
      <alignment horizontal="right" vertical="center"/>
    </xf>
    <xf numFmtId="3" fontId="24" fillId="5" borderId="6" xfId="0" applyNumberFormat="1" applyFont="1" applyFill="1" applyBorder="1" applyAlignment="1">
      <alignment horizontal="right" vertical="center"/>
    </xf>
    <xf numFmtId="183" fontId="24" fillId="5" borderId="6" xfId="0" applyNumberFormat="1" applyFont="1" applyFill="1" applyBorder="1" applyAlignment="1">
      <alignment horizontal="right" vertical="center"/>
    </xf>
    <xf numFmtId="183" fontId="34" fillId="9" borderId="6" xfId="0" applyNumberFormat="1" applyFont="1" applyFill="1" applyBorder="1" applyAlignment="1">
      <alignment horizontal="right" vertical="center"/>
    </xf>
    <xf numFmtId="183" fontId="24" fillId="9" borderId="6" xfId="23" applyNumberFormat="1" applyFont="1" applyFill="1" applyBorder="1" applyAlignment="1">
      <alignment horizontal="right" vertical="center"/>
    </xf>
    <xf numFmtId="183" fontId="24" fillId="0" borderId="6" xfId="23" applyNumberFormat="1" applyFont="1" applyFill="1" applyBorder="1" applyAlignment="1">
      <alignment horizontal="right" vertical="center"/>
    </xf>
    <xf numFmtId="183" fontId="24" fillId="9" borderId="6" xfId="0" applyNumberFormat="1" applyFont="1" applyFill="1" applyBorder="1" applyAlignment="1">
      <alignment horizontal="right" vertical="center"/>
    </xf>
    <xf numFmtId="183" fontId="24" fillId="0" borderId="13" xfId="23" applyNumberFormat="1" applyFont="1" applyFill="1" applyBorder="1" applyAlignment="1">
      <alignment horizontal="right" vertical="center"/>
    </xf>
    <xf numFmtId="183" fontId="24" fillId="5" borderId="13" xfId="0" applyNumberFormat="1" applyFont="1" applyFill="1" applyBorder="1" applyAlignment="1">
      <alignment horizontal="right" vertical="center"/>
    </xf>
    <xf numFmtId="41" fontId="24" fillId="9" borderId="6" xfId="23" applyFont="1" applyFill="1" applyBorder="1" applyAlignment="1">
      <alignment horizontal="right" vertical="center"/>
    </xf>
    <xf numFmtId="41" fontId="24" fillId="0" borderId="6" xfId="23" applyFont="1" applyFill="1" applyBorder="1" applyAlignment="1">
      <alignment horizontal="right" vertical="center"/>
    </xf>
    <xf numFmtId="0" fontId="35" fillId="7" borderId="4" xfId="65" applyFont="1" applyFill="1" applyBorder="1" applyAlignment="1">
      <alignment horizontal="center" vertical="center"/>
    </xf>
    <xf numFmtId="0" fontId="35" fillId="7" borderId="5" xfId="65" applyFont="1" applyFill="1" applyBorder="1" applyAlignment="1">
      <alignment horizontal="center" vertical="center"/>
    </xf>
    <xf numFmtId="0" fontId="35" fillId="7" borderId="3" xfId="65" applyFont="1" applyFill="1" applyBorder="1" applyAlignment="1">
      <alignment horizontal="center" vertical="center"/>
    </xf>
    <xf numFmtId="176" fontId="16" fillId="6" borderId="8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right"/>
    </xf>
    <xf numFmtId="176" fontId="15" fillId="0" borderId="6" xfId="0" applyNumberFormat="1" applyFont="1" applyFill="1" applyBorder="1" applyAlignment="1">
      <alignment horizontal="center" vertical="center"/>
    </xf>
    <xf numFmtId="176" fontId="16" fillId="6" borderId="12" xfId="0" applyNumberFormat="1" applyFont="1" applyFill="1" applyBorder="1" applyAlignment="1">
      <alignment horizontal="center" vertical="center"/>
    </xf>
    <xf numFmtId="176" fontId="16" fillId="6" borderId="13" xfId="0" applyNumberFormat="1" applyFont="1" applyFill="1" applyBorder="1" applyAlignment="1">
      <alignment horizontal="center" vertical="center"/>
    </xf>
    <xf numFmtId="176" fontId="16" fillId="6" borderId="25" xfId="0" applyNumberFormat="1" applyFont="1" applyFill="1" applyBorder="1" applyAlignment="1">
      <alignment horizontal="center" vertical="center"/>
    </xf>
    <xf numFmtId="9" fontId="16" fillId="4" borderId="18" xfId="0" applyNumberFormat="1" applyFont="1" applyFill="1" applyBorder="1" applyAlignment="1">
      <alignment horizontal="right"/>
    </xf>
    <xf numFmtId="9" fontId="16" fillId="4" borderId="18" xfId="0" quotePrefix="1" applyNumberFormat="1" applyFont="1" applyFill="1" applyBorder="1" applyAlignment="1">
      <alignment horizontal="right"/>
    </xf>
    <xf numFmtId="9" fontId="16" fillId="4" borderId="19" xfId="0" quotePrefix="1" applyNumberFormat="1" applyFont="1" applyFill="1" applyBorder="1" applyAlignment="1">
      <alignment horizontal="right"/>
    </xf>
    <xf numFmtId="176" fontId="16" fillId="6" borderId="17" xfId="0" applyNumberFormat="1" applyFont="1" applyFill="1" applyBorder="1" applyAlignment="1">
      <alignment horizontal="center" vertical="center"/>
    </xf>
    <xf numFmtId="176" fontId="16" fillId="6" borderId="10" xfId="0" applyNumberFormat="1" applyFont="1" applyFill="1" applyBorder="1" applyAlignment="1">
      <alignment horizontal="center" vertical="center"/>
    </xf>
    <xf numFmtId="176" fontId="16" fillId="6" borderId="17" xfId="0" applyNumberFormat="1" applyFont="1" applyFill="1" applyBorder="1" applyAlignment="1">
      <alignment horizontal="center" vertical="center" wrapText="1"/>
    </xf>
    <xf numFmtId="176" fontId="16" fillId="8" borderId="22" xfId="0" applyNumberFormat="1" applyFont="1" applyFill="1" applyBorder="1" applyAlignment="1">
      <alignment horizontal="center" vertical="center"/>
    </xf>
    <xf numFmtId="176" fontId="16" fillId="8" borderId="23" xfId="0" applyNumberFormat="1" applyFont="1" applyFill="1" applyBorder="1" applyAlignment="1">
      <alignment horizontal="center" vertical="center"/>
    </xf>
    <xf numFmtId="176" fontId="16" fillId="6" borderId="9" xfId="0" applyNumberFormat="1" applyFont="1" applyFill="1" applyBorder="1" applyAlignment="1">
      <alignment horizontal="center" vertical="center"/>
    </xf>
    <xf numFmtId="176" fontId="15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176" fontId="15" fillId="0" borderId="20" xfId="0" applyNumberFormat="1" applyFont="1" applyFill="1" applyBorder="1" applyAlignment="1">
      <alignment horizontal="center" vertical="center"/>
    </xf>
    <xf numFmtId="176" fontId="15" fillId="0" borderId="18" xfId="0" applyNumberFormat="1" applyFont="1" applyFill="1" applyBorder="1" applyAlignment="1">
      <alignment horizontal="center" vertical="center"/>
    </xf>
    <xf numFmtId="0" fontId="35" fillId="7" borderId="1" xfId="65" applyFont="1" applyFill="1" applyBorder="1" applyAlignment="1">
      <alignment horizontal="center" vertical="center"/>
    </xf>
    <xf numFmtId="0" fontId="19" fillId="0" borderId="0" xfId="16" applyFont="1" applyAlignment="1">
      <alignment horizontal="left" vertical="center"/>
    </xf>
    <xf numFmtId="0" fontId="17" fillId="0" borderId="0" xfId="16" applyFont="1" applyAlignment="1">
      <alignment horizontal="left" vertical="center"/>
    </xf>
    <xf numFmtId="180" fontId="18" fillId="0" borderId="0" xfId="0" applyNumberFormat="1" applyFont="1" applyBorder="1" applyAlignment="1">
      <alignment horizontal="right"/>
    </xf>
    <xf numFmtId="176" fontId="16" fillId="6" borderId="7" xfId="17" applyNumberFormat="1" applyFont="1" applyFill="1" applyBorder="1" applyAlignment="1">
      <alignment horizontal="center" vertical="center"/>
    </xf>
    <xf numFmtId="176" fontId="16" fillId="6" borderId="26" xfId="17" applyNumberFormat="1" applyFont="1" applyFill="1" applyBorder="1" applyAlignment="1">
      <alignment horizontal="center" vertical="center"/>
    </xf>
    <xf numFmtId="0" fontId="23" fillId="8" borderId="27" xfId="17" applyFont="1" applyFill="1" applyBorder="1" applyAlignment="1">
      <alignment horizontal="center" vertical="center"/>
    </xf>
    <xf numFmtId="0" fontId="23" fillId="8" borderId="30" xfId="17" applyFont="1" applyFill="1" applyBorder="1" applyAlignment="1">
      <alignment horizontal="center" vertical="center"/>
    </xf>
    <xf numFmtId="0" fontId="24" fillId="6" borderId="34" xfId="17" applyFont="1" applyFill="1" applyBorder="1" applyAlignment="1">
      <alignment horizontal="center" vertical="center"/>
    </xf>
    <xf numFmtId="0" fontId="24" fillId="6" borderId="10" xfId="17" applyFont="1" applyFill="1" applyBorder="1" applyAlignment="1">
      <alignment horizontal="center" vertical="center"/>
    </xf>
    <xf numFmtId="176" fontId="16" fillId="6" borderId="8" xfId="17" applyNumberFormat="1" applyFont="1" applyFill="1" applyBorder="1" applyAlignment="1">
      <alignment horizontal="center" vertical="center"/>
    </xf>
    <xf numFmtId="176" fontId="16" fillId="6" borderId="9" xfId="17" applyNumberFormat="1" applyFont="1" applyFill="1" applyBorder="1" applyAlignment="1">
      <alignment horizontal="center" vertical="center"/>
    </xf>
    <xf numFmtId="0" fontId="26" fillId="6" borderId="8" xfId="17" applyFont="1" applyFill="1" applyBorder="1" applyAlignment="1">
      <alignment horizontal="center" vertical="center"/>
    </xf>
    <xf numFmtId="0" fontId="26" fillId="6" borderId="18" xfId="17" applyFont="1" applyFill="1" applyBorder="1" applyAlignment="1">
      <alignment horizontal="center" vertical="center"/>
    </xf>
    <xf numFmtId="183" fontId="16" fillId="6" borderId="8" xfId="17" applyNumberFormat="1" applyFont="1" applyFill="1" applyBorder="1" applyAlignment="1">
      <alignment horizontal="center" vertical="center"/>
    </xf>
    <xf numFmtId="0" fontId="24" fillId="6" borderId="12" xfId="17" applyFont="1" applyFill="1" applyBorder="1" applyAlignment="1">
      <alignment horizontal="center" vertical="center"/>
    </xf>
  </cellXfs>
  <cellStyles count="169">
    <cellStyle name="20% - 강조색6" xfId="103" builtinId="50"/>
    <cellStyle name="20% - 강조색6 2" xfId="168"/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5 2 2" xfId="167"/>
    <cellStyle name="쉼표 [0] 5 3" xfId="135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10 2" xfId="136"/>
    <cellStyle name="표준 3 11" xfId="104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2 2 2" xfId="166"/>
    <cellStyle name="표준 3 2 2 2 2 3" xfId="134"/>
    <cellStyle name="표준 3 2 2 2 3" xfId="86"/>
    <cellStyle name="표준 3 2 2 2 3 2" xfId="151"/>
    <cellStyle name="표준 3 2 2 2 4" xfId="119"/>
    <cellStyle name="표준 3 2 2 3" xfId="47"/>
    <cellStyle name="표준 3 2 2 3 2" xfId="93"/>
    <cellStyle name="표준 3 2 2 3 2 2" xfId="158"/>
    <cellStyle name="표준 3 2 2 3 3" xfId="126"/>
    <cellStyle name="표준 3 2 2 4" xfId="78"/>
    <cellStyle name="표준 3 2 2 4 2" xfId="143"/>
    <cellStyle name="표준 3 2 2 5" xfId="111"/>
    <cellStyle name="표준 3 2 3" xfId="27"/>
    <cellStyle name="표준 3 2 3 2" xfId="37"/>
    <cellStyle name="표준 3 2 3 2 2" xfId="53"/>
    <cellStyle name="표준 3 2 3 2 2 2" xfId="99"/>
    <cellStyle name="표준 3 2 3 2 2 2 2" xfId="164"/>
    <cellStyle name="표준 3 2 3 2 2 3" xfId="132"/>
    <cellStyle name="표준 3 2 3 2 3" xfId="84"/>
    <cellStyle name="표준 3 2 3 2 3 2" xfId="149"/>
    <cellStyle name="표준 3 2 3 2 4" xfId="117"/>
    <cellStyle name="표준 3 2 3 3" xfId="45"/>
    <cellStyle name="표준 3 2 3 3 2" xfId="91"/>
    <cellStyle name="표준 3 2 3 3 2 2" xfId="156"/>
    <cellStyle name="표준 3 2 3 3 3" xfId="124"/>
    <cellStyle name="표준 3 2 3 4" xfId="76"/>
    <cellStyle name="표준 3 2 3 4 2" xfId="141"/>
    <cellStyle name="표준 3 2 3 5" xfId="109"/>
    <cellStyle name="표준 3 2 4" xfId="35"/>
    <cellStyle name="표준 3 2 4 2" xfId="51"/>
    <cellStyle name="표준 3 2 4 2 2" xfId="97"/>
    <cellStyle name="표준 3 2 4 2 2 2" xfId="162"/>
    <cellStyle name="표준 3 2 4 2 3" xfId="130"/>
    <cellStyle name="표준 3 2 4 3" xfId="82"/>
    <cellStyle name="표준 3 2 4 3 2" xfId="147"/>
    <cellStyle name="표준 3 2 4 4" xfId="115"/>
    <cellStyle name="표준 3 2 5" xfId="43"/>
    <cellStyle name="표준 3 2 5 2" xfId="89"/>
    <cellStyle name="표준 3 2 5 2 2" xfId="154"/>
    <cellStyle name="표준 3 2 5 3" xfId="122"/>
    <cellStyle name="표준 3 2 6" xfId="25"/>
    <cellStyle name="표준 3 2 6 2" xfId="74"/>
    <cellStyle name="표준 3 2 6 2 2" xfId="139"/>
    <cellStyle name="표준 3 2 6 3" xfId="107"/>
    <cellStyle name="표준 3 2 7" xfId="72"/>
    <cellStyle name="표준 3 2 7 2" xfId="137"/>
    <cellStyle name="표준 3 2 8" xfId="105"/>
    <cellStyle name="표준 3 3" xfId="28"/>
    <cellStyle name="표준 3 3 2" xfId="38"/>
    <cellStyle name="표준 3 3 2 2" xfId="54"/>
    <cellStyle name="표준 3 3 2 2 2" xfId="100"/>
    <cellStyle name="표준 3 3 2 2 2 2" xfId="165"/>
    <cellStyle name="표준 3 3 2 2 3" xfId="133"/>
    <cellStyle name="표준 3 3 2 3" xfId="85"/>
    <cellStyle name="표준 3 3 2 3 2" xfId="150"/>
    <cellStyle name="표준 3 3 2 4" xfId="118"/>
    <cellStyle name="표준 3 3 3" xfId="46"/>
    <cellStyle name="표준 3 3 3 2" xfId="92"/>
    <cellStyle name="표준 3 3 3 2 2" xfId="157"/>
    <cellStyle name="표준 3 3 3 3" xfId="125"/>
    <cellStyle name="표준 3 3 4" xfId="77"/>
    <cellStyle name="표준 3 3 4 2" xfId="142"/>
    <cellStyle name="표준 3 3 5" xfId="110"/>
    <cellStyle name="표준 3 4" xfId="26"/>
    <cellStyle name="표준 3 4 2" xfId="36"/>
    <cellStyle name="표준 3 4 2 2" xfId="52"/>
    <cellStyle name="표준 3 4 2 2 2" xfId="98"/>
    <cellStyle name="표준 3 4 2 2 2 2" xfId="163"/>
    <cellStyle name="표준 3 4 2 2 3" xfId="131"/>
    <cellStyle name="표준 3 4 2 3" xfId="83"/>
    <cellStyle name="표준 3 4 2 3 2" xfId="148"/>
    <cellStyle name="표준 3 4 2 4" xfId="116"/>
    <cellStyle name="표준 3 4 3" xfId="44"/>
    <cellStyle name="표준 3 4 3 2" xfId="90"/>
    <cellStyle name="표준 3 4 3 2 2" xfId="155"/>
    <cellStyle name="표준 3 4 3 3" xfId="123"/>
    <cellStyle name="표준 3 4 4" xfId="75"/>
    <cellStyle name="표준 3 4 4 2" xfId="140"/>
    <cellStyle name="표준 3 4 5" xfId="108"/>
    <cellStyle name="표준 3 5" xfId="30"/>
    <cellStyle name="표준 3 5 2" xfId="48"/>
    <cellStyle name="표준 3 5 2 2" xfId="94"/>
    <cellStyle name="표준 3 5 2 2 2" xfId="159"/>
    <cellStyle name="표준 3 5 2 3" xfId="127"/>
    <cellStyle name="표준 3 5 3" xfId="79"/>
    <cellStyle name="표준 3 5 3 2" xfId="144"/>
    <cellStyle name="표준 3 5 4" xfId="112"/>
    <cellStyle name="표준 3 6" xfId="34"/>
    <cellStyle name="표준 3 6 2" xfId="50"/>
    <cellStyle name="표준 3 6 2 2" xfId="96"/>
    <cellStyle name="표준 3 6 2 2 2" xfId="161"/>
    <cellStyle name="표준 3 6 2 3" xfId="129"/>
    <cellStyle name="표준 3 6 3" xfId="81"/>
    <cellStyle name="표준 3 6 3 2" xfId="146"/>
    <cellStyle name="표준 3 6 4" xfId="114"/>
    <cellStyle name="표준 3 7" xfId="42"/>
    <cellStyle name="표준 3 7 2" xfId="88"/>
    <cellStyle name="표준 3 7 2 2" xfId="153"/>
    <cellStyle name="표준 3 7 3" xfId="121"/>
    <cellStyle name="표준 3 8" xfId="24"/>
    <cellStyle name="표준 3 8 2" xfId="73"/>
    <cellStyle name="표준 3 8 2 2" xfId="138"/>
    <cellStyle name="표준 3 8 3" xfId="106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2 2 2" xfId="160"/>
    <cellStyle name="표준 6 2 3" xfId="128"/>
    <cellStyle name="표준 6 3" xfId="68"/>
    <cellStyle name="표준 6 4" xfId="80"/>
    <cellStyle name="표준 6 4 2" xfId="145"/>
    <cellStyle name="표준 6 5" xfId="113"/>
    <cellStyle name="표준 7" xfId="41"/>
    <cellStyle name="표준 7 2" xfId="69"/>
    <cellStyle name="표준 7 3" xfId="87"/>
    <cellStyle name="표준 7 3 2" xfId="152"/>
    <cellStyle name="표준 7 4" xfId="120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2025.10.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93662814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023616"/>
        <c:axId val="168594816"/>
      </c:lineChart>
      <c:catAx>
        <c:axId val="155023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685948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85948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5502361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2025.10.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777941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90912"/>
        <c:axId val="48392832"/>
      </c:lineChart>
      <c:catAx>
        <c:axId val="4839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83928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39283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83909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2025.10.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50272"/>
        <c:axId val="48552192"/>
      </c:lineChart>
      <c:catAx>
        <c:axId val="48550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8552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85521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85502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2025.10.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15111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76768"/>
        <c:axId val="49303936"/>
      </c:lineChart>
      <c:catAx>
        <c:axId val="4857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93039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93039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857676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1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opLeftCell="A4" zoomScaleNormal="100" zoomScaleSheetLayoutView="110" workbookViewId="0">
      <selection activeCell="I26" sqref="I26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84" customWidth="1"/>
    <col min="6" max="6" width="12.625" bestFit="1" customWidth="1"/>
    <col min="7" max="7" width="13.875" customWidth="1"/>
    <col min="8" max="8" width="18" customWidth="1"/>
    <col min="9" max="9" width="16.125" customWidth="1"/>
    <col min="10" max="10" width="12.625" style="2" bestFit="1" customWidth="1"/>
    <col min="11" max="11" width="8.625" style="1" customWidth="1"/>
    <col min="12" max="12" width="13.75" style="202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76"/>
      <c r="F2" s="34"/>
      <c r="G2" s="34"/>
      <c r="H2" s="34"/>
      <c r="I2" s="34"/>
      <c r="J2" s="34"/>
      <c r="K2" s="34"/>
      <c r="L2" s="176"/>
      <c r="M2" s="34"/>
      <c r="N2" s="34"/>
      <c r="O2" s="34"/>
      <c r="P2" s="34"/>
    </row>
    <row r="3" spans="2:16" ht="42.95" customHeight="1">
      <c r="B3" s="285" t="s">
        <v>107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7"/>
      <c r="N3" s="34"/>
      <c r="O3" s="34"/>
      <c r="P3" s="34"/>
    </row>
    <row r="4" spans="2:16" ht="21" customHeight="1">
      <c r="B4" s="95"/>
      <c r="C4" s="96"/>
      <c r="D4" s="96"/>
      <c r="E4" s="185"/>
      <c r="F4" s="96"/>
      <c r="G4" s="96"/>
      <c r="H4" s="96"/>
      <c r="I4" s="96"/>
      <c r="J4" s="96"/>
      <c r="K4" s="96"/>
      <c r="L4" s="185"/>
      <c r="M4" s="96"/>
    </row>
    <row r="5" spans="2:16" ht="21" customHeight="1">
      <c r="B5" s="32"/>
      <c r="C5" s="33"/>
      <c r="D5" s="33"/>
      <c r="E5" s="186"/>
      <c r="F5" s="33"/>
      <c r="G5" s="33"/>
      <c r="H5" s="33"/>
      <c r="I5" s="33"/>
      <c r="J5" s="33"/>
      <c r="K5" s="289" t="s">
        <v>85</v>
      </c>
      <c r="L5" s="289"/>
      <c r="M5" s="289"/>
    </row>
    <row r="6" spans="2:16" ht="21" customHeight="1">
      <c r="B6" s="303" t="s">
        <v>7</v>
      </c>
      <c r="C6" s="304"/>
      <c r="D6" s="304"/>
      <c r="E6" s="187"/>
      <c r="F6" s="288" t="s">
        <v>101</v>
      </c>
      <c r="G6" s="288"/>
      <c r="H6" s="288" t="s">
        <v>109</v>
      </c>
      <c r="I6" s="288"/>
      <c r="J6" s="288" t="s">
        <v>15</v>
      </c>
      <c r="K6" s="288"/>
      <c r="L6" s="288"/>
      <c r="M6" s="302"/>
    </row>
    <row r="7" spans="2:16" ht="21" customHeight="1" thickBot="1">
      <c r="B7" s="305"/>
      <c r="C7" s="306"/>
      <c r="D7" s="306"/>
      <c r="E7" s="178" t="s">
        <v>11</v>
      </c>
      <c r="F7" s="64" t="s">
        <v>103</v>
      </c>
      <c r="G7" s="63" t="s">
        <v>104</v>
      </c>
      <c r="H7" s="63" t="s">
        <v>105</v>
      </c>
      <c r="I7" s="63" t="s">
        <v>106</v>
      </c>
      <c r="J7" s="63" t="s">
        <v>37</v>
      </c>
      <c r="K7" s="65" t="s">
        <v>16</v>
      </c>
      <c r="L7" s="203" t="s">
        <v>18</v>
      </c>
      <c r="M7" s="66" t="s">
        <v>16</v>
      </c>
    </row>
    <row r="8" spans="2:16" ht="20.100000000000001" customHeight="1" thickBot="1">
      <c r="B8" s="297" t="s">
        <v>19</v>
      </c>
      <c r="C8" s="300" t="s">
        <v>12</v>
      </c>
      <c r="D8" s="301"/>
      <c r="E8" s="188">
        <f>SUM(E9:E10)</f>
        <v>17502</v>
      </c>
      <c r="F8" s="71">
        <f>SUM(F9:F10)</f>
        <v>1507</v>
      </c>
      <c r="G8" s="71">
        <f>SUM(G9:G10)</f>
        <v>14432</v>
      </c>
      <c r="H8" s="71">
        <f>SUM(H9:H10)</f>
        <v>1519</v>
      </c>
      <c r="I8" s="71">
        <f>SUM(I9:I10)</f>
        <v>15111</v>
      </c>
      <c r="J8" s="71">
        <f>H8-F8</f>
        <v>12</v>
      </c>
      <c r="K8" s="72">
        <f>H8/F8</f>
        <v>1.0079628400796283</v>
      </c>
      <c r="L8" s="188">
        <f>I8-G8</f>
        <v>679</v>
      </c>
      <c r="M8" s="73">
        <f>I8/G8</f>
        <v>1.0470482261640799</v>
      </c>
    </row>
    <row r="9" spans="2:16" ht="20.100000000000001" customHeight="1">
      <c r="B9" s="298"/>
      <c r="C9" s="307" t="s">
        <v>9</v>
      </c>
      <c r="D9" s="307"/>
      <c r="E9" s="215">
        <v>10370</v>
      </c>
      <c r="F9" s="221">
        <v>871</v>
      </c>
      <c r="G9" s="221">
        <v>8644</v>
      </c>
      <c r="H9" s="67">
        <f>372+375</f>
        <v>747</v>
      </c>
      <c r="I9" s="67">
        <f>4191+4206</f>
        <v>8397</v>
      </c>
      <c r="J9" s="68">
        <f t="shared" ref="J9:J28" si="0">H9-F9</f>
        <v>-124</v>
      </c>
      <c r="K9" s="69">
        <f t="shared" ref="K9:K29" si="1">H9/F9</f>
        <v>0.8576349024110218</v>
      </c>
      <c r="L9" s="204">
        <f t="shared" ref="L9:L29" si="2">I9-G9</f>
        <v>-247</v>
      </c>
      <c r="M9" s="70">
        <f t="shared" ref="M9:M25" si="3">I9/G9</f>
        <v>0.97142526608051827</v>
      </c>
    </row>
    <row r="10" spans="2:16" ht="20.100000000000001" customHeight="1" thickBot="1">
      <c r="B10" s="298"/>
      <c r="C10" s="308" t="s">
        <v>10</v>
      </c>
      <c r="D10" s="308"/>
      <c r="E10" s="216">
        <v>7132</v>
      </c>
      <c r="F10" s="222">
        <v>636</v>
      </c>
      <c r="G10" s="222">
        <v>5788</v>
      </c>
      <c r="H10" s="74">
        <f>388+384</f>
        <v>772</v>
      </c>
      <c r="I10" s="74">
        <f>3360+3354</f>
        <v>6714</v>
      </c>
      <c r="J10" s="74">
        <f t="shared" si="0"/>
        <v>136</v>
      </c>
      <c r="K10" s="75">
        <f t="shared" si="1"/>
        <v>1.2138364779874213</v>
      </c>
      <c r="L10" s="205">
        <f t="shared" si="2"/>
        <v>926</v>
      </c>
      <c r="M10" s="76">
        <f t="shared" si="3"/>
        <v>1.1599861782999308</v>
      </c>
      <c r="O10" t="s">
        <v>100</v>
      </c>
    </row>
    <row r="11" spans="2:16" ht="20.100000000000001" customHeight="1" thickBot="1">
      <c r="B11" s="297" t="s">
        <v>20</v>
      </c>
      <c r="C11" s="300" t="s">
        <v>8</v>
      </c>
      <c r="D11" s="301"/>
      <c r="E11" s="197">
        <f>E12+E16</f>
        <v>116714212</v>
      </c>
      <c r="F11" s="197">
        <f>F12+F16</f>
        <v>10137228</v>
      </c>
      <c r="G11" s="197">
        <f>G12+G16</f>
        <v>96389567</v>
      </c>
      <c r="H11" s="197">
        <f>H12+H16</f>
        <v>8510189</v>
      </c>
      <c r="I11" s="197">
        <f>I12+I16</f>
        <v>93662814</v>
      </c>
      <c r="J11" s="197">
        <f t="shared" si="0"/>
        <v>-1627039</v>
      </c>
      <c r="K11" s="72">
        <f t="shared" si="1"/>
        <v>0.83949862822459942</v>
      </c>
      <c r="L11" s="214">
        <f>I11-G11</f>
        <v>-2726753</v>
      </c>
      <c r="M11" s="73">
        <f t="shared" si="3"/>
        <v>0.97171111890148854</v>
      </c>
    </row>
    <row r="12" spans="2:16" ht="20.100000000000001" customHeight="1">
      <c r="B12" s="298"/>
      <c r="C12" s="307" t="s">
        <v>1</v>
      </c>
      <c r="D12" s="77" t="s">
        <v>0</v>
      </c>
      <c r="E12" s="198">
        <f>SUM(E13:E15)</f>
        <v>106101439</v>
      </c>
      <c r="F12" s="78">
        <f>SUM(F13:F15)</f>
        <v>9333621</v>
      </c>
      <c r="G12" s="78">
        <f>SUM(G13:G15)</f>
        <v>87461584</v>
      </c>
      <c r="H12" s="78">
        <f>SUM(H13:H15)</f>
        <v>7741682</v>
      </c>
      <c r="I12" s="78">
        <f>SUM(I13:I15)</f>
        <v>85383932</v>
      </c>
      <c r="J12" s="79">
        <f t="shared" ref="J12:J18" si="4">H12-F12</f>
        <v>-1591939</v>
      </c>
      <c r="K12" s="80">
        <f t="shared" si="1"/>
        <v>0.82944036403449417</v>
      </c>
      <c r="L12" s="206">
        <f>I12-G12</f>
        <v>-2077652</v>
      </c>
      <c r="M12" s="81">
        <f t="shared" si="3"/>
        <v>0.97624497630868423</v>
      </c>
    </row>
    <row r="13" spans="2:16" ht="20.100000000000001" customHeight="1">
      <c r="B13" s="298"/>
      <c r="C13" s="290"/>
      <c r="D13" s="54" t="s">
        <v>5</v>
      </c>
      <c r="E13" s="217">
        <v>86063790</v>
      </c>
      <c r="F13" s="223">
        <v>7654576</v>
      </c>
      <c r="G13" s="223">
        <v>70967264</v>
      </c>
      <c r="H13" s="262">
        <v>6156260</v>
      </c>
      <c r="I13" s="137">
        <f>6772389+54891836+H13</f>
        <v>67820485</v>
      </c>
      <c r="J13" s="51">
        <f t="shared" si="4"/>
        <v>-1498316</v>
      </c>
      <c r="K13" s="49">
        <f t="shared" si="1"/>
        <v>0.80425878585567645</v>
      </c>
      <c r="L13" s="192">
        <f>I13-G13</f>
        <v>-3146779</v>
      </c>
      <c r="M13" s="56">
        <f t="shared" si="3"/>
        <v>0.95565872456348322</v>
      </c>
      <c r="O13" s="24"/>
    </row>
    <row r="14" spans="2:16" ht="20.100000000000001" customHeight="1">
      <c r="B14" s="298"/>
      <c r="C14" s="290"/>
      <c r="D14" s="54" t="s">
        <v>6</v>
      </c>
      <c r="E14" s="217">
        <v>17423605</v>
      </c>
      <c r="F14" s="223">
        <v>1577727</v>
      </c>
      <c r="G14" s="223">
        <v>14395070</v>
      </c>
      <c r="H14" s="262">
        <v>1366316</v>
      </c>
      <c r="I14" s="137">
        <f>12558648+1562188+H14</f>
        <v>15487152</v>
      </c>
      <c r="J14" s="51">
        <f t="shared" si="4"/>
        <v>-211411</v>
      </c>
      <c r="K14" s="49">
        <f t="shared" si="1"/>
        <v>0.86600280023096521</v>
      </c>
      <c r="L14" s="192">
        <f t="shared" si="2"/>
        <v>1092082</v>
      </c>
      <c r="M14" s="56">
        <f t="shared" si="3"/>
        <v>1.075865001003816</v>
      </c>
    </row>
    <row r="15" spans="2:16" ht="20.100000000000001" customHeight="1">
      <c r="B15" s="298"/>
      <c r="C15" s="290"/>
      <c r="D15" s="54" t="s">
        <v>13</v>
      </c>
      <c r="E15" s="218">
        <v>2614044</v>
      </c>
      <c r="F15" s="223">
        <v>101318</v>
      </c>
      <c r="G15" s="223">
        <v>2099250</v>
      </c>
      <c r="H15" s="137">
        <f>126153
+92953</f>
        <v>219106</v>
      </c>
      <c r="I15" s="137">
        <f>H15+1635989+118878+102322</f>
        <v>2076295</v>
      </c>
      <c r="J15" s="51">
        <f t="shared" si="4"/>
        <v>117788</v>
      </c>
      <c r="K15" s="49">
        <f>H15/F15</f>
        <v>2.1625574922521169</v>
      </c>
      <c r="L15" s="192">
        <f t="shared" si="2"/>
        <v>-22955</v>
      </c>
      <c r="M15" s="56">
        <f t="shared" si="3"/>
        <v>0.98906514231273068</v>
      </c>
      <c r="O15" s="24"/>
    </row>
    <row r="16" spans="2:16" ht="20.100000000000001" customHeight="1">
      <c r="B16" s="298"/>
      <c r="C16" s="290" t="s">
        <v>2</v>
      </c>
      <c r="D16" s="53" t="s">
        <v>0</v>
      </c>
      <c r="E16" s="199">
        <f>SUM(E17:E19)</f>
        <v>10612773</v>
      </c>
      <c r="F16" s="52">
        <f>SUM(F17:F19)</f>
        <v>803607</v>
      </c>
      <c r="G16" s="52">
        <f>SUM(G17:G19)</f>
        <v>8927983</v>
      </c>
      <c r="H16" s="52">
        <f>SUM(H17:H19)</f>
        <v>768507</v>
      </c>
      <c r="I16" s="52">
        <f>SUM(I17:I19)</f>
        <v>8278882</v>
      </c>
      <c r="J16" s="47">
        <f t="shared" si="4"/>
        <v>-35100</v>
      </c>
      <c r="K16" s="48">
        <f t="shared" si="1"/>
        <v>0.95632193348241112</v>
      </c>
      <c r="L16" s="207">
        <f t="shared" si="2"/>
        <v>-649101</v>
      </c>
      <c r="M16" s="57">
        <f t="shared" si="3"/>
        <v>0.92729589650876354</v>
      </c>
      <c r="O16" s="24"/>
    </row>
    <row r="17" spans="2:15" ht="20.100000000000001" customHeight="1">
      <c r="B17" s="298"/>
      <c r="C17" s="290"/>
      <c r="D17" s="54" t="s">
        <v>3</v>
      </c>
      <c r="E17" s="219">
        <v>7573836</v>
      </c>
      <c r="F17" s="223">
        <v>592182</v>
      </c>
      <c r="G17" s="223">
        <v>6262951</v>
      </c>
      <c r="H17" s="262">
        <v>555745</v>
      </c>
      <c r="I17" s="137">
        <f>4801426+504335+H17</f>
        <v>5861506</v>
      </c>
      <c r="J17" s="51">
        <f t="shared" si="4"/>
        <v>-36437</v>
      </c>
      <c r="K17" s="49">
        <f t="shared" si="1"/>
        <v>0.93846992985264666</v>
      </c>
      <c r="L17" s="192">
        <f t="shared" si="2"/>
        <v>-401445</v>
      </c>
      <c r="M17" s="56">
        <f t="shared" si="3"/>
        <v>0.93590162209476013</v>
      </c>
      <c r="O17" s="24"/>
    </row>
    <row r="18" spans="2:15" ht="20.100000000000001" customHeight="1">
      <c r="B18" s="298"/>
      <c r="C18" s="290"/>
      <c r="D18" s="54" t="s">
        <v>4</v>
      </c>
      <c r="E18" s="219">
        <v>3038937</v>
      </c>
      <c r="F18" s="223">
        <v>211425</v>
      </c>
      <c r="G18" s="223">
        <v>2665032</v>
      </c>
      <c r="H18" s="262">
        <v>212762</v>
      </c>
      <c r="I18" s="137">
        <f>1938333+266281+H18</f>
        <v>2417376</v>
      </c>
      <c r="J18" s="51">
        <f t="shared" si="4"/>
        <v>1337</v>
      </c>
      <c r="K18" s="49">
        <f t="shared" si="1"/>
        <v>1.0063237554688425</v>
      </c>
      <c r="L18" s="192">
        <f t="shared" si="2"/>
        <v>-247656</v>
      </c>
      <c r="M18" s="56">
        <f t="shared" si="3"/>
        <v>0.90707203515755153</v>
      </c>
    </row>
    <row r="19" spans="2:15" ht="20.100000000000001" customHeight="1">
      <c r="B19" s="298"/>
      <c r="C19" s="290"/>
      <c r="D19" s="54" t="s">
        <v>17</v>
      </c>
      <c r="E19" s="200">
        <v>0</v>
      </c>
      <c r="F19" s="200">
        <v>0</v>
      </c>
      <c r="G19" s="200">
        <v>0</v>
      </c>
      <c r="H19" s="200">
        <v>0</v>
      </c>
      <c r="I19" s="200">
        <v>0</v>
      </c>
      <c r="J19" s="200">
        <v>0</v>
      </c>
      <c r="K19" s="201">
        <v>0</v>
      </c>
      <c r="L19" s="208">
        <v>0</v>
      </c>
      <c r="M19" s="56" t="s">
        <v>75</v>
      </c>
    </row>
    <row r="20" spans="2:15" ht="20.100000000000001" customHeight="1" thickBot="1">
      <c r="B20" s="61"/>
      <c r="C20" s="82"/>
      <c r="D20" s="142"/>
      <c r="E20" s="189"/>
      <c r="F20" s="84"/>
      <c r="G20" s="84"/>
      <c r="H20" s="84"/>
      <c r="I20" s="83"/>
      <c r="J20" s="85"/>
      <c r="K20" s="294" t="s">
        <v>21</v>
      </c>
      <c r="L20" s="295"/>
      <c r="M20" s="296"/>
    </row>
    <row r="21" spans="2:15" ht="20.100000000000001" customHeight="1" thickBot="1">
      <c r="B21" s="299" t="s">
        <v>86</v>
      </c>
      <c r="C21" s="300" t="s">
        <v>8</v>
      </c>
      <c r="D21" s="301"/>
      <c r="E21" s="190">
        <f>SUM(E22,E26)</f>
        <v>924735.5</v>
      </c>
      <c r="F21" s="88">
        <f>SUM(F22,F26)</f>
        <v>83786</v>
      </c>
      <c r="G21" s="88">
        <f>SUM(G22,G26)</f>
        <v>749250</v>
      </c>
      <c r="H21" s="87">
        <f>SUM(H22,H26)</f>
        <v>76230</v>
      </c>
      <c r="I21" s="87">
        <f>SUM(I22,I26)</f>
        <v>777941</v>
      </c>
      <c r="J21" s="89">
        <f t="shared" si="0"/>
        <v>-7556</v>
      </c>
      <c r="K21" s="90">
        <f t="shared" si="1"/>
        <v>0.90981786933377895</v>
      </c>
      <c r="L21" s="209">
        <f t="shared" si="2"/>
        <v>28691</v>
      </c>
      <c r="M21" s="73">
        <f>I21/G21</f>
        <v>1.0382929596262929</v>
      </c>
    </row>
    <row r="22" spans="2:15" ht="20.100000000000001" customHeight="1">
      <c r="B22" s="298"/>
      <c r="C22" s="307" t="s">
        <v>1</v>
      </c>
      <c r="D22" s="77" t="s">
        <v>0</v>
      </c>
      <c r="E22" s="191">
        <f>SUM(E23:E25)</f>
        <v>924735.5</v>
      </c>
      <c r="F22" s="77">
        <f>SUM(F23:F25)</f>
        <v>83786</v>
      </c>
      <c r="G22" s="77">
        <f>SUM(G23:G25)</f>
        <v>749250</v>
      </c>
      <c r="H22" s="77">
        <f>SUM(H23:H25)</f>
        <v>76230</v>
      </c>
      <c r="I22" s="77">
        <f>SUM(I23:I25)</f>
        <v>777941</v>
      </c>
      <c r="J22" s="79">
        <f t="shared" si="0"/>
        <v>-7556</v>
      </c>
      <c r="K22" s="86">
        <f t="shared" si="1"/>
        <v>0.90981786933377895</v>
      </c>
      <c r="L22" s="206">
        <f t="shared" si="2"/>
        <v>28691</v>
      </c>
      <c r="M22" s="81">
        <f t="shared" si="3"/>
        <v>1.0382929596262929</v>
      </c>
    </row>
    <row r="23" spans="2:15" ht="20.100000000000001" customHeight="1">
      <c r="B23" s="298"/>
      <c r="C23" s="290"/>
      <c r="D23" s="59" t="s">
        <v>5</v>
      </c>
      <c r="E23" s="229">
        <v>453945.75</v>
      </c>
      <c r="F23" s="224">
        <v>41058</v>
      </c>
      <c r="G23" s="220">
        <v>371738</v>
      </c>
      <c r="H23" s="269">
        <v>37406</v>
      </c>
      <c r="I23" s="268">
        <f>345760+H23</f>
        <v>383166</v>
      </c>
      <c r="J23" s="51">
        <f>H23-F23</f>
        <v>-3652</v>
      </c>
      <c r="K23" s="50">
        <f>H23/F23</f>
        <v>0.91105265721662043</v>
      </c>
      <c r="L23" s="192">
        <f>I23-G23</f>
        <v>11428</v>
      </c>
      <c r="M23" s="56">
        <f>I23/G23</f>
        <v>1.0307420817887867</v>
      </c>
    </row>
    <row r="24" spans="2:15" ht="20.100000000000001" customHeight="1">
      <c r="B24" s="298"/>
      <c r="C24" s="290"/>
      <c r="D24" s="58" t="s">
        <v>14</v>
      </c>
      <c r="E24" s="230">
        <v>456908.25</v>
      </c>
      <c r="F24" s="225">
        <v>40841</v>
      </c>
      <c r="G24" s="220">
        <v>367818</v>
      </c>
      <c r="H24" s="270">
        <v>37560</v>
      </c>
      <c r="I24" s="268">
        <f>344889+H24</f>
        <v>382449</v>
      </c>
      <c r="J24" s="51">
        <f>H24-F24</f>
        <v>-3281</v>
      </c>
      <c r="K24" s="50">
        <f>H24/F24</f>
        <v>0.91966406307387183</v>
      </c>
      <c r="L24" s="192">
        <f>I24-G24</f>
        <v>14631</v>
      </c>
      <c r="M24" s="56">
        <f>I24/G24</f>
        <v>1.0397778249025333</v>
      </c>
    </row>
    <row r="25" spans="2:15" ht="20.100000000000001" customHeight="1">
      <c r="B25" s="298"/>
      <c r="C25" s="290"/>
      <c r="D25" s="58" t="s">
        <v>13</v>
      </c>
      <c r="E25" s="228">
        <v>13881.5</v>
      </c>
      <c r="F25" s="226">
        <v>1887</v>
      </c>
      <c r="G25" s="220">
        <v>9694</v>
      </c>
      <c r="H25" s="271">
        <v>1264</v>
      </c>
      <c r="I25" s="268">
        <f>11062+H25</f>
        <v>12326</v>
      </c>
      <c r="J25" s="51">
        <f t="shared" si="0"/>
        <v>-623</v>
      </c>
      <c r="K25" s="50">
        <f t="shared" si="1"/>
        <v>0.6698463169051404</v>
      </c>
      <c r="L25" s="192">
        <f t="shared" si="2"/>
        <v>2632</v>
      </c>
      <c r="M25" s="56">
        <f t="shared" si="3"/>
        <v>1.2715081493707447</v>
      </c>
    </row>
    <row r="26" spans="2:15" ht="20.100000000000001" customHeight="1">
      <c r="B26" s="298"/>
      <c r="C26" s="290" t="s">
        <v>2</v>
      </c>
      <c r="D26" s="54" t="s">
        <v>49</v>
      </c>
      <c r="E26" s="193">
        <f>SUM(E27:E28)</f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0">
        <f t="shared" si="0"/>
        <v>0</v>
      </c>
      <c r="K26" s="55">
        <v>0</v>
      </c>
      <c r="L26" s="210">
        <f t="shared" si="2"/>
        <v>0</v>
      </c>
      <c r="M26" s="62">
        <v>0</v>
      </c>
    </row>
    <row r="27" spans="2:15" ht="20.100000000000001" customHeight="1">
      <c r="B27" s="298"/>
      <c r="C27" s="290"/>
      <c r="D27" s="54" t="s">
        <v>49</v>
      </c>
      <c r="E27" s="183">
        <v>0</v>
      </c>
      <c r="F27" s="59">
        <v>0</v>
      </c>
      <c r="G27" s="59">
        <v>0</v>
      </c>
      <c r="H27" s="59">
        <v>0</v>
      </c>
      <c r="I27" s="59">
        <v>0</v>
      </c>
      <c r="J27" s="60">
        <f t="shared" si="0"/>
        <v>0</v>
      </c>
      <c r="K27" s="55">
        <v>0</v>
      </c>
      <c r="L27" s="210">
        <f t="shared" si="2"/>
        <v>0</v>
      </c>
      <c r="M27" s="62">
        <v>0</v>
      </c>
    </row>
    <row r="28" spans="2:15" ht="20.100000000000001" customHeight="1" thickBot="1">
      <c r="B28" s="298"/>
      <c r="C28" s="290"/>
      <c r="D28" s="54" t="s">
        <v>49</v>
      </c>
      <c r="E28" s="194">
        <v>0</v>
      </c>
      <c r="F28" s="91">
        <v>0</v>
      </c>
      <c r="G28" s="91">
        <v>0</v>
      </c>
      <c r="H28" s="91">
        <v>0</v>
      </c>
      <c r="I28" s="91">
        <v>0</v>
      </c>
      <c r="J28" s="92">
        <f t="shared" si="0"/>
        <v>0</v>
      </c>
      <c r="K28" s="93">
        <v>0</v>
      </c>
      <c r="L28" s="211">
        <f t="shared" si="2"/>
        <v>0</v>
      </c>
      <c r="M28" s="94">
        <v>0</v>
      </c>
    </row>
    <row r="29" spans="2:15" s="22" customFormat="1" ht="20.100000000000001" customHeight="1" thickBot="1">
      <c r="B29" s="291" t="s">
        <v>47</v>
      </c>
      <c r="C29" s="292"/>
      <c r="D29" s="293"/>
      <c r="E29" s="195">
        <v>1560628</v>
      </c>
      <c r="F29" s="227">
        <v>121219</v>
      </c>
      <c r="G29" s="227">
        <v>1308765</v>
      </c>
      <c r="H29" s="151">
        <v>106156</v>
      </c>
      <c r="I29" s="151">
        <v>1330588</v>
      </c>
      <c r="J29" s="152">
        <f>H29-F29</f>
        <v>-15063</v>
      </c>
      <c r="K29" s="153">
        <f t="shared" si="1"/>
        <v>0.87573730190811672</v>
      </c>
      <c r="L29" s="212">
        <f t="shared" si="2"/>
        <v>21823</v>
      </c>
      <c r="M29" s="154">
        <f>I29/G29</f>
        <v>1.0166744984775724</v>
      </c>
    </row>
    <row r="30" spans="2:15" ht="12.75" customHeight="1">
      <c r="B30" s="5"/>
      <c r="C30" s="5"/>
      <c r="D30" s="5"/>
      <c r="E30" s="196"/>
      <c r="F30" s="7"/>
      <c r="G30" s="7"/>
      <c r="H30" s="7"/>
      <c r="I30" s="7"/>
      <c r="J30" s="6"/>
      <c r="K30" s="8"/>
      <c r="L30" s="213"/>
      <c r="M30" s="9"/>
    </row>
  </sheetData>
  <mergeCells count="20">
    <mergeCell ref="C10:D10"/>
    <mergeCell ref="C12:C15"/>
    <mergeCell ref="B11:B19"/>
    <mergeCell ref="C21:D21"/>
    <mergeCell ref="B3:M3"/>
    <mergeCell ref="F6:G6"/>
    <mergeCell ref="K5:M5"/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</mergeCells>
  <phoneticPr fontId="10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E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topLeftCell="A7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309" t="s">
        <v>87</v>
      </c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312" t="s">
        <v>50</v>
      </c>
      <c r="H5" s="312"/>
      <c r="I5" s="38"/>
      <c r="J5"/>
      <c r="K5"/>
      <c r="L5"/>
      <c r="M5" s="37"/>
      <c r="N5" s="37"/>
      <c r="O5" s="312" t="s">
        <v>88</v>
      </c>
      <c r="P5" s="312"/>
    </row>
    <row r="6" spans="2:29" s="11" customFormat="1" ht="32.25" customHeight="1">
      <c r="B6" s="127" t="s">
        <v>94</v>
      </c>
      <c r="C6" s="231">
        <v>2020</v>
      </c>
      <c r="D6" s="231">
        <v>2021</v>
      </c>
      <c r="E6" s="231">
        <v>2022</v>
      </c>
      <c r="F6" s="233">
        <v>2023</v>
      </c>
      <c r="G6" s="233">
        <v>2024</v>
      </c>
      <c r="H6" s="131" t="s">
        <v>110</v>
      </c>
      <c r="I6" s="42"/>
      <c r="J6" s="127" t="s">
        <v>94</v>
      </c>
      <c r="K6" s="235">
        <v>2020</v>
      </c>
      <c r="L6" s="235">
        <v>2021</v>
      </c>
      <c r="M6" s="235">
        <v>2022</v>
      </c>
      <c r="N6" s="237">
        <v>2023</v>
      </c>
      <c r="O6" s="237">
        <v>2024</v>
      </c>
      <c r="P6" s="133" t="str">
        <f>$H$6</f>
        <v>2025.10.</v>
      </c>
    </row>
    <row r="7" spans="2:29" s="11" customFormat="1" ht="39.200000000000003" customHeight="1" thickBot="1">
      <c r="B7" s="128" t="s">
        <v>92</v>
      </c>
      <c r="C7" s="232">
        <v>17409</v>
      </c>
      <c r="D7" s="232">
        <v>16473</v>
      </c>
      <c r="E7" s="232">
        <v>16626</v>
      </c>
      <c r="F7" s="234">
        <v>17324</v>
      </c>
      <c r="G7" s="234">
        <v>17502</v>
      </c>
      <c r="H7" s="132">
        <f>통계요약!I8</f>
        <v>15111</v>
      </c>
      <c r="I7" s="43"/>
      <c r="J7" s="129" t="s">
        <v>91</v>
      </c>
      <c r="K7" s="236">
        <v>106847350</v>
      </c>
      <c r="L7" s="236">
        <v>116876152</v>
      </c>
      <c r="M7" s="236">
        <v>116171568</v>
      </c>
      <c r="N7" s="238">
        <v>116607017</v>
      </c>
      <c r="O7" s="239">
        <v>116714212</v>
      </c>
      <c r="P7" s="134">
        <f>통계요약!I11</f>
        <v>93662814</v>
      </c>
    </row>
    <row r="8" spans="2:29" s="11" customFormat="1" ht="21" customHeight="1" thickBot="1">
      <c r="B8"/>
      <c r="C8"/>
      <c r="D8"/>
      <c r="E8" s="37"/>
      <c r="F8" s="37"/>
      <c r="G8" s="312" t="s">
        <v>89</v>
      </c>
      <c r="H8" s="312"/>
      <c r="I8" s="38"/>
      <c r="J8" s="12"/>
      <c r="K8" s="13"/>
      <c r="L8" s="13"/>
      <c r="M8" s="37"/>
      <c r="N8" s="37"/>
      <c r="O8" s="312" t="s">
        <v>90</v>
      </c>
      <c r="P8" s="312"/>
    </row>
    <row r="9" spans="2:29" s="11" customFormat="1" ht="32.25" customHeight="1">
      <c r="B9" s="127" t="s">
        <v>94</v>
      </c>
      <c r="C9" s="240">
        <v>2019</v>
      </c>
      <c r="D9" s="240">
        <v>2020</v>
      </c>
      <c r="E9" s="240">
        <v>2021</v>
      </c>
      <c r="F9" s="242">
        <v>2022</v>
      </c>
      <c r="G9" s="242">
        <v>2023</v>
      </c>
      <c r="H9" s="133" t="str">
        <f>$H$6</f>
        <v>2025.10.</v>
      </c>
      <c r="I9" s="44"/>
      <c r="J9" s="127" t="s">
        <v>94</v>
      </c>
      <c r="K9" s="246">
        <v>2020</v>
      </c>
      <c r="L9" s="246">
        <v>2021</v>
      </c>
      <c r="M9" s="246">
        <v>2022</v>
      </c>
      <c r="N9" s="248">
        <v>2023</v>
      </c>
      <c r="O9" s="248">
        <v>2024</v>
      </c>
      <c r="P9" s="133" t="str">
        <f>$H$6</f>
        <v>2025.10.</v>
      </c>
    </row>
    <row r="10" spans="2:29" s="11" customFormat="1" ht="37.5" customHeight="1" thickBot="1">
      <c r="B10" s="130" t="s">
        <v>22</v>
      </c>
      <c r="C10" s="241">
        <v>792643</v>
      </c>
      <c r="D10" s="241">
        <v>936246</v>
      </c>
      <c r="E10" s="241">
        <v>851953</v>
      </c>
      <c r="F10" s="244">
        <v>820289</v>
      </c>
      <c r="G10" s="243">
        <v>924735.5</v>
      </c>
      <c r="H10" s="135">
        <f>통계요약!I21</f>
        <v>777941</v>
      </c>
      <c r="I10" s="45"/>
      <c r="J10" s="130" t="s">
        <v>93</v>
      </c>
      <c r="K10" s="247">
        <v>40267</v>
      </c>
      <c r="L10" s="247">
        <v>0</v>
      </c>
      <c r="M10" s="247">
        <v>0</v>
      </c>
      <c r="N10" s="249">
        <v>0</v>
      </c>
      <c r="O10" s="249">
        <v>0</v>
      </c>
      <c r="P10" s="135"/>
      <c r="S10" s="21" t="s">
        <v>102</v>
      </c>
      <c r="AC10" s="21"/>
    </row>
    <row r="11" spans="2:29" ht="21" customHeight="1"/>
    <row r="12" spans="2:29" s="18" customFormat="1" ht="21" customHeight="1">
      <c r="B12" s="311" t="s">
        <v>98</v>
      </c>
      <c r="C12" s="311"/>
      <c r="D12" s="311"/>
      <c r="I12" s="46"/>
    </row>
    <row r="13" spans="2:29" s="11" customFormat="1" ht="21" customHeight="1">
      <c r="B13" s="310" t="s">
        <v>95</v>
      </c>
      <c r="C13" s="310"/>
      <c r="I13" s="41"/>
      <c r="J13" s="310" t="s">
        <v>96</v>
      </c>
      <c r="K13" s="310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310" t="s">
        <v>97</v>
      </c>
      <c r="C23" s="310"/>
      <c r="I23" s="41"/>
      <c r="J23" s="310" t="s">
        <v>99</v>
      </c>
      <c r="K23" s="310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1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tabSelected="1" zoomScale="95" zoomScaleNormal="95" workbookViewId="0">
      <selection activeCell="H23" sqref="H23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76" customWidth="1"/>
    <col min="7" max="7" width="12.625" style="171" customWidth="1"/>
    <col min="8" max="8" width="13.5" style="171" customWidth="1"/>
    <col min="9" max="9" width="12.625" style="159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75"/>
      <c r="G1" s="160"/>
      <c r="H1" s="161"/>
      <c r="I1" s="156"/>
    </row>
    <row r="2" spans="1:35" customFormat="1" ht="13.5" customHeight="1">
      <c r="B2" s="35"/>
      <c r="C2" s="34"/>
      <c r="D2" s="34"/>
      <c r="E2" s="34"/>
      <c r="F2" s="176"/>
      <c r="G2" s="162"/>
      <c r="H2" s="162"/>
      <c r="I2" s="157"/>
      <c r="J2" s="34"/>
      <c r="K2" s="34"/>
      <c r="L2" s="34"/>
    </row>
    <row r="3" spans="1:35" customFormat="1" ht="42.95" customHeight="1">
      <c r="B3" s="285" t="s">
        <v>108</v>
      </c>
      <c r="C3" s="286"/>
      <c r="D3" s="286"/>
      <c r="E3" s="286"/>
      <c r="F3" s="286"/>
      <c r="G3" s="286"/>
      <c r="H3" s="286"/>
      <c r="I3" s="286"/>
      <c r="J3" s="286"/>
      <c r="K3" s="286"/>
      <c r="L3" s="287"/>
    </row>
    <row r="4" spans="1:35" ht="13.5" customHeight="1">
      <c r="A4" s="20"/>
      <c r="C4" s="23"/>
      <c r="D4" s="23"/>
      <c r="E4" s="26"/>
      <c r="F4" s="177"/>
      <c r="G4" s="163"/>
      <c r="H4" s="164"/>
      <c r="I4" s="158"/>
    </row>
    <row r="5" spans="1:35" ht="13.5" customHeight="1">
      <c r="A5" s="20"/>
      <c r="C5" s="23"/>
      <c r="D5" s="23"/>
      <c r="E5" s="26"/>
      <c r="F5" s="177"/>
      <c r="G5" s="163"/>
      <c r="H5" s="164"/>
      <c r="I5" s="158"/>
    </row>
    <row r="6" spans="1:35" ht="21.95" customHeight="1">
      <c r="B6" s="313" t="s">
        <v>23</v>
      </c>
      <c r="C6" s="321" t="s">
        <v>24</v>
      </c>
      <c r="D6" s="319" t="s">
        <v>111</v>
      </c>
      <c r="E6" s="319"/>
      <c r="F6" s="319"/>
      <c r="G6" s="323" t="s">
        <v>109</v>
      </c>
      <c r="H6" s="323"/>
      <c r="I6" s="319" t="s">
        <v>25</v>
      </c>
      <c r="J6" s="319"/>
      <c r="K6" s="319"/>
      <c r="L6" s="320"/>
      <c r="X6" s="19" t="s">
        <v>84</v>
      </c>
    </row>
    <row r="7" spans="1:35" ht="21.95" customHeight="1" thickBot="1">
      <c r="B7" s="314"/>
      <c r="C7" s="322"/>
      <c r="D7" s="106" t="s">
        <v>26</v>
      </c>
      <c r="E7" s="106" t="str">
        <f>통계요약!F7</f>
        <v>10월(A)</v>
      </c>
      <c r="F7" s="178" t="str">
        <f>통계요약!G7</f>
        <v xml:space="preserve"> 10월누계(B) </v>
      </c>
      <c r="G7" s="165" t="str">
        <f>통계요약!H7</f>
        <v>10월(C)</v>
      </c>
      <c r="H7" s="166" t="str">
        <f>통계요약!I7</f>
        <v xml:space="preserve"> 10월누계(D) </v>
      </c>
      <c r="I7" s="106" t="s">
        <v>27</v>
      </c>
      <c r="J7" s="107" t="s">
        <v>28</v>
      </c>
      <c r="K7" s="108" t="s">
        <v>29</v>
      </c>
      <c r="L7" s="109" t="s">
        <v>28</v>
      </c>
    </row>
    <row r="8" spans="1:35" ht="21.95" customHeight="1">
      <c r="B8" s="315" t="s">
        <v>30</v>
      </c>
      <c r="C8" s="110" t="s">
        <v>31</v>
      </c>
      <c r="D8" s="111">
        <f>SUM(D10,D12,D14,D16,D18,D20,D22,D26,D24,D30,D32,D34,D36,D28)</f>
        <v>924735.5</v>
      </c>
      <c r="E8" s="111">
        <f>SUM(E10,E12,E14,E16,E18,E20,E22,E26,E24,E30,E32,E34,E36,E28)</f>
        <v>83786.25</v>
      </c>
      <c r="F8" s="179">
        <f>SUM(F10,F12,F14,F16,F18,F20,F22,F26,F24,F30,F32,F34,F36,F28)</f>
        <v>749250</v>
      </c>
      <c r="G8" s="111">
        <f>SUM(G10,G12,G14,G16,G18,G20,G22,G26,G24,G28,G32,G34,G36,G30)</f>
        <v>76212</v>
      </c>
      <c r="H8" s="173">
        <f>SUM(H10,H12,H14,H16,H18,H20,H22,H26,H24,H30,H32,H34,H36,H28,)</f>
        <v>777930</v>
      </c>
      <c r="I8" s="112">
        <f t="shared" ref="I8:I9" si="0">G8-E8</f>
        <v>-7574.25</v>
      </c>
      <c r="J8" s="113">
        <f t="shared" ref="J8:J9" si="1">(G8/E8*100)-100</f>
        <v>-9.0399677751421024</v>
      </c>
      <c r="K8" s="114">
        <f t="shared" ref="K8:K9" si="2">H8-F8</f>
        <v>28680</v>
      </c>
      <c r="L8" s="115">
        <f t="shared" ref="L8:L9" si="3">(H8/F8*100)-100</f>
        <v>3.8278278278278179</v>
      </c>
    </row>
    <row r="9" spans="1:35" ht="21.95" customHeight="1" thickBot="1">
      <c r="B9" s="316"/>
      <c r="C9" s="116" t="s">
        <v>32</v>
      </c>
      <c r="D9" s="117">
        <f>SUM(D11,D13,D15,D17,D19,D21,D23,D25,D27,D31,D33,D35,D37,D29)</f>
        <v>14055928</v>
      </c>
      <c r="E9" s="117">
        <f>SUM(E11,E13,E15,E17,E19,E21,E23,E25,E27,E31,E33,E35,E37,E29)</f>
        <v>1281331</v>
      </c>
      <c r="F9" s="180">
        <f>SUM(F11,F13,F15,F17,F19,F21,F23,F25,F27,F31,F33,F35,F37,F29)</f>
        <v>11359044</v>
      </c>
      <c r="G9" s="117">
        <f>SUM(G11,G13,G15,G17,G19,G21,G23,G25,G27,G29,G33,G35,G37,G31)</f>
        <v>1175579</v>
      </c>
      <c r="H9" s="174">
        <f>SUM(H11,H13,H15,H17,H19,H21,H23,H25,H27,H31,H33,H35,H37,H29)</f>
        <v>11856204</v>
      </c>
      <c r="I9" s="118">
        <f t="shared" si="0"/>
        <v>-105752</v>
      </c>
      <c r="J9" s="119">
        <f t="shared" si="1"/>
        <v>-8.2532928649974053</v>
      </c>
      <c r="K9" s="120">
        <f t="shared" si="2"/>
        <v>497160</v>
      </c>
      <c r="L9" s="121">
        <f t="shared" si="3"/>
        <v>4.3767767780457518</v>
      </c>
    </row>
    <row r="10" spans="1:35" ht="21.2" customHeight="1">
      <c r="B10" s="317" t="s">
        <v>33</v>
      </c>
      <c r="C10" s="138" t="s">
        <v>31</v>
      </c>
      <c r="D10" s="263">
        <v>53912</v>
      </c>
      <c r="E10" s="251">
        <v>4504</v>
      </c>
      <c r="F10" s="251">
        <v>43934</v>
      </c>
      <c r="G10" s="167"/>
      <c r="H10" s="274">
        <v>13137</v>
      </c>
      <c r="I10" s="147">
        <f>IFERROR(G10-E10,"-")</f>
        <v>-4504</v>
      </c>
      <c r="J10" s="139">
        <f>IFERROR((G10/E10*100)-100,"-")</f>
        <v>-100</v>
      </c>
      <c r="K10" s="140">
        <f>IFERROR(H10-F10,"-")</f>
        <v>-30797</v>
      </c>
      <c r="L10" s="141">
        <f>IFERROR((H10/F10*100)-100,"-")</f>
        <v>-70.098329312150042</v>
      </c>
      <c r="M10" s="25"/>
      <c r="O10" s="19" t="s">
        <v>51</v>
      </c>
      <c r="U10" s="136"/>
      <c r="V10" s="136"/>
    </row>
    <row r="11" spans="1:35" ht="21.2" customHeight="1">
      <c r="B11" s="318"/>
      <c r="C11" s="143" t="s">
        <v>32</v>
      </c>
      <c r="D11" s="264">
        <v>998726</v>
      </c>
      <c r="E11" s="252">
        <v>84583</v>
      </c>
      <c r="F11" s="252">
        <v>816010</v>
      </c>
      <c r="G11" s="168"/>
      <c r="H11" s="275">
        <v>237788</v>
      </c>
      <c r="I11" s="148">
        <f t="shared" ref="I11:I12" si="4">IFERROR(G11-E11,"-")</f>
        <v>-84583</v>
      </c>
      <c r="J11" s="144">
        <f t="shared" ref="J11:J37" si="5">IFERROR((G11/E11*100)-100,"-")</f>
        <v>-100</v>
      </c>
      <c r="K11" s="145">
        <f t="shared" ref="K11:K37" si="6">IFERROR(H11-F11,"-")</f>
        <v>-578222</v>
      </c>
      <c r="L11" s="146">
        <f t="shared" ref="L11:L37" si="7">IFERROR((H11/F11*100)-100,"-")</f>
        <v>-70.85967083736719</v>
      </c>
      <c r="O11" s="19" t="s">
        <v>51</v>
      </c>
      <c r="U11" s="136"/>
      <c r="V11" s="136"/>
    </row>
    <row r="12" spans="1:35" ht="21.2" customHeight="1">
      <c r="B12" s="318" t="s">
        <v>34</v>
      </c>
      <c r="C12" s="122" t="s">
        <v>31</v>
      </c>
      <c r="D12" s="265">
        <v>57203</v>
      </c>
      <c r="E12" s="253">
        <v>6053.75</v>
      </c>
      <c r="F12" s="253">
        <v>44327.5</v>
      </c>
      <c r="G12" s="277">
        <v>5247</v>
      </c>
      <c r="H12" s="273">
        <v>66539</v>
      </c>
      <c r="I12" s="149">
        <f t="shared" si="4"/>
        <v>-806.75</v>
      </c>
      <c r="J12" s="123">
        <f t="shared" si="5"/>
        <v>-13.326450547181494</v>
      </c>
      <c r="K12" s="124">
        <f t="shared" si="6"/>
        <v>22211.5</v>
      </c>
      <c r="L12" s="125">
        <f t="shared" si="7"/>
        <v>50.107720940725301</v>
      </c>
      <c r="O12" s="19" t="s">
        <v>52</v>
      </c>
      <c r="U12" s="136"/>
      <c r="V12" s="136"/>
      <c r="AC12" s="29" t="s">
        <v>77</v>
      </c>
      <c r="AD12" s="29" t="s">
        <v>78</v>
      </c>
      <c r="AE12" s="29" t="s">
        <v>79</v>
      </c>
      <c r="AF12" s="29" t="s">
        <v>80</v>
      </c>
      <c r="AG12" s="29" t="s">
        <v>81</v>
      </c>
    </row>
    <row r="13" spans="1:35" ht="21.2" customHeight="1">
      <c r="B13" s="318"/>
      <c r="C13" s="143" t="s">
        <v>32</v>
      </c>
      <c r="D13" s="264">
        <v>821405</v>
      </c>
      <c r="E13" s="252">
        <v>88309</v>
      </c>
      <c r="F13" s="252">
        <v>629029</v>
      </c>
      <c r="G13" s="276">
        <v>90775</v>
      </c>
      <c r="H13" s="272">
        <v>1078562</v>
      </c>
      <c r="I13" s="148">
        <f>IFERROR(G13-E13,"-")</f>
        <v>2466</v>
      </c>
      <c r="J13" s="144">
        <f t="shared" si="5"/>
        <v>2.7924673589328393</v>
      </c>
      <c r="K13" s="145">
        <f t="shared" si="6"/>
        <v>449533</v>
      </c>
      <c r="L13" s="146">
        <f t="shared" si="7"/>
        <v>71.464590662751647</v>
      </c>
      <c r="O13" s="19" t="s">
        <v>52</v>
      </c>
      <c r="U13" s="136"/>
      <c r="V13" s="136"/>
      <c r="AC13" s="28" t="s">
        <v>82</v>
      </c>
      <c r="AD13" s="30">
        <f>E10+E12</f>
        <v>10557.75</v>
      </c>
      <c r="AE13" s="30">
        <f>F10+F12</f>
        <v>88261.5</v>
      </c>
      <c r="AF13" s="30">
        <f>G10+G12</f>
        <v>5247</v>
      </c>
      <c r="AG13" s="30">
        <f>H10+H12</f>
        <v>79676</v>
      </c>
      <c r="AH13" s="31">
        <f t="shared" ref="AH13:AI15" si="8">(AF13/AD13*100)-100</f>
        <v>-50.301910918519575</v>
      </c>
      <c r="AI13" s="31">
        <f t="shared" si="8"/>
        <v>-9.7273443120726455</v>
      </c>
    </row>
    <row r="14" spans="1:35" ht="21.2" customHeight="1">
      <c r="B14" s="318" t="s">
        <v>72</v>
      </c>
      <c r="C14" s="122" t="s">
        <v>31</v>
      </c>
      <c r="D14" s="265">
        <v>9</v>
      </c>
      <c r="E14" s="259">
        <v>9</v>
      </c>
      <c r="F14" s="245">
        <v>9</v>
      </c>
      <c r="G14" s="181"/>
      <c r="H14" s="126"/>
      <c r="I14" s="182">
        <f>IFERROR(G14-E14,"-")</f>
        <v>-9</v>
      </c>
      <c r="J14" s="123">
        <f t="shared" si="5"/>
        <v>-100</v>
      </c>
      <c r="K14" s="124">
        <f t="shared" si="6"/>
        <v>-9</v>
      </c>
      <c r="L14" s="125">
        <f t="shared" si="7"/>
        <v>-100</v>
      </c>
      <c r="O14" s="19" t="s">
        <v>73</v>
      </c>
      <c r="U14" s="136"/>
      <c r="V14" s="136"/>
      <c r="AC14" s="28" t="s">
        <v>83</v>
      </c>
      <c r="AD14" s="30">
        <f>E18+E20+E22</f>
        <v>45099.5</v>
      </c>
      <c r="AE14" s="30">
        <f>F18+F20+F22</f>
        <v>444862.5</v>
      </c>
      <c r="AF14" s="30">
        <f>G18+G20+G22</f>
        <v>41145</v>
      </c>
      <c r="AG14" s="30">
        <f>H18+H20+H22</f>
        <v>423631</v>
      </c>
      <c r="AH14" s="31">
        <f t="shared" si="8"/>
        <v>-8.768389893457794</v>
      </c>
      <c r="AI14" s="31">
        <f t="shared" si="8"/>
        <v>-4.7725982747478213</v>
      </c>
    </row>
    <row r="15" spans="1:35" ht="21.2" customHeight="1">
      <c r="B15" s="318"/>
      <c r="C15" s="97" t="s">
        <v>32</v>
      </c>
      <c r="D15" s="264">
        <v>213</v>
      </c>
      <c r="E15" s="250">
        <v>213</v>
      </c>
      <c r="F15" s="250">
        <v>213</v>
      </c>
      <c r="G15" s="150"/>
      <c r="H15" s="150"/>
      <c r="I15" s="148">
        <f t="shared" ref="I15:I37" si="9">IFERROR(G15-E15,"-")</f>
        <v>-213</v>
      </c>
      <c r="J15" s="98">
        <f t="shared" si="5"/>
        <v>-100</v>
      </c>
      <c r="K15" s="99">
        <f t="shared" si="6"/>
        <v>-213</v>
      </c>
      <c r="L15" s="101">
        <f t="shared" si="7"/>
        <v>-100</v>
      </c>
      <c r="O15" s="19" t="s">
        <v>73</v>
      </c>
      <c r="AC15" s="28" t="s">
        <v>76</v>
      </c>
      <c r="AD15" s="30">
        <f>E32+E34+E36</f>
        <v>28120</v>
      </c>
      <c r="AE15" s="30">
        <f>F32+F34+F36</f>
        <v>215861</v>
      </c>
      <c r="AF15" s="30">
        <f>G32+G34+G36</f>
        <v>29820</v>
      </c>
      <c r="AG15" s="30">
        <f>H32+H34+H36</f>
        <v>274614</v>
      </c>
      <c r="AH15" s="31">
        <f t="shared" si="8"/>
        <v>6.0455192034139458</v>
      </c>
      <c r="AI15" s="31">
        <f t="shared" si="8"/>
        <v>27.217978235994451</v>
      </c>
    </row>
    <row r="16" spans="1:35" ht="21.2" customHeight="1">
      <c r="B16" s="318" t="s">
        <v>46</v>
      </c>
      <c r="C16" s="122" t="s">
        <v>31</v>
      </c>
      <c r="D16" s="261">
        <v>212</v>
      </c>
      <c r="E16" s="259">
        <v>0</v>
      </c>
      <c r="F16" s="254">
        <v>212</v>
      </c>
      <c r="G16" s="181">
        <v>0</v>
      </c>
      <c r="H16" s="169"/>
      <c r="I16" s="182">
        <f t="shared" si="9"/>
        <v>0</v>
      </c>
      <c r="J16" s="123" t="str">
        <f t="shared" si="5"/>
        <v>-</v>
      </c>
      <c r="K16" s="124">
        <f t="shared" si="6"/>
        <v>-212</v>
      </c>
      <c r="L16" s="125">
        <f t="shared" si="7"/>
        <v>-100</v>
      </c>
      <c r="O16" s="19" t="s">
        <v>53</v>
      </c>
    </row>
    <row r="17" spans="2:15" ht="21.2" customHeight="1">
      <c r="B17" s="318"/>
      <c r="C17" s="97" t="s">
        <v>45</v>
      </c>
      <c r="D17" s="260">
        <v>5372</v>
      </c>
      <c r="E17" s="250">
        <v>0</v>
      </c>
      <c r="F17" s="255">
        <v>5372</v>
      </c>
      <c r="G17" s="150">
        <v>0</v>
      </c>
      <c r="H17" s="170"/>
      <c r="I17" s="148">
        <f t="shared" si="9"/>
        <v>0</v>
      </c>
      <c r="J17" s="98" t="str">
        <f t="shared" si="5"/>
        <v>-</v>
      </c>
      <c r="K17" s="99">
        <f t="shared" si="6"/>
        <v>-5372</v>
      </c>
      <c r="L17" s="101">
        <f t="shared" si="7"/>
        <v>-100</v>
      </c>
      <c r="O17" s="19" t="s">
        <v>53</v>
      </c>
    </row>
    <row r="18" spans="2:15" ht="21.2" customHeight="1">
      <c r="B18" s="318" t="s">
        <v>35</v>
      </c>
      <c r="C18" s="122" t="s">
        <v>31</v>
      </c>
      <c r="D18" s="265">
        <v>142959.25</v>
      </c>
      <c r="E18" s="254">
        <v>11696.5</v>
      </c>
      <c r="F18" s="256">
        <v>115091.75</v>
      </c>
      <c r="G18" s="278">
        <v>16128</v>
      </c>
      <c r="H18" s="280">
        <v>152299</v>
      </c>
      <c r="I18" s="182">
        <f t="shared" si="9"/>
        <v>4431.5</v>
      </c>
      <c r="J18" s="123">
        <f t="shared" si="5"/>
        <v>37.887402214337612</v>
      </c>
      <c r="K18" s="124">
        <f t="shared" si="6"/>
        <v>37207.25</v>
      </c>
      <c r="L18" s="125">
        <f t="shared" si="7"/>
        <v>32.328338043343678</v>
      </c>
      <c r="M18" s="25"/>
      <c r="O18" s="19" t="s">
        <v>54</v>
      </c>
    </row>
    <row r="19" spans="2:15" ht="21.2" customHeight="1">
      <c r="B19" s="318"/>
      <c r="C19" s="97" t="s">
        <v>32</v>
      </c>
      <c r="D19" s="264">
        <v>2340460</v>
      </c>
      <c r="E19" s="255">
        <v>205777</v>
      </c>
      <c r="F19" s="252">
        <v>1883681</v>
      </c>
      <c r="G19" s="279">
        <v>286836</v>
      </c>
      <c r="H19" s="276">
        <v>2228501</v>
      </c>
      <c r="I19" s="148">
        <f t="shared" si="9"/>
        <v>81059</v>
      </c>
      <c r="J19" s="98">
        <f t="shared" si="5"/>
        <v>39.391671566793178</v>
      </c>
      <c r="K19" s="99">
        <f t="shared" si="6"/>
        <v>344820</v>
      </c>
      <c r="L19" s="101">
        <f t="shared" si="7"/>
        <v>18.305647293782769</v>
      </c>
      <c r="O19" s="19" t="s">
        <v>55</v>
      </c>
    </row>
    <row r="20" spans="2:15" ht="21.2" customHeight="1">
      <c r="B20" s="318" t="s">
        <v>42</v>
      </c>
      <c r="C20" s="122" t="s">
        <v>31</v>
      </c>
      <c r="D20" s="265">
        <v>233375.5</v>
      </c>
      <c r="E20" s="254">
        <v>18851.5</v>
      </c>
      <c r="F20" s="256">
        <v>193958</v>
      </c>
      <c r="G20" s="278">
        <v>16876</v>
      </c>
      <c r="H20" s="280">
        <v>165865</v>
      </c>
      <c r="I20" s="182">
        <f t="shared" si="9"/>
        <v>-1975.5</v>
      </c>
      <c r="J20" s="123">
        <f t="shared" si="5"/>
        <v>-10.479272206455718</v>
      </c>
      <c r="K20" s="124">
        <f t="shared" si="6"/>
        <v>-28093</v>
      </c>
      <c r="L20" s="125">
        <f t="shared" si="7"/>
        <v>-14.484063560152194</v>
      </c>
      <c r="O20" s="19" t="s">
        <v>56</v>
      </c>
    </row>
    <row r="21" spans="2:15" ht="21.2" customHeight="1">
      <c r="B21" s="318"/>
      <c r="C21" s="97" t="s">
        <v>32</v>
      </c>
      <c r="D21" s="264">
        <v>3245962</v>
      </c>
      <c r="E21" s="255">
        <v>273477</v>
      </c>
      <c r="F21" s="252">
        <v>2661365</v>
      </c>
      <c r="G21" s="279">
        <v>247268</v>
      </c>
      <c r="H21" s="276">
        <v>2760708</v>
      </c>
      <c r="I21" s="148">
        <f t="shared" si="9"/>
        <v>-26209</v>
      </c>
      <c r="J21" s="98">
        <f t="shared" si="5"/>
        <v>-9.5836212917356818</v>
      </c>
      <c r="K21" s="99">
        <f t="shared" si="6"/>
        <v>99343</v>
      </c>
      <c r="L21" s="101">
        <f t="shared" si="7"/>
        <v>3.7327837406744209</v>
      </c>
      <c r="O21" s="19" t="s">
        <v>57</v>
      </c>
    </row>
    <row r="22" spans="2:15" ht="21.2" customHeight="1">
      <c r="B22" s="318" t="s">
        <v>36</v>
      </c>
      <c r="C22" s="122" t="s">
        <v>31</v>
      </c>
      <c r="D22" s="265">
        <v>163176.75</v>
      </c>
      <c r="E22" s="254">
        <v>14551.5</v>
      </c>
      <c r="F22" s="256">
        <v>135812.75</v>
      </c>
      <c r="G22" s="278">
        <v>8141</v>
      </c>
      <c r="H22" s="280">
        <v>105467</v>
      </c>
      <c r="I22" s="182">
        <f t="shared" si="9"/>
        <v>-6410.5</v>
      </c>
      <c r="J22" s="123">
        <f t="shared" si="5"/>
        <v>-44.053877607119539</v>
      </c>
      <c r="K22" s="124">
        <f t="shared" si="6"/>
        <v>-30345.75</v>
      </c>
      <c r="L22" s="125">
        <f>IFERROR((H22/F22*100)-100,"-")</f>
        <v>-22.343815289801583</v>
      </c>
      <c r="O22" s="19" t="s">
        <v>58</v>
      </c>
    </row>
    <row r="23" spans="2:15" ht="21.2" customHeight="1">
      <c r="B23" s="318"/>
      <c r="C23" s="97" t="s">
        <v>32</v>
      </c>
      <c r="D23" s="264">
        <v>2560713</v>
      </c>
      <c r="E23" s="255">
        <v>215558</v>
      </c>
      <c r="F23" s="252">
        <v>2136369</v>
      </c>
      <c r="G23" s="279">
        <v>137491</v>
      </c>
      <c r="H23" s="276">
        <v>1665608</v>
      </c>
      <c r="I23" s="148">
        <f t="shared" si="9"/>
        <v>-78067</v>
      </c>
      <c r="J23" s="98">
        <f t="shared" si="5"/>
        <v>-36.216238784920996</v>
      </c>
      <c r="K23" s="99">
        <f t="shared" si="6"/>
        <v>-470761</v>
      </c>
      <c r="L23" s="101">
        <f t="shared" si="7"/>
        <v>-22.035565953259947</v>
      </c>
      <c r="O23" s="19" t="s">
        <v>59</v>
      </c>
    </row>
    <row r="24" spans="2:15" ht="21.2" customHeight="1">
      <c r="B24" s="318" t="s">
        <v>48</v>
      </c>
      <c r="C24" s="122" t="s">
        <v>31</v>
      </c>
      <c r="D24" s="261">
        <v>8</v>
      </c>
      <c r="E24" s="259">
        <v>0</v>
      </c>
      <c r="F24" s="254">
        <v>8</v>
      </c>
      <c r="G24" s="181">
        <v>0</v>
      </c>
      <c r="H24" s="169">
        <v>8</v>
      </c>
      <c r="I24" s="182">
        <f t="shared" si="9"/>
        <v>0</v>
      </c>
      <c r="J24" s="123" t="str">
        <f>IFERROR((G24/E24*100)-100,"-")</f>
        <v>-</v>
      </c>
      <c r="K24" s="124">
        <f t="shared" si="6"/>
        <v>0</v>
      </c>
      <c r="L24" s="125">
        <f t="shared" si="7"/>
        <v>0</v>
      </c>
      <c r="O24" s="19" t="s">
        <v>60</v>
      </c>
    </row>
    <row r="25" spans="2:15" ht="21.2" customHeight="1">
      <c r="B25" s="318"/>
      <c r="C25" s="100" t="s">
        <v>32</v>
      </c>
      <c r="D25" s="260">
        <v>175</v>
      </c>
      <c r="E25" s="250">
        <v>0</v>
      </c>
      <c r="F25" s="255">
        <v>175</v>
      </c>
      <c r="G25" s="150">
        <v>0</v>
      </c>
      <c r="H25" s="170">
        <v>175</v>
      </c>
      <c r="I25" s="148">
        <f t="shared" si="9"/>
        <v>0</v>
      </c>
      <c r="J25" s="98" t="str">
        <f>IFERROR((G25/E25*100)-100,"-")</f>
        <v>-</v>
      </c>
      <c r="K25" s="99">
        <f t="shared" si="6"/>
        <v>0</v>
      </c>
      <c r="L25" s="101">
        <f t="shared" si="7"/>
        <v>0</v>
      </c>
      <c r="O25" s="19" t="s">
        <v>61</v>
      </c>
    </row>
    <row r="26" spans="2:15" ht="21.2" customHeight="1">
      <c r="B26" s="318" t="s">
        <v>71</v>
      </c>
      <c r="C26" s="122" t="s">
        <v>31</v>
      </c>
      <c r="D26" s="261">
        <v>0</v>
      </c>
      <c r="E26" s="259">
        <v>0</v>
      </c>
      <c r="F26" s="245">
        <v>0</v>
      </c>
      <c r="G26" s="181">
        <v>0</v>
      </c>
      <c r="H26" s="126">
        <v>0</v>
      </c>
      <c r="I26" s="182">
        <f t="shared" si="9"/>
        <v>0</v>
      </c>
      <c r="J26" s="123" t="str">
        <f t="shared" si="5"/>
        <v>-</v>
      </c>
      <c r="K26" s="124">
        <f t="shared" si="6"/>
        <v>0</v>
      </c>
      <c r="L26" s="125" t="str">
        <f t="shared" si="7"/>
        <v>-</v>
      </c>
      <c r="O26" s="19" t="s">
        <v>74</v>
      </c>
    </row>
    <row r="27" spans="2:15" ht="21.2" customHeight="1">
      <c r="B27" s="318"/>
      <c r="C27" s="97" t="s">
        <v>32</v>
      </c>
      <c r="D27" s="260">
        <v>0</v>
      </c>
      <c r="E27" s="250">
        <v>0</v>
      </c>
      <c r="F27" s="250">
        <v>0</v>
      </c>
      <c r="G27" s="150">
        <v>0</v>
      </c>
      <c r="H27" s="150">
        <v>0</v>
      </c>
      <c r="I27" s="148">
        <f t="shared" si="9"/>
        <v>0</v>
      </c>
      <c r="J27" s="98" t="str">
        <f t="shared" si="5"/>
        <v>-</v>
      </c>
      <c r="K27" s="99">
        <f t="shared" si="6"/>
        <v>0</v>
      </c>
      <c r="L27" s="101" t="str">
        <f t="shared" si="7"/>
        <v>-</v>
      </c>
      <c r="O27" s="19" t="s">
        <v>74</v>
      </c>
    </row>
    <row r="28" spans="2:15" ht="21.2" customHeight="1">
      <c r="B28" s="318" t="s">
        <v>43</v>
      </c>
      <c r="C28" s="122" t="s">
        <v>44</v>
      </c>
      <c r="D28" s="265">
        <v>36</v>
      </c>
      <c r="E28" s="259">
        <v>0</v>
      </c>
      <c r="F28" s="254">
        <v>36</v>
      </c>
      <c r="G28" s="181">
        <v>0</v>
      </c>
      <c r="H28" s="169"/>
      <c r="I28" s="182">
        <f>IFERROR(G28-E28,"-")</f>
        <v>0</v>
      </c>
      <c r="J28" s="123" t="str">
        <f>IFERROR((#REF!/E28*100)-100,"-")</f>
        <v>-</v>
      </c>
      <c r="K28" s="124">
        <f t="shared" si="6"/>
        <v>-36</v>
      </c>
      <c r="L28" s="125">
        <f>IFERROR((H28/F28*100)-100,"-")</f>
        <v>-100</v>
      </c>
      <c r="O28" s="19" t="s">
        <v>62</v>
      </c>
    </row>
    <row r="29" spans="2:15" ht="21.2" customHeight="1">
      <c r="B29" s="318"/>
      <c r="C29" s="97" t="s">
        <v>45</v>
      </c>
      <c r="D29" s="264">
        <v>956</v>
      </c>
      <c r="E29" s="250">
        <v>0</v>
      </c>
      <c r="F29" s="255">
        <v>956</v>
      </c>
      <c r="G29" s="150">
        <v>0</v>
      </c>
      <c r="H29" s="170"/>
      <c r="I29" s="148">
        <f t="shared" si="9"/>
        <v>0</v>
      </c>
      <c r="J29" s="98" t="str">
        <f>IFERROR((#REF!/E29*100)-100,"-")</f>
        <v>-</v>
      </c>
      <c r="K29" s="99">
        <f t="shared" si="6"/>
        <v>-956</v>
      </c>
      <c r="L29" s="101">
        <f t="shared" si="7"/>
        <v>-100</v>
      </c>
      <c r="O29" s="19" t="s">
        <v>62</v>
      </c>
    </row>
    <row r="30" spans="2:15" ht="21.2" customHeight="1">
      <c r="B30" s="318" t="s">
        <v>38</v>
      </c>
      <c r="C30" s="122" t="s">
        <v>31</v>
      </c>
      <c r="D30" s="265">
        <v>0</v>
      </c>
      <c r="E30" s="259">
        <v>0</v>
      </c>
      <c r="F30" s="245">
        <v>0</v>
      </c>
      <c r="G30" s="181">
        <v>0</v>
      </c>
      <c r="H30" s="283">
        <v>1</v>
      </c>
      <c r="I30" s="182">
        <f t="shared" si="9"/>
        <v>0</v>
      </c>
      <c r="J30" s="123" t="str">
        <f>IFERROR((G28/E30*100)-100,"-")</f>
        <v>-</v>
      </c>
      <c r="K30" s="124">
        <f>IFERROR(H30-F30,"-")</f>
        <v>1</v>
      </c>
      <c r="L30" s="125" t="str">
        <f t="shared" si="7"/>
        <v>-</v>
      </c>
      <c r="O30" s="19" t="s">
        <v>63</v>
      </c>
    </row>
    <row r="31" spans="2:15" ht="21.2" customHeight="1">
      <c r="B31" s="318"/>
      <c r="C31" s="97" t="s">
        <v>32</v>
      </c>
      <c r="D31" s="264">
        <v>0</v>
      </c>
      <c r="E31" s="250">
        <v>0</v>
      </c>
      <c r="F31" s="250">
        <v>0</v>
      </c>
      <c r="G31" s="150">
        <v>0</v>
      </c>
      <c r="H31" s="284">
        <v>21</v>
      </c>
      <c r="I31" s="148">
        <f t="shared" si="9"/>
        <v>0</v>
      </c>
      <c r="J31" s="98" t="str">
        <f>IFERROR((G29/E31*100)-100,"-")</f>
        <v>-</v>
      </c>
      <c r="K31" s="99">
        <f t="shared" si="6"/>
        <v>21</v>
      </c>
      <c r="L31" s="101" t="str">
        <f t="shared" si="7"/>
        <v>-</v>
      </c>
      <c r="O31" s="19" t="s">
        <v>64</v>
      </c>
    </row>
    <row r="32" spans="2:15" ht="21.2" customHeight="1">
      <c r="B32" s="318" t="s">
        <v>39</v>
      </c>
      <c r="C32" s="122" t="s">
        <v>31</v>
      </c>
      <c r="D32" s="265">
        <v>78522</v>
      </c>
      <c r="E32" s="254">
        <v>8246</v>
      </c>
      <c r="F32" s="256">
        <v>61883</v>
      </c>
      <c r="G32" s="278">
        <v>8099</v>
      </c>
      <c r="H32" s="280">
        <v>81149</v>
      </c>
      <c r="I32" s="182">
        <f t="shared" si="9"/>
        <v>-147</v>
      </c>
      <c r="J32" s="123">
        <f t="shared" si="5"/>
        <v>-1.7826825127334445</v>
      </c>
      <c r="K32" s="124">
        <f t="shared" si="6"/>
        <v>19266</v>
      </c>
      <c r="L32" s="125">
        <f t="shared" si="7"/>
        <v>31.132944427387173</v>
      </c>
      <c r="O32" s="19" t="s">
        <v>65</v>
      </c>
    </row>
    <row r="33" spans="2:15" ht="21.2" customHeight="1">
      <c r="B33" s="318"/>
      <c r="C33" s="97" t="s">
        <v>32</v>
      </c>
      <c r="D33" s="264">
        <v>1262971</v>
      </c>
      <c r="E33" s="255">
        <v>137000</v>
      </c>
      <c r="F33" s="252">
        <v>996063</v>
      </c>
      <c r="G33" s="267">
        <v>128358</v>
      </c>
      <c r="H33" s="276">
        <v>1233800</v>
      </c>
      <c r="I33" s="148">
        <f t="shared" si="9"/>
        <v>-8642</v>
      </c>
      <c r="J33" s="98">
        <f t="shared" si="5"/>
        <v>-6.3080291970802875</v>
      </c>
      <c r="K33" s="99">
        <f t="shared" si="6"/>
        <v>237737</v>
      </c>
      <c r="L33" s="101">
        <f t="shared" si="7"/>
        <v>23.867667004998665</v>
      </c>
      <c r="O33" s="19" t="s">
        <v>66</v>
      </c>
    </row>
    <row r="34" spans="2:15" ht="21.2" customHeight="1">
      <c r="B34" s="318" t="s">
        <v>40</v>
      </c>
      <c r="C34" s="122" t="s">
        <v>31</v>
      </c>
      <c r="D34" s="265">
        <v>144194</v>
      </c>
      <c r="E34" s="254">
        <v>14448</v>
      </c>
      <c r="F34" s="256">
        <v>115729</v>
      </c>
      <c r="G34" s="278">
        <v>13218</v>
      </c>
      <c r="H34" s="280">
        <v>143682</v>
      </c>
      <c r="I34" s="182">
        <f t="shared" si="9"/>
        <v>-1230</v>
      </c>
      <c r="J34" s="123">
        <f t="shared" si="5"/>
        <v>-8.5132890365448475</v>
      </c>
      <c r="K34" s="124">
        <f t="shared" si="6"/>
        <v>27953</v>
      </c>
      <c r="L34" s="125">
        <f t="shared" si="7"/>
        <v>24.153842165749296</v>
      </c>
      <c r="O34" s="19" t="s">
        <v>67</v>
      </c>
    </row>
    <row r="35" spans="2:15" ht="21.2" customHeight="1">
      <c r="B35" s="318"/>
      <c r="C35" s="97" t="s">
        <v>32</v>
      </c>
      <c r="D35" s="264">
        <v>2071805</v>
      </c>
      <c r="E35" s="255">
        <v>210711</v>
      </c>
      <c r="F35" s="252">
        <v>1662936</v>
      </c>
      <c r="G35" s="279">
        <v>187244</v>
      </c>
      <c r="H35" s="276">
        <v>1989033</v>
      </c>
      <c r="I35" s="148">
        <f t="shared" si="9"/>
        <v>-23467</v>
      </c>
      <c r="J35" s="98">
        <f t="shared" si="5"/>
        <v>-11.137055018485029</v>
      </c>
      <c r="K35" s="99">
        <f t="shared" si="6"/>
        <v>326097</v>
      </c>
      <c r="L35" s="101">
        <f t="shared" si="7"/>
        <v>19.609714384678668</v>
      </c>
      <c r="O35" s="19" t="s">
        <v>68</v>
      </c>
    </row>
    <row r="36" spans="2:15" ht="21.2" customHeight="1">
      <c r="B36" s="318" t="s">
        <v>41</v>
      </c>
      <c r="C36" s="122" t="s">
        <v>31</v>
      </c>
      <c r="D36" s="265">
        <v>51128</v>
      </c>
      <c r="E36" s="254">
        <v>5426</v>
      </c>
      <c r="F36" s="256">
        <v>38249</v>
      </c>
      <c r="G36" s="278">
        <v>8503</v>
      </c>
      <c r="H36" s="280">
        <v>49783</v>
      </c>
      <c r="I36" s="182">
        <f t="shared" si="9"/>
        <v>3077</v>
      </c>
      <c r="J36" s="123">
        <f t="shared" si="5"/>
        <v>56.708440840398083</v>
      </c>
      <c r="K36" s="124">
        <f t="shared" si="6"/>
        <v>11534</v>
      </c>
      <c r="L36" s="125">
        <f t="shared" si="7"/>
        <v>30.155036732986474</v>
      </c>
      <c r="O36" s="19" t="s">
        <v>69</v>
      </c>
    </row>
    <row r="37" spans="2:15" ht="21.2" customHeight="1">
      <c r="B37" s="324"/>
      <c r="C37" s="102" t="s">
        <v>32</v>
      </c>
      <c r="D37" s="266">
        <v>747170</v>
      </c>
      <c r="E37" s="257">
        <v>65703</v>
      </c>
      <c r="F37" s="258">
        <v>566875</v>
      </c>
      <c r="G37" s="281">
        <v>97607</v>
      </c>
      <c r="H37" s="282">
        <v>662008</v>
      </c>
      <c r="I37" s="155">
        <f t="shared" si="9"/>
        <v>31904</v>
      </c>
      <c r="J37" s="103">
        <f t="shared" si="5"/>
        <v>48.557904509687546</v>
      </c>
      <c r="K37" s="104">
        <f t="shared" si="6"/>
        <v>95133</v>
      </c>
      <c r="L37" s="105">
        <f t="shared" si="7"/>
        <v>16.782006615214982</v>
      </c>
      <c r="O37" s="19" t="s">
        <v>70</v>
      </c>
    </row>
    <row r="38" spans="2:15" ht="21.2" customHeight="1">
      <c r="E38" s="19"/>
      <c r="H38" s="172"/>
    </row>
    <row r="39" spans="2:15" ht="21.2" customHeight="1">
      <c r="E39" s="19"/>
      <c r="H39" s="172"/>
    </row>
    <row r="40" spans="2:15">
      <c r="E40" s="19"/>
      <c r="H40" s="172"/>
    </row>
    <row r="41" spans="2:15">
      <c r="E41" s="19"/>
      <c r="H41" s="172"/>
    </row>
    <row r="42" spans="2:15">
      <c r="E42" s="19"/>
      <c r="H42" s="172"/>
    </row>
    <row r="43" spans="2:15">
      <c r="E43" s="19"/>
      <c r="H43" s="172"/>
    </row>
    <row r="44" spans="2:15">
      <c r="E44" s="19"/>
      <c r="H44" s="17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2024-10-28T06:10:59Z</cp:lastPrinted>
  <dcterms:created xsi:type="dcterms:W3CDTF">1998-03-31T03:01:22Z</dcterms:created>
  <dcterms:modified xsi:type="dcterms:W3CDTF">2025-12-02T05:48:30Z</dcterms:modified>
</cp:coreProperties>
</file>