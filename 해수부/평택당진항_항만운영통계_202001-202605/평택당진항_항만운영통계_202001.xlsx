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7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<sst xmlns="http://schemas.openxmlformats.org/spreadsheetml/2006/main" count="126" uniqueCount="82">
  <si>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</si>
  <si>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</si>
  <si>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</si>
  <si>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</si>
  <si>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</si>
  <si>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</si>
  <si>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</si>
  <si>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</si>
  <si>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</si>
  <si>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</si>
  <si>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</si>
  <si>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</si>
  <si>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</si>
  <si>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</si>
  <si>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</si>
  <si>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</si>
  <si>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</si>
  <si>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</si>
  <si>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</si>
  <si>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</si>
  <si>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</si>
  <si>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</si>
  <si>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</si>
  <si>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</si>
  <si>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</si>
  <si>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</si>
  <si>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</si>
  <si>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</si>
  <si>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</si>
  <si>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</si>
  <si>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</si>
  <si>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</si>
  <si>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</si>
  <si>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</si>
  <si>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</si>
  <si>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</si>
  <si>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</si>
  <si>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</si>
  <si>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</si>
  <si>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</si>
  <si>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</si>
  <si>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</si>
  <si>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</si>
  <si>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</si>
  <si>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</si>
  <si>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</si>
  <si>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</si>
  <si>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</si>
  <si>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</si>
  <si>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</si>
  <si>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</si>
  <si>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</si>
  <si>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</si>
  <si>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</si>
  <si>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</si>
  <si>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</si>
  <si>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</si>
  <si>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</si>
  <si>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</si>
  <si>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</si>
  <si>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</si>
  <si>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</si>
  <si>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</si>
  <si>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</si>
  <si>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</si>
  <si>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</si>
  <si>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</si>
  <si>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</si>
  <si>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</si>
  <si>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</si>
  <si>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</si>
  <si>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</si>
  <si>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</si>
  <si>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(2020. 1월분)</t>
    <phoneticPr fontId="5" type="noConversion"/>
  </si>
  <si>
    <t>2019년도</t>
    <phoneticPr fontId="5" type="noConversion"/>
  </si>
  <si>
    <t>1월(A)</t>
    <phoneticPr fontId="5" type="noConversion"/>
  </si>
  <si>
    <t>1월누계(B)</t>
    <phoneticPr fontId="5" type="noConversion"/>
  </si>
  <si>
    <t>2020년도</t>
    <phoneticPr fontId="5" type="noConversion"/>
  </si>
  <si>
    <t>1월(C)</t>
    <phoneticPr fontId="5" type="noConversion"/>
  </si>
  <si>
    <t>1월누계(D)</t>
    <phoneticPr fontId="5" type="noConversion"/>
  </si>
  <si>
    <t>2020년도</t>
    <phoneticPr fontId="5" type="noConversion"/>
  </si>
  <si>
    <t>(단위 : 척)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</si>
</sst>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7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176" fontId="12" fillId="6" borderId="8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10102479</c:v>
                </c:pt>
              </c:numCache>
            </c:numRef>
          </c:val>
        </c:ser>
        <c:ser>
          <c:idx val="1"/>
          <c:order val="1"/>
          <c:tx>
            <c:v>'20년 1월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9864211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5393920"/>
        <c:axId val="205395456"/>
        <c:axId val="0"/>
      </c:bar3DChart>
      <c:catAx>
        <c:axId val="205393920"/>
        <c:scaling>
          <c:orientation val="minMax"/>
        </c:scaling>
        <c:delete val="1"/>
        <c:axPos val="b"/>
        <c:majorTickMark val="out"/>
        <c:minorTickMark val="none"/>
        <c:tickLblPos val="none"/>
        <c:crossAx val="205395456"/>
        <c:crosses val="autoZero"/>
        <c:auto val="1"/>
        <c:lblAlgn val="ctr"/>
        <c:lblOffset val="100"/>
        <c:noMultiLvlLbl val="0"/>
      </c:catAx>
      <c:valAx>
        <c:axId val="20539545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393920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60924</c:v>
                </c:pt>
              </c:numCache>
            </c:numRef>
          </c:val>
        </c:ser>
        <c:ser>
          <c:idx val="1"/>
          <c:order val="1"/>
          <c:tx>
            <c:v>'20년 1월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57921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5140352"/>
        <c:axId val="205141888"/>
        <c:axId val="0"/>
      </c:bar3DChart>
      <c:catAx>
        <c:axId val="205140352"/>
        <c:scaling>
          <c:orientation val="minMax"/>
        </c:scaling>
        <c:delete val="1"/>
        <c:axPos val="b"/>
        <c:majorTickMark val="out"/>
        <c:minorTickMark val="none"/>
        <c:tickLblPos val="none"/>
        <c:crossAx val="205141888"/>
        <c:crosses val="autoZero"/>
        <c:auto val="1"/>
        <c:lblAlgn val="ctr"/>
        <c:lblOffset val="100"/>
        <c:noMultiLvlLbl val="0"/>
      </c:catAx>
      <c:valAx>
        <c:axId val="20514188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14035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20.100000000000001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9864.2109999999993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07808"/>
        <c:axId val="205242752"/>
      </c:lineChart>
      <c:catAx>
        <c:axId val="20520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4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242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078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20.100000000000001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57921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70528"/>
        <c:axId val="213272448"/>
      </c:lineChart>
      <c:catAx>
        <c:axId val="21327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272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2724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2705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20.100000000000001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96640"/>
        <c:axId val="213298560"/>
      </c:lineChart>
      <c:catAx>
        <c:axId val="2132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29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2985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296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20.100000000000001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1514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87072"/>
        <c:axId val="213588992"/>
      </c:lineChart>
      <c:catAx>
        <c:axId val="21358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58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5889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5870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20.100000000000001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1514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25472"/>
        <c:axId val="213627648"/>
      </c:lineChart>
      <c:catAx>
        <c:axId val="21362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62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627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6254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228600</xdr:rowOff>
    </xdr:from>
    <xdr:to>
      <xdr:col>7</xdr:col>
      <xdr:colOff>95250</xdr:colOff>
      <xdr:row>39</xdr:row>
      <xdr:rowOff>133350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O21" sqref="O21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1"/>
      <c r="M1" s="181"/>
    </row>
    <row r="2" spans="2:13" ht="33" customHeight="1">
      <c r="B2" s="193" t="s">
        <v>49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2:13" ht="27.75" customHeight="1">
      <c r="B3" s="195" t="s">
        <v>73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</row>
    <row r="4" spans="2:13" ht="21.2" customHeight="1" thickBot="1">
      <c r="B4" s="202" t="s">
        <v>71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</row>
    <row r="5" spans="2:13" ht="21.2" customHeight="1">
      <c r="B5" s="187" t="s">
        <v>7</v>
      </c>
      <c r="C5" s="188"/>
      <c r="D5" s="189"/>
      <c r="E5" s="39"/>
      <c r="F5" s="185" t="s">
        <v>74</v>
      </c>
      <c r="G5" s="196"/>
      <c r="H5" s="213" t="s">
        <v>77</v>
      </c>
      <c r="I5" s="213"/>
      <c r="J5" s="184" t="s">
        <v>15</v>
      </c>
      <c r="K5" s="185"/>
      <c r="L5" s="185"/>
      <c r="M5" s="186"/>
    </row>
    <row r="6" spans="2:13" ht="20.25" customHeight="1">
      <c r="B6" s="190"/>
      <c r="C6" s="191"/>
      <c r="D6" s="192"/>
      <c r="E6" s="40" t="s">
        <v>11</v>
      </c>
      <c r="F6" s="41" t="s">
        <v>75</v>
      </c>
      <c r="G6" s="42" t="s">
        <v>76</v>
      </c>
      <c r="H6" s="41" t="s">
        <v>78</v>
      </c>
      <c r="I6" s="43" t="s">
        <v>79</v>
      </c>
      <c r="J6" s="42" t="s">
        <v>57</v>
      </c>
      <c r="K6" s="44" t="s">
        <v>16</v>
      </c>
      <c r="L6" s="45" t="s">
        <v>18</v>
      </c>
      <c r="M6" s="46" t="s">
        <v>16</v>
      </c>
    </row>
    <row r="7" spans="2:13" ht="21.2" customHeight="1">
      <c r="B7" s="207" t="s">
        <v>21</v>
      </c>
      <c r="C7" s="182" t="s">
        <v>12</v>
      </c>
      <c r="D7" s="183"/>
      <c r="E7" s="13">
        <f>SUM(E8:E9)</f>
        <v>18416</v>
      </c>
      <c r="F7" s="13">
        <f>SUM(F8:F9)</f>
        <v>1679</v>
      </c>
      <c r="G7" s="13">
        <f>SUM(G8:G9)</f>
        <v>1679</v>
      </c>
      <c r="H7" s="13">
        <f>SUM(H8:H9)</f>
        <v>1514</v>
      </c>
      <c r="I7" s="13">
        <f>SUM(I8:I9)</f>
        <v>1514</v>
      </c>
      <c r="J7" s="13">
        <f>H7-F7</f>
        <v>-165</v>
      </c>
      <c r="K7" s="16">
        <f>H7/F7</f>
        <v>0.90172721858248961</v>
      </c>
      <c r="L7" s="14">
        <f>I7-G7</f>
        <v>-165</v>
      </c>
      <c r="M7" s="24">
        <f>I7/G7</f>
        <v>0.90172721858248961</v>
      </c>
    </row>
    <row r="8" spans="2:13" ht="19.5" customHeight="1">
      <c r="B8" s="208"/>
      <c r="C8" s="198" t="s">
        <v>9</v>
      </c>
      <c r="D8" s="199"/>
      <c r="E8" s="20">
        <v>11525</v>
      </c>
      <c r="F8" s="20">
        <v>1059</v>
      </c>
      <c r="G8" s="21">
        <v>1059</v>
      </c>
      <c r="H8" s="20">
        <v>927</v>
      </c>
      <c r="I8" s="20">
        <v>927</v>
      </c>
      <c r="J8" s="4">
        <f t="shared" ref="J8:J28" si="0">H8-F8</f>
        <v>-132</v>
      </c>
      <c r="K8" s="18">
        <f t="shared" ref="K8:K28" si="1">H8/F8</f>
        <v>0.87535410764872523</v>
      </c>
      <c r="L8" s="19">
        <f t="shared" ref="L8:L28" si="2">I8-G8</f>
        <v>-132</v>
      </c>
      <c r="M8" s="26">
        <f t="shared" ref="M8:M28" si="3">I8/G8</f>
        <v>0.87535410764872523</v>
      </c>
    </row>
    <row r="9" spans="2:13" ht="19.5" customHeight="1">
      <c r="B9" s="209"/>
      <c r="C9" s="200" t="s">
        <v>10</v>
      </c>
      <c r="D9" s="201"/>
      <c r="E9" s="21">
        <v>6891</v>
      </c>
      <c r="F9" s="21">
        <v>620</v>
      </c>
      <c r="G9" s="21">
        <v>620</v>
      </c>
      <c r="H9" s="21">
        <v>587</v>
      </c>
      <c r="I9" s="21">
        <v>587</v>
      </c>
      <c r="J9" s="21">
        <f t="shared" si="0"/>
        <v>-33</v>
      </c>
      <c r="K9" s="22">
        <f t="shared" si="1"/>
        <v>0.9467741935483871</v>
      </c>
      <c r="L9" s="23">
        <f t="shared" si="2"/>
        <v>-33</v>
      </c>
      <c r="M9" s="27">
        <f t="shared" si="3"/>
        <v>0.9467741935483871</v>
      </c>
    </row>
    <row r="10" spans="2:13" ht="21.2" customHeight="1">
      <c r="B10" s="207" t="s">
        <v>22</v>
      </c>
      <c r="C10" s="182" t="s">
        <v>8</v>
      </c>
      <c r="D10" s="183"/>
      <c r="E10" s="47">
        <f>E11+E15</f>
        <v>113201331</v>
      </c>
      <c r="F10" s="47">
        <f>F11+F15</f>
        <v>10102479</v>
      </c>
      <c r="G10" s="47">
        <f>G11+G15</f>
        <v>10102479</v>
      </c>
      <c r="H10" s="47">
        <f>H11+H15</f>
        <v>9864211</v>
      </c>
      <c r="I10" s="47">
        <f>I11+I15</f>
        <v>9864211</v>
      </c>
      <c r="J10" s="47">
        <f t="shared" si="0"/>
        <v>-238268</v>
      </c>
      <c r="K10" s="16">
        <f t="shared" si="1"/>
        <v>0.97641489776915147</v>
      </c>
      <c r="L10" s="51">
        <f>I10-G10</f>
        <v>-238268</v>
      </c>
      <c r="M10" s="24">
        <f t="shared" si="3"/>
        <v>0.97641489776915147</v>
      </c>
    </row>
    <row r="11" spans="2:13" ht="19.5" customHeight="1">
      <c r="B11" s="208"/>
      <c r="C11" s="204" t="s">
        <v>1</v>
      </c>
      <c r="D11" s="102" t="s">
        <v>0</v>
      </c>
      <c r="E11" s="96">
        <f>SUM(E12:E14)</f>
        <v>102609234</v>
      </c>
      <c r="F11" s="96">
        <f>SUM(F12:F14)</f>
        <v>9069043</v>
      </c>
      <c r="G11" s="96">
        <f>SUM(G12:G14)</f>
        <v>9069043</v>
      </c>
      <c r="H11" s="96">
        <f>SUM(H12:H14)</f>
        <v>8941004</v>
      </c>
      <c r="I11" s="96">
        <f>SUM(I12:I14)</f>
        <v>8941004</v>
      </c>
      <c r="J11" s="97">
        <f t="shared" si="0"/>
        <v>-128039</v>
      </c>
      <c r="K11" s="98">
        <f t="shared" si="1"/>
        <v>0.98588175180115478</v>
      </c>
      <c r="L11" s="99">
        <f t="shared" si="2"/>
        <v>-128039</v>
      </c>
      <c r="M11" s="100">
        <f t="shared" si="3"/>
        <v>0.98588175180115478</v>
      </c>
    </row>
    <row r="12" spans="2:13" ht="19.5" customHeight="1">
      <c r="B12" s="208"/>
      <c r="C12" s="205"/>
      <c r="D12" s="5" t="s">
        <v>5</v>
      </c>
      <c r="E12" s="48">
        <v>80537389</v>
      </c>
      <c r="F12" s="48">
        <v>7213456</v>
      </c>
      <c r="G12" s="48">
        <v>7213456</v>
      </c>
      <c r="H12" s="48">
        <v>7189727</v>
      </c>
      <c r="I12" s="48">
        <v>7189727</v>
      </c>
      <c r="J12" s="97">
        <f t="shared" si="0"/>
        <v>-23729</v>
      </c>
      <c r="K12" s="18">
        <f t="shared" si="1"/>
        <v>0.99671045335273412</v>
      </c>
      <c r="L12" s="50">
        <f t="shared" si="2"/>
        <v>-23729</v>
      </c>
      <c r="M12" s="26">
        <f t="shared" si="3"/>
        <v>0.99671045335273412</v>
      </c>
    </row>
    <row r="13" spans="2:13" ht="19.5" customHeight="1">
      <c r="B13" s="208"/>
      <c r="C13" s="205"/>
      <c r="D13" s="5" t="s">
        <v>6</v>
      </c>
      <c r="E13" s="48">
        <v>15743706</v>
      </c>
      <c r="F13" s="48">
        <v>1375106</v>
      </c>
      <c r="G13" s="48">
        <v>1375106</v>
      </c>
      <c r="H13" s="48">
        <v>1259850</v>
      </c>
      <c r="I13" s="48">
        <v>1259850</v>
      </c>
      <c r="J13" s="97">
        <f t="shared" si="0"/>
        <v>-115256</v>
      </c>
      <c r="K13" s="18">
        <f t="shared" si="1"/>
        <v>0.9161839160035663</v>
      </c>
      <c r="L13" s="50">
        <f t="shared" si="2"/>
        <v>-115256</v>
      </c>
      <c r="M13" s="26">
        <f t="shared" si="3"/>
        <v>0.9161839160035663</v>
      </c>
    </row>
    <row r="14" spans="2:13" ht="19.5" customHeight="1">
      <c r="B14" s="208"/>
      <c r="C14" s="206"/>
      <c r="D14" s="5" t="s">
        <v>13</v>
      </c>
      <c r="E14" s="48">
        <v>6328139</v>
      </c>
      <c r="F14" s="48">
        <v>480481</v>
      </c>
      <c r="G14" s="48">
        <v>480481</v>
      </c>
      <c r="H14" s="48">
        <v>491427</v>
      </c>
      <c r="I14" s="48">
        <v>491427</v>
      </c>
      <c r="J14" s="97">
        <f t="shared" si="0"/>
        <v>10946</v>
      </c>
      <c r="K14" s="18">
        <f>H14/F14</f>
        <v>1.0227813378676784</v>
      </c>
      <c r="L14" s="50">
        <f t="shared" si="2"/>
        <v>10946</v>
      </c>
      <c r="M14" s="26">
        <f t="shared" si="3"/>
        <v>1.0227813378676784</v>
      </c>
    </row>
    <row r="15" spans="2:13" ht="19.5" customHeight="1">
      <c r="B15" s="208"/>
      <c r="C15" s="214" t="s">
        <v>2</v>
      </c>
      <c r="D15" s="101" t="s">
        <v>0</v>
      </c>
      <c r="E15" s="91">
        <f>SUM(E16:E18)</f>
        <v>10592097</v>
      </c>
      <c r="F15" s="91">
        <f>SUM(F16:F18)</f>
        <v>1033436</v>
      </c>
      <c r="G15" s="91">
        <f>SUM(G16:G18)</f>
        <v>1033436</v>
      </c>
      <c r="H15" s="91">
        <f>SUM(H16:H18)</f>
        <v>923207</v>
      </c>
      <c r="I15" s="91">
        <f>SUM(I16:I18)</f>
        <v>923207</v>
      </c>
      <c r="J15" s="92">
        <f t="shared" si="0"/>
        <v>-110229</v>
      </c>
      <c r="K15" s="93">
        <f t="shared" si="1"/>
        <v>0.89333737164178528</v>
      </c>
      <c r="L15" s="94">
        <f t="shared" si="2"/>
        <v>-110229</v>
      </c>
      <c r="M15" s="95">
        <f t="shared" si="3"/>
        <v>0.89333737164178528</v>
      </c>
    </row>
    <row r="16" spans="2:13" ht="19.5" customHeight="1">
      <c r="B16" s="208"/>
      <c r="C16" s="215"/>
      <c r="D16" s="5" t="s">
        <v>3</v>
      </c>
      <c r="E16" s="48">
        <v>7499173</v>
      </c>
      <c r="F16" s="48">
        <v>740107</v>
      </c>
      <c r="G16" s="48">
        <v>740107</v>
      </c>
      <c r="H16" s="48">
        <v>645106</v>
      </c>
      <c r="I16" s="48">
        <v>645106</v>
      </c>
      <c r="J16" s="92">
        <f t="shared" si="0"/>
        <v>-95001</v>
      </c>
      <c r="K16" s="18">
        <f t="shared" si="1"/>
        <v>0.87163883060152114</v>
      </c>
      <c r="L16" s="50">
        <f t="shared" si="2"/>
        <v>-95001</v>
      </c>
      <c r="M16" s="26">
        <f t="shared" si="3"/>
        <v>0.87163883060152114</v>
      </c>
    </row>
    <row r="17" spans="1:13" ht="19.5" customHeight="1">
      <c r="B17" s="208"/>
      <c r="C17" s="215"/>
      <c r="D17" s="6" t="s">
        <v>4</v>
      </c>
      <c r="E17" s="49">
        <v>3086684</v>
      </c>
      <c r="F17" s="49">
        <v>293329</v>
      </c>
      <c r="G17" s="49">
        <v>293329</v>
      </c>
      <c r="H17" s="49">
        <v>278101</v>
      </c>
      <c r="I17" s="49">
        <v>278101</v>
      </c>
      <c r="J17" s="92">
        <f t="shared" si="0"/>
        <v>-15228</v>
      </c>
      <c r="K17" s="18">
        <f t="shared" si="1"/>
        <v>0.94808559671904247</v>
      </c>
      <c r="L17" s="50">
        <f t="shared" si="2"/>
        <v>-15228</v>
      </c>
      <c r="M17" s="26">
        <f t="shared" si="3"/>
        <v>0.94808559671904247</v>
      </c>
    </row>
    <row r="18" spans="1:13" ht="19.5" customHeight="1">
      <c r="B18" s="209"/>
      <c r="C18" s="216"/>
      <c r="D18" s="6" t="s">
        <v>17</v>
      </c>
      <c r="E18" s="49">
        <v>6240</v>
      </c>
      <c r="F18" s="168">
        <v>0</v>
      </c>
      <c r="G18" s="168">
        <v>0</v>
      </c>
      <c r="H18" s="168">
        <v>0</v>
      </c>
      <c r="I18" s="168">
        <v>0</v>
      </c>
      <c r="J18" s="92">
        <f t="shared" si="0"/>
        <v>0</v>
      </c>
      <c r="K18" s="18" t="e">
        <f t="shared" si="1"/>
        <v>#DIV/0!</v>
      </c>
      <c r="L18" s="50">
        <f t="shared" si="2"/>
        <v>0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0" t="s">
        <v>23</v>
      </c>
      <c r="L19" s="211"/>
      <c r="M19" s="212"/>
    </row>
    <row r="20" spans="1:13" ht="21.2" customHeight="1">
      <c r="B20" s="28"/>
      <c r="C20" s="182" t="s">
        <v>8</v>
      </c>
      <c r="D20" s="183"/>
      <c r="E20" s="108">
        <f>SUM(E21,E25)</f>
        <v>725047</v>
      </c>
      <c r="F20" s="3">
        <f>SUM(F21,F25)</f>
        <v>60924</v>
      </c>
      <c r="G20" s="3">
        <f>SUM(G21,G25)</f>
        <v>60924</v>
      </c>
      <c r="H20" s="108">
        <f>SUM(H21,H25)</f>
        <v>57921</v>
      </c>
      <c r="I20" s="108">
        <f>SUM(I21,I25)</f>
        <v>57921</v>
      </c>
      <c r="J20" s="109">
        <f t="shared" si="0"/>
        <v>-3003</v>
      </c>
      <c r="K20" s="110">
        <f t="shared" si="1"/>
        <v>0.95070908016545208</v>
      </c>
      <c r="L20" s="111">
        <f t="shared" si="2"/>
        <v>-3003</v>
      </c>
      <c r="M20" s="24">
        <f>I20/G20</f>
        <v>0.95070908016545208</v>
      </c>
    </row>
    <row r="21" spans="1:13" ht="19.5" customHeight="1">
      <c r="B21" s="25"/>
      <c r="C21" s="197" t="s">
        <v>1</v>
      </c>
      <c r="D21" s="103" t="s">
        <v>0</v>
      </c>
      <c r="E21" s="104">
        <f>SUM(E22:E24)</f>
        <v>725047</v>
      </c>
      <c r="F21" s="104">
        <f>SUM(F22:F24)</f>
        <v>60924</v>
      </c>
      <c r="G21" s="104">
        <f>SUM(G22:G24)</f>
        <v>60924</v>
      </c>
      <c r="H21" s="104">
        <f>SUM(H22:H24)</f>
        <v>57921</v>
      </c>
      <c r="I21" s="104">
        <f>SUM(I22:I24)</f>
        <v>57921</v>
      </c>
      <c r="J21" s="105">
        <f t="shared" si="0"/>
        <v>-3003</v>
      </c>
      <c r="K21" s="106">
        <f t="shared" si="1"/>
        <v>0.95070908016545208</v>
      </c>
      <c r="L21" s="107">
        <f t="shared" si="2"/>
        <v>-3003</v>
      </c>
      <c r="M21" s="100">
        <f t="shared" si="3"/>
        <v>0.95070908016545208</v>
      </c>
    </row>
    <row r="22" spans="1:13" ht="19.5" customHeight="1">
      <c r="B22" s="52" t="s">
        <v>19</v>
      </c>
      <c r="C22" s="197"/>
      <c r="D22" s="55" t="s">
        <v>5</v>
      </c>
      <c r="E22" s="57">
        <v>359665</v>
      </c>
      <c r="F22" s="57">
        <v>30921</v>
      </c>
      <c r="G22" s="57">
        <v>30921</v>
      </c>
      <c r="H22" s="57">
        <v>30311</v>
      </c>
      <c r="I22" s="57">
        <v>30311</v>
      </c>
      <c r="J22" s="105">
        <f t="shared" si="0"/>
        <v>-610</v>
      </c>
      <c r="K22" s="54">
        <f t="shared" si="1"/>
        <v>0.9802723068464797</v>
      </c>
      <c r="L22" s="23">
        <f t="shared" si="2"/>
        <v>-610</v>
      </c>
      <c r="M22" s="26">
        <f t="shared" si="3"/>
        <v>0.9802723068464797</v>
      </c>
    </row>
    <row r="23" spans="1:13" ht="19.5" customHeight="1">
      <c r="B23" s="52" t="s">
        <v>20</v>
      </c>
      <c r="C23" s="197"/>
      <c r="D23" s="2" t="s">
        <v>14</v>
      </c>
      <c r="E23" s="57">
        <v>353048</v>
      </c>
      <c r="F23" s="57">
        <v>29358</v>
      </c>
      <c r="G23" s="57">
        <v>29358</v>
      </c>
      <c r="H23" s="57">
        <v>26226</v>
      </c>
      <c r="I23" s="57">
        <v>26226</v>
      </c>
      <c r="J23" s="105">
        <f t="shared" si="0"/>
        <v>-3132</v>
      </c>
      <c r="K23" s="54">
        <f t="shared" si="1"/>
        <v>0.89331698344573884</v>
      </c>
      <c r="L23" s="19">
        <f t="shared" si="2"/>
        <v>-3132</v>
      </c>
      <c r="M23" s="26">
        <f t="shared" si="3"/>
        <v>0.89331698344573884</v>
      </c>
    </row>
    <row r="24" spans="1:13" ht="19.5" customHeight="1">
      <c r="B24" s="31"/>
      <c r="C24" s="197"/>
      <c r="D24" s="2" t="s">
        <v>13</v>
      </c>
      <c r="E24" s="57">
        <v>12334</v>
      </c>
      <c r="F24" s="57">
        <v>645</v>
      </c>
      <c r="G24" s="57">
        <v>645</v>
      </c>
      <c r="H24" s="57">
        <v>1384</v>
      </c>
      <c r="I24" s="57">
        <v>1384</v>
      </c>
      <c r="J24" s="105">
        <f t="shared" si="0"/>
        <v>739</v>
      </c>
      <c r="K24" s="54">
        <f t="shared" si="1"/>
        <v>2.1457364341085272</v>
      </c>
      <c r="L24" s="19">
        <f t="shared" si="2"/>
        <v>739</v>
      </c>
      <c r="M24" s="26">
        <f t="shared" si="3"/>
        <v>2.1457364341085272</v>
      </c>
    </row>
    <row r="25" spans="1:13" ht="19.5" customHeight="1">
      <c r="B25" s="25"/>
      <c r="C25" s="174" t="s">
        <v>2</v>
      </c>
      <c r="D25" s="103" t="s">
        <v>72</v>
      </c>
      <c r="E25" s="104">
        <f>SUM(E26:E27)</f>
        <v>0</v>
      </c>
      <c r="F25" s="104">
        <f>SUM(F26:F27)</f>
        <v>0</v>
      </c>
      <c r="G25" s="104">
        <f>SUM(G26:G27)</f>
        <v>0</v>
      </c>
      <c r="H25" s="104">
        <f>SUM(H26:H27)</f>
        <v>0</v>
      </c>
      <c r="I25" s="104">
        <f>SUM(I26:I27)</f>
        <v>0</v>
      </c>
      <c r="J25" s="105">
        <f t="shared" si="0"/>
        <v>0</v>
      </c>
      <c r="K25" s="54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4"/>
      <c r="D26" s="103" t="s">
        <v>72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105">
        <f t="shared" si="0"/>
        <v>0</v>
      </c>
      <c r="K26" s="54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4"/>
      <c r="D27" s="103" t="s">
        <v>72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105">
        <f t="shared" si="0"/>
        <v>0</v>
      </c>
      <c r="K27" s="54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9" customFormat="1" ht="21.2" customHeight="1" thickBot="1">
      <c r="B28" s="175" t="s">
        <v>69</v>
      </c>
      <c r="C28" s="176"/>
      <c r="D28" s="177"/>
      <c r="E28" s="150">
        <v>1523131</v>
      </c>
      <c r="F28" s="150">
        <v>123195</v>
      </c>
      <c r="G28" s="150">
        <v>123195</v>
      </c>
      <c r="H28" s="150">
        <v>104568</v>
      </c>
      <c r="I28" s="150">
        <v>104568</v>
      </c>
      <c r="J28" s="151">
        <f t="shared" si="0"/>
        <v>-18627</v>
      </c>
      <c r="K28" s="152">
        <f t="shared" si="1"/>
        <v>0.84880068184585411</v>
      </c>
      <c r="L28" s="153">
        <f t="shared" si="2"/>
        <v>-18627</v>
      </c>
      <c r="M28" s="154">
        <f t="shared" si="3"/>
        <v>0.84880068184585411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0" customFormat="1" ht="18.75" customHeight="1">
      <c r="A30" s="180" t="s">
        <v>27</v>
      </c>
    </row>
    <row r="31" spans="1:13" s="56" customFormat="1" ht="21.2" customHeight="1">
      <c r="B31" s="179" t="s">
        <v>24</v>
      </c>
      <c r="C31" s="179"/>
      <c r="D31" s="136"/>
      <c r="E31" s="136"/>
      <c r="F31" s="136"/>
      <c r="G31" s="136"/>
      <c r="H31" s="179" t="s">
        <v>25</v>
      </c>
      <c r="I31" s="179"/>
    </row>
    <row r="32" spans="1:13" s="53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3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3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3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78" customFormat="1" ht="24" customHeight="1"/>
    <row r="41" spans="2:13" ht="19.5" customHeight="1">
      <c r="B41" s="172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</row>
    <row r="42" spans="2:13" ht="19.5" customHeight="1">
      <c r="B42" s="172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N8" sqref="N8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61" customFormat="1" ht="18.75">
      <c r="A1" s="60" t="s">
        <v>28</v>
      </c>
    </row>
    <row r="2" spans="1:27" s="61" customFormat="1" ht="15" thickBot="1">
      <c r="A2"/>
      <c r="B2"/>
      <c r="C2"/>
      <c r="D2" s="169"/>
      <c r="E2" s="169"/>
      <c r="F2" s="217" t="s">
        <v>81</v>
      </c>
      <c r="G2" s="217"/>
      <c r="H2"/>
      <c r="I2"/>
      <c r="J2"/>
      <c r="K2" s="169"/>
      <c r="L2" s="169"/>
      <c r="M2" s="217" t="s">
        <v>29</v>
      </c>
      <c r="N2" s="217"/>
    </row>
    <row r="3" spans="1:27" s="61" customFormat="1" ht="32.25" customHeight="1">
      <c r="A3" s="62" t="s">
        <v>30</v>
      </c>
      <c r="B3" s="63">
        <v>15</v>
      </c>
      <c r="C3" s="63">
        <v>16</v>
      </c>
      <c r="D3" s="63">
        <v>17</v>
      </c>
      <c r="E3" s="63">
        <v>18</v>
      </c>
      <c r="F3" s="63">
        <v>19</v>
      </c>
      <c r="G3" s="170">
        <v>20.100000000000001</v>
      </c>
      <c r="H3" s="64" t="s">
        <v>30</v>
      </c>
      <c r="I3" s="63">
        <v>15</v>
      </c>
      <c r="J3" s="63">
        <v>16</v>
      </c>
      <c r="K3" s="63">
        <v>17</v>
      </c>
      <c r="L3" s="63">
        <v>18</v>
      </c>
      <c r="M3" s="63">
        <v>19</v>
      </c>
      <c r="N3" s="171">
        <f>$G$3</f>
        <v>20.100000000000001</v>
      </c>
    </row>
    <row r="4" spans="1:27" s="61" customFormat="1" ht="39.200000000000003" customHeight="1" thickBot="1">
      <c r="A4" s="88" t="s">
        <v>31</v>
      </c>
      <c r="B4" s="65">
        <v>19166</v>
      </c>
      <c r="C4" s="65">
        <v>19916</v>
      </c>
      <c r="D4" s="65">
        <v>19440</v>
      </c>
      <c r="E4" s="65">
        <v>18829</v>
      </c>
      <c r="F4" s="65">
        <v>18385</v>
      </c>
      <c r="G4" s="112">
        <f>통계요약!I7</f>
        <v>1514</v>
      </c>
      <c r="H4" s="88" t="s">
        <v>32</v>
      </c>
      <c r="I4" s="65">
        <v>102121</v>
      </c>
      <c r="J4" s="65">
        <v>112948</v>
      </c>
      <c r="K4" s="65">
        <v>112491</v>
      </c>
      <c r="L4" s="65">
        <v>115147</v>
      </c>
      <c r="M4" s="65">
        <v>112966</v>
      </c>
      <c r="N4" s="123">
        <f>통계요약!I10/1000</f>
        <v>9864.2109999999993</v>
      </c>
    </row>
    <row r="5" spans="1:27" s="61" customFormat="1" ht="30.2" customHeight="1" thickBot="1">
      <c r="A5"/>
      <c r="B5"/>
      <c r="C5"/>
      <c r="D5" s="169"/>
      <c r="E5" s="169"/>
      <c r="F5" s="218" t="s">
        <v>33</v>
      </c>
      <c r="G5" s="218"/>
      <c r="H5" s="66"/>
      <c r="I5" s="67"/>
      <c r="J5" s="67"/>
      <c r="K5" s="169"/>
      <c r="L5" s="169"/>
      <c r="M5" s="218" t="s">
        <v>34</v>
      </c>
      <c r="N5" s="218"/>
    </row>
    <row r="6" spans="1:27" s="61" customFormat="1" ht="32.25" customHeight="1">
      <c r="A6" s="62" t="s">
        <v>30</v>
      </c>
      <c r="B6" s="63">
        <v>15</v>
      </c>
      <c r="C6" s="63">
        <v>16</v>
      </c>
      <c r="D6" s="63">
        <v>17</v>
      </c>
      <c r="E6" s="63">
        <v>18</v>
      </c>
      <c r="F6" s="63">
        <v>19</v>
      </c>
      <c r="G6" s="171">
        <f>$G$3</f>
        <v>20.100000000000001</v>
      </c>
      <c r="H6" s="64" t="s">
        <v>30</v>
      </c>
      <c r="I6" s="63">
        <v>15</v>
      </c>
      <c r="J6" s="63">
        <v>16</v>
      </c>
      <c r="K6" s="63">
        <v>17</v>
      </c>
      <c r="L6" s="63">
        <v>18</v>
      </c>
      <c r="M6" s="63">
        <v>19</v>
      </c>
      <c r="N6" s="171">
        <f>$G$3</f>
        <v>20.100000000000001</v>
      </c>
    </row>
    <row r="7" spans="1:27" s="61" customFormat="1" ht="37.5" customHeight="1" thickBot="1">
      <c r="A7" s="88" t="s">
        <v>35</v>
      </c>
      <c r="B7" s="127">
        <v>565661</v>
      </c>
      <c r="C7" s="127">
        <v>623339</v>
      </c>
      <c r="D7" s="127">
        <v>643233</v>
      </c>
      <c r="E7" s="127">
        <v>689852</v>
      </c>
      <c r="F7" s="127">
        <v>723427</v>
      </c>
      <c r="G7" s="128">
        <f>통계요약!I20</f>
        <v>57921</v>
      </c>
      <c r="H7" s="88" t="s">
        <v>36</v>
      </c>
      <c r="I7" s="65">
        <v>494740</v>
      </c>
      <c r="J7" s="65">
        <v>435104</v>
      </c>
      <c r="K7" s="65">
        <v>482428</v>
      </c>
      <c r="L7" s="65">
        <v>452480</v>
      </c>
      <c r="M7" s="65">
        <v>623733</v>
      </c>
      <c r="N7" s="155">
        <v>40267</v>
      </c>
      <c r="AA7" s="143">
        <f>(19166/188141)^(1/4)-1</f>
        <v>-0.43504740355323723</v>
      </c>
    </row>
    <row r="12" spans="1:27" s="73" customFormat="1" ht="25.5" customHeight="1">
      <c r="A12" s="73" t="s">
        <v>37</v>
      </c>
    </row>
    <row r="13" spans="1:27" s="61" customFormat="1" ht="21.2" customHeight="1">
      <c r="A13" s="135" t="s">
        <v>52</v>
      </c>
      <c r="H13" s="135" t="s">
        <v>51</v>
      </c>
      <c r="I13" s="68"/>
      <c r="J13" s="69"/>
      <c r="K13" s="70"/>
      <c r="L13" s="71"/>
      <c r="M13" s="71"/>
      <c r="N13" s="71"/>
    </row>
    <row r="14" spans="1:27" s="61" customFormat="1" ht="24" customHeight="1">
      <c r="I14" s="68"/>
      <c r="J14" s="69"/>
      <c r="K14" s="70"/>
      <c r="L14" s="71"/>
      <c r="M14" s="71"/>
      <c r="N14" s="71"/>
    </row>
    <row r="15" spans="1:27" s="61" customFormat="1" ht="24" customHeight="1">
      <c r="I15" s="68"/>
      <c r="J15" s="69"/>
      <c r="K15" s="70"/>
      <c r="L15" s="71"/>
      <c r="M15" s="71"/>
      <c r="N15" s="71"/>
    </row>
    <row r="16" spans="1:27" s="61" customFormat="1" ht="24" customHeight="1">
      <c r="I16" s="68"/>
      <c r="J16" s="69"/>
      <c r="K16" s="70"/>
      <c r="L16" s="71"/>
      <c r="M16" s="71"/>
      <c r="N16" s="71"/>
    </row>
    <row r="17" spans="1:14" s="61" customFormat="1" ht="24" customHeight="1">
      <c r="I17" s="68"/>
      <c r="J17" s="69"/>
      <c r="K17" s="70"/>
      <c r="L17" s="71"/>
      <c r="M17" s="71"/>
      <c r="N17" s="71"/>
    </row>
    <row r="18" spans="1:14" s="61" customFormat="1" ht="24" customHeight="1">
      <c r="I18" s="68"/>
      <c r="J18" s="69"/>
      <c r="K18" s="70"/>
      <c r="L18" s="71"/>
      <c r="M18" s="71"/>
      <c r="N18" s="71"/>
    </row>
    <row r="19" spans="1:14" s="61" customFormat="1" ht="24" customHeight="1">
      <c r="I19" s="68"/>
      <c r="J19" s="69"/>
      <c r="K19" s="70"/>
      <c r="L19" s="71"/>
      <c r="M19" s="71"/>
      <c r="N19" s="71"/>
    </row>
    <row r="20" spans="1:14" s="61" customFormat="1" ht="24" customHeight="1">
      <c r="I20" s="68"/>
      <c r="J20" s="69"/>
      <c r="K20" s="70"/>
      <c r="L20" s="71"/>
      <c r="M20" s="71"/>
      <c r="N20" s="71"/>
    </row>
    <row r="21" spans="1:14" s="61" customFormat="1" ht="24" customHeight="1">
      <c r="I21" s="68"/>
      <c r="J21" s="69"/>
      <c r="K21" s="70"/>
      <c r="L21" s="71"/>
      <c r="M21" s="71"/>
      <c r="N21" s="71"/>
    </row>
    <row r="22" spans="1:14" s="61" customFormat="1" ht="36" customHeight="1">
      <c r="I22" s="68"/>
      <c r="J22" s="69"/>
      <c r="K22" s="70"/>
      <c r="L22" s="71"/>
      <c r="M22" s="71"/>
      <c r="N22" s="71"/>
    </row>
    <row r="23" spans="1:14" s="61" customFormat="1" ht="27.75" customHeight="1">
      <c r="A23" s="72" t="s">
        <v>25</v>
      </c>
      <c r="H23" s="135" t="s">
        <v>50</v>
      </c>
      <c r="I23" s="68"/>
      <c r="J23" s="69"/>
      <c r="K23" s="70"/>
      <c r="L23" s="71"/>
      <c r="M23" s="71"/>
      <c r="N23" s="71"/>
    </row>
    <row r="24" spans="1:14" s="61" customFormat="1" ht="24" customHeight="1">
      <c r="I24" s="68"/>
      <c r="J24" s="69"/>
      <c r="K24" s="70"/>
      <c r="L24" s="71"/>
      <c r="M24" s="71"/>
      <c r="N24" s="71"/>
    </row>
    <row r="25" spans="1:14" s="61" customFormat="1" ht="24" customHeight="1">
      <c r="I25" s="68"/>
      <c r="J25" s="69"/>
      <c r="K25" s="70"/>
      <c r="L25" s="71"/>
      <c r="M25" s="71"/>
      <c r="N25" s="71"/>
    </row>
    <row r="26" spans="1:14" s="61" customFormat="1" ht="24" customHeight="1">
      <c r="I26" s="68"/>
      <c r="J26" s="69"/>
      <c r="K26" s="70"/>
      <c r="L26" s="71"/>
      <c r="M26" s="71"/>
      <c r="N26" s="71"/>
    </row>
    <row r="27" spans="1:14" s="61" customFormat="1" ht="24" customHeight="1">
      <c r="I27" s="68"/>
      <c r="J27" s="69"/>
      <c r="K27" s="70"/>
      <c r="L27" s="71"/>
      <c r="M27" s="71"/>
      <c r="N27" s="71"/>
    </row>
    <row r="28" spans="1:14" s="61" customFormat="1" ht="24" customHeight="1">
      <c r="I28" s="68"/>
      <c r="J28" s="69"/>
      <c r="K28" s="70"/>
      <c r="L28" s="71"/>
      <c r="M28" s="71"/>
      <c r="N28" s="71"/>
    </row>
    <row r="29" spans="1:14" s="61" customFormat="1" ht="24" customHeight="1">
      <c r="I29" s="68"/>
      <c r="J29" s="69"/>
      <c r="K29" s="70"/>
      <c r="L29" s="71"/>
      <c r="M29" s="71"/>
      <c r="N29" s="71"/>
    </row>
    <row r="30" spans="1:14" s="61" customFormat="1" ht="24" customHeight="1">
      <c r="I30" s="68"/>
      <c r="J30" s="69"/>
      <c r="K30" s="70"/>
      <c r="L30" s="71"/>
      <c r="M30" s="71"/>
      <c r="N30" s="71"/>
    </row>
    <row r="31" spans="1:14" s="61" customFormat="1" ht="24" customHeight="1">
      <c r="I31" s="68"/>
      <c r="J31" s="69"/>
      <c r="K31" s="70"/>
      <c r="L31" s="71"/>
      <c r="M31" s="71"/>
      <c r="N31" s="71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30" sqref="E30"/>
    </sheetView>
  </sheetViews>
  <sheetFormatPr defaultColWidth="10" defaultRowHeight="13.5"/>
  <cols>
    <col min="1" max="1" width="10" style="74" customWidth="1"/>
    <col min="2" max="2" width="5.75" style="74" customWidth="1"/>
    <col min="3" max="3" width="1" style="74" customWidth="1"/>
    <col min="4" max="4" width="8" style="74" customWidth="1"/>
    <col min="5" max="5" width="14.875" style="74" bestFit="1" customWidth="1"/>
    <col min="6" max="6" width="11" style="74" customWidth="1"/>
    <col min="7" max="7" width="13.25" style="74" customWidth="1"/>
    <col min="8" max="8" width="11" style="74" customWidth="1"/>
    <col min="9" max="9" width="13.25" style="74" customWidth="1"/>
    <col min="10" max="10" width="12.25" style="74" customWidth="1"/>
    <col min="11" max="13" width="11" style="74" customWidth="1"/>
    <col min="14" max="16384" width="10" style="74"/>
  </cols>
  <sheetData>
    <row r="1" spans="1:13" ht="50.25" customHeight="1" thickBot="1">
      <c r="A1" s="90" t="s">
        <v>38</v>
      </c>
      <c r="J1" s="75"/>
      <c r="K1" s="76"/>
      <c r="L1" s="77"/>
      <c r="M1" s="78"/>
    </row>
    <row r="2" spans="1:13" ht="21.95" customHeight="1">
      <c r="A2" s="239" t="s">
        <v>39</v>
      </c>
      <c r="B2" s="240"/>
      <c r="C2" s="240"/>
      <c r="D2" s="243" t="s">
        <v>40</v>
      </c>
      <c r="E2" s="79"/>
      <c r="F2" s="245" t="s">
        <v>74</v>
      </c>
      <c r="G2" s="246"/>
      <c r="H2" s="235" t="s">
        <v>80</v>
      </c>
      <c r="I2" s="235"/>
      <c r="J2" s="235" t="s">
        <v>41</v>
      </c>
      <c r="K2" s="235"/>
      <c r="L2" s="235"/>
      <c r="M2" s="236"/>
    </row>
    <row r="3" spans="1:13" ht="21.95" customHeight="1">
      <c r="A3" s="241"/>
      <c r="B3" s="242"/>
      <c r="C3" s="242"/>
      <c r="D3" s="244"/>
      <c r="E3" s="80" t="s">
        <v>42</v>
      </c>
      <c r="F3" s="80" t="str">
        <f>통계요약!F6</f>
        <v>1월(A)</v>
      </c>
      <c r="G3" s="80" t="str">
        <f>통계요약!G6</f>
        <v>1월누계(B)</v>
      </c>
      <c r="H3" s="80" t="str">
        <f>통계요약!H6</f>
        <v>1월(C)</v>
      </c>
      <c r="I3" s="80" t="str">
        <f>통계요약!I6</f>
        <v>1월누계(D)</v>
      </c>
      <c r="J3" s="80" t="s">
        <v>43</v>
      </c>
      <c r="K3" s="81" t="s">
        <v>44</v>
      </c>
      <c r="L3" s="82" t="s">
        <v>45</v>
      </c>
      <c r="M3" s="129" t="s">
        <v>44</v>
      </c>
    </row>
    <row r="4" spans="1:13" ht="21.95" customHeight="1">
      <c r="A4" s="237" t="s">
        <v>46</v>
      </c>
      <c r="B4" s="238"/>
      <c r="C4" s="238"/>
      <c r="D4" s="83" t="s">
        <v>47</v>
      </c>
      <c r="E4" s="124">
        <f>SUM(E6,E8,E10,E12,E14,E16,E18,E22,E24,E26,E28,E20,)</f>
        <v>724877</v>
      </c>
      <c r="F4" s="124">
        <f>SUM(F6,F8,F10,F12,F14,F16,F18,F22,F24,F26,F28,F20)</f>
        <v>60924</v>
      </c>
      <c r="G4" s="124">
        <f>SUM(G6,G8,G10,G12,G14,G16,G18,G22,G24,G26,G28,G20)</f>
        <v>60924</v>
      </c>
      <c r="H4" s="124">
        <f>SUM(H6,H8,H12,H14,H16,H18,H22,H24,H26,H28,H20,H10)</f>
        <v>57921</v>
      </c>
      <c r="I4" s="124">
        <f>SUM(I6,I8,I12,I14,I16,I18,I22,I24,I26,I28,I20,I10)</f>
        <v>57921</v>
      </c>
      <c r="J4" s="113">
        <f t="shared" ref="J4:J27" si="0">H4-F4</f>
        <v>-3003</v>
      </c>
      <c r="K4" s="114">
        <f t="shared" ref="K4:K27" si="1">(H4/F4*100)-100</f>
        <v>-4.9290919834547964</v>
      </c>
      <c r="L4" s="115">
        <f t="shared" ref="L4:L27" si="2">I4-G4</f>
        <v>-3003</v>
      </c>
      <c r="M4" s="130">
        <f t="shared" ref="M4:M27" si="3">(I4/G4*100)-100</f>
        <v>-4.9290919834547964</v>
      </c>
    </row>
    <row r="5" spans="1:13" ht="21.95" customHeight="1">
      <c r="A5" s="237"/>
      <c r="B5" s="238"/>
      <c r="C5" s="238"/>
      <c r="D5" s="83" t="s">
        <v>48</v>
      </c>
      <c r="E5" s="124">
        <f>SUM(E7,E9,E11,E13,E15,E17,E19,E23,E25,E27,E29,E21)</f>
        <v>11048672</v>
      </c>
      <c r="F5" s="124">
        <f>SUM(F7,F9,F11,F13,F15,F17,F19,F23,F25,F27,F29,F21)</f>
        <v>878292</v>
      </c>
      <c r="G5" s="124">
        <f>SUM(G7,G9,G11,G13,G15,G17,G19,G23,G25,G27,G29,G21)</f>
        <v>878292</v>
      </c>
      <c r="H5" s="124">
        <f>SUM(H7,H9,H13,H15,H17,H19,H23,H25,H27,H29,H21,H11)</f>
        <v>856986</v>
      </c>
      <c r="I5" s="124">
        <f>SUM(I7,I9,I13,I15,I17,I19,I23,I25,I27,I29,I21,I11)</f>
        <v>856986</v>
      </c>
      <c r="J5" s="113">
        <f t="shared" si="0"/>
        <v>-21306</v>
      </c>
      <c r="K5" s="114">
        <f t="shared" si="1"/>
        <v>-2.4258447076826286</v>
      </c>
      <c r="L5" s="115">
        <f t="shared" si="2"/>
        <v>-21306</v>
      </c>
      <c r="M5" s="130">
        <f t="shared" si="3"/>
        <v>-2.4258447076826286</v>
      </c>
    </row>
    <row r="6" spans="1:13" ht="21.2" customHeight="1">
      <c r="A6" s="225" t="s">
        <v>53</v>
      </c>
      <c r="B6" s="226"/>
      <c r="C6" s="226"/>
      <c r="D6" s="84" t="s">
        <v>47</v>
      </c>
      <c r="E6" s="125">
        <v>35729</v>
      </c>
      <c r="F6" s="125">
        <v>3121</v>
      </c>
      <c r="G6" s="125">
        <v>3121</v>
      </c>
      <c r="H6" s="125">
        <v>2290</v>
      </c>
      <c r="I6" s="125">
        <v>2290</v>
      </c>
      <c r="J6" s="116">
        <f t="shared" ref="J6:J18" si="4">H6-F6</f>
        <v>-831</v>
      </c>
      <c r="K6" s="117">
        <f t="shared" ref="K6:K17" si="5">(H6/F6*100)-100</f>
        <v>-26.626081384171741</v>
      </c>
      <c r="L6" s="118">
        <f t="shared" si="2"/>
        <v>-831</v>
      </c>
      <c r="M6" s="131">
        <f t="shared" si="3"/>
        <v>-26.626081384171741</v>
      </c>
    </row>
    <row r="7" spans="1:13" ht="21.2" customHeight="1">
      <c r="A7" s="225"/>
      <c r="B7" s="226"/>
      <c r="C7" s="226"/>
      <c r="D7" s="84" t="s">
        <v>48</v>
      </c>
      <c r="E7" s="125">
        <v>661078</v>
      </c>
      <c r="F7" s="125">
        <v>57148</v>
      </c>
      <c r="G7" s="125">
        <v>57148</v>
      </c>
      <c r="H7" s="125">
        <v>42461</v>
      </c>
      <c r="I7" s="125">
        <v>42461</v>
      </c>
      <c r="J7" s="116">
        <f t="shared" si="4"/>
        <v>-14687</v>
      </c>
      <c r="K7" s="117">
        <f t="shared" si="5"/>
        <v>-25.699937005669497</v>
      </c>
      <c r="L7" s="118">
        <f t="shared" si="2"/>
        <v>-14687</v>
      </c>
      <c r="M7" s="131">
        <f t="shared" si="3"/>
        <v>-25.699937005669497</v>
      </c>
    </row>
    <row r="8" spans="1:13" ht="21.2" customHeight="1">
      <c r="A8" s="225" t="s">
        <v>54</v>
      </c>
      <c r="B8" s="226"/>
      <c r="C8" s="226"/>
      <c r="D8" s="84" t="s">
        <v>47</v>
      </c>
      <c r="E8" s="125">
        <v>59188</v>
      </c>
      <c r="F8" s="125">
        <v>5916</v>
      </c>
      <c r="G8" s="125">
        <v>5916</v>
      </c>
      <c r="H8" s="125">
        <v>3979</v>
      </c>
      <c r="I8" s="125">
        <v>3979</v>
      </c>
      <c r="J8" s="116">
        <f t="shared" si="4"/>
        <v>-1937</v>
      </c>
      <c r="K8" s="117">
        <f t="shared" si="5"/>
        <v>-32.74171737660582</v>
      </c>
      <c r="L8" s="118">
        <f t="shared" si="2"/>
        <v>-1937</v>
      </c>
      <c r="M8" s="131">
        <f t="shared" si="3"/>
        <v>-32.74171737660582</v>
      </c>
    </row>
    <row r="9" spans="1:13" ht="21.2" customHeight="1">
      <c r="A9" s="225"/>
      <c r="B9" s="226"/>
      <c r="C9" s="226"/>
      <c r="D9" s="84" t="s">
        <v>48</v>
      </c>
      <c r="E9" s="125">
        <v>905440</v>
      </c>
      <c r="F9" s="125">
        <v>87722</v>
      </c>
      <c r="G9" s="125">
        <v>87722</v>
      </c>
      <c r="H9" s="125">
        <v>61843</v>
      </c>
      <c r="I9" s="125">
        <v>61843</v>
      </c>
      <c r="J9" s="116">
        <f t="shared" si="4"/>
        <v>-25879</v>
      </c>
      <c r="K9" s="117">
        <f t="shared" si="5"/>
        <v>-29.501151364537975</v>
      </c>
      <c r="L9" s="118">
        <f t="shared" si="2"/>
        <v>-25879</v>
      </c>
      <c r="M9" s="131">
        <f t="shared" si="3"/>
        <v>-29.501151364537975</v>
      </c>
    </row>
    <row r="10" spans="1:13" ht="21.2" customHeight="1">
      <c r="A10" s="219" t="s">
        <v>66</v>
      </c>
      <c r="B10" s="220"/>
      <c r="C10" s="221"/>
      <c r="D10" s="84" t="s">
        <v>47</v>
      </c>
      <c r="E10" s="125">
        <v>1727</v>
      </c>
      <c r="F10" s="125">
        <v>34</v>
      </c>
      <c r="G10" s="125">
        <v>34</v>
      </c>
      <c r="H10" s="167">
        <v>0</v>
      </c>
      <c r="I10" s="167">
        <v>0</v>
      </c>
      <c r="J10" s="116">
        <f t="shared" si="4"/>
        <v>-34</v>
      </c>
      <c r="K10" s="117">
        <f t="shared" si="5"/>
        <v>-100</v>
      </c>
      <c r="L10" s="118">
        <f t="shared" si="2"/>
        <v>-34</v>
      </c>
      <c r="M10" s="131">
        <f t="shared" si="3"/>
        <v>-100</v>
      </c>
    </row>
    <row r="11" spans="1:13" ht="21.2" customHeight="1">
      <c r="A11" s="222"/>
      <c r="B11" s="223"/>
      <c r="C11" s="224"/>
      <c r="D11" s="84" t="s">
        <v>65</v>
      </c>
      <c r="E11" s="125">
        <v>36095</v>
      </c>
      <c r="F11" s="125">
        <v>891</v>
      </c>
      <c r="G11" s="125">
        <v>891</v>
      </c>
      <c r="H11" s="167">
        <v>0</v>
      </c>
      <c r="I11" s="167">
        <v>0</v>
      </c>
      <c r="J11" s="116">
        <f t="shared" si="4"/>
        <v>-891</v>
      </c>
      <c r="K11" s="117">
        <f t="shared" si="5"/>
        <v>-100</v>
      </c>
      <c r="L11" s="118">
        <f t="shared" si="2"/>
        <v>-891</v>
      </c>
      <c r="M11" s="131">
        <f t="shared" si="3"/>
        <v>-100</v>
      </c>
    </row>
    <row r="12" spans="1:13" ht="21.2" customHeight="1">
      <c r="A12" s="225" t="s">
        <v>55</v>
      </c>
      <c r="B12" s="226"/>
      <c r="C12" s="226"/>
      <c r="D12" s="84" t="s">
        <v>47</v>
      </c>
      <c r="E12" s="125">
        <v>60588</v>
      </c>
      <c r="F12" s="125">
        <v>1450</v>
      </c>
      <c r="G12" s="125">
        <v>1450</v>
      </c>
      <c r="H12" s="125">
        <v>5422</v>
      </c>
      <c r="I12" s="125">
        <v>5422</v>
      </c>
      <c r="J12" s="116">
        <f t="shared" si="4"/>
        <v>3972</v>
      </c>
      <c r="K12" s="117">
        <f t="shared" si="5"/>
        <v>273.93103448275861</v>
      </c>
      <c r="L12" s="118">
        <f t="shared" si="2"/>
        <v>3972</v>
      </c>
      <c r="M12" s="131">
        <f t="shared" si="3"/>
        <v>273.93103448275861</v>
      </c>
    </row>
    <row r="13" spans="1:13" ht="21.2" customHeight="1">
      <c r="A13" s="225"/>
      <c r="B13" s="226"/>
      <c r="C13" s="226"/>
      <c r="D13" s="84" t="s">
        <v>48</v>
      </c>
      <c r="E13" s="125">
        <v>474427</v>
      </c>
      <c r="F13" s="125">
        <v>12634</v>
      </c>
      <c r="G13" s="125">
        <v>12634</v>
      </c>
      <c r="H13" s="125">
        <v>87792</v>
      </c>
      <c r="I13" s="125">
        <v>87792</v>
      </c>
      <c r="J13" s="116">
        <f t="shared" si="4"/>
        <v>75158</v>
      </c>
      <c r="K13" s="117">
        <f t="shared" si="5"/>
        <v>594.88681336077252</v>
      </c>
      <c r="L13" s="118">
        <f t="shared" si="2"/>
        <v>75158</v>
      </c>
      <c r="M13" s="131">
        <f t="shared" si="3"/>
        <v>594.88681336077252</v>
      </c>
    </row>
    <row r="14" spans="1:13" ht="21.2" customHeight="1">
      <c r="A14" s="225" t="s">
        <v>62</v>
      </c>
      <c r="B14" s="226"/>
      <c r="C14" s="226"/>
      <c r="D14" s="84" t="s">
        <v>47</v>
      </c>
      <c r="E14" s="125">
        <v>173357</v>
      </c>
      <c r="F14" s="125">
        <v>15984</v>
      </c>
      <c r="G14" s="125">
        <v>15984</v>
      </c>
      <c r="H14" s="125">
        <v>16375</v>
      </c>
      <c r="I14" s="125">
        <v>16375</v>
      </c>
      <c r="J14" s="116">
        <f t="shared" si="4"/>
        <v>391</v>
      </c>
      <c r="K14" s="117">
        <f t="shared" si="5"/>
        <v>2.4461961961961975</v>
      </c>
      <c r="L14" s="118">
        <f t="shared" si="2"/>
        <v>391</v>
      </c>
      <c r="M14" s="131">
        <f t="shared" si="3"/>
        <v>2.4461961961961975</v>
      </c>
    </row>
    <row r="15" spans="1:13" ht="21.2" customHeight="1">
      <c r="A15" s="225"/>
      <c r="B15" s="226"/>
      <c r="C15" s="226"/>
      <c r="D15" s="84" t="s">
        <v>48</v>
      </c>
      <c r="E15" s="125">
        <v>3000801</v>
      </c>
      <c r="F15" s="125">
        <v>205179</v>
      </c>
      <c r="G15" s="125">
        <v>205179</v>
      </c>
      <c r="H15" s="125">
        <v>216255</v>
      </c>
      <c r="I15" s="125">
        <v>216255</v>
      </c>
      <c r="J15" s="116">
        <f t="shared" si="4"/>
        <v>11076</v>
      </c>
      <c r="K15" s="117">
        <f t="shared" si="5"/>
        <v>5.3982132674396581</v>
      </c>
      <c r="L15" s="118">
        <f t="shared" si="2"/>
        <v>11076</v>
      </c>
      <c r="M15" s="131">
        <f t="shared" si="3"/>
        <v>5.3982132674396581</v>
      </c>
    </row>
    <row r="16" spans="1:13" ht="21.2" customHeight="1">
      <c r="A16" s="225" t="s">
        <v>56</v>
      </c>
      <c r="B16" s="226"/>
      <c r="C16" s="226"/>
      <c r="D16" s="84" t="s">
        <v>47</v>
      </c>
      <c r="E16" s="125">
        <v>167550</v>
      </c>
      <c r="F16" s="125">
        <v>15668</v>
      </c>
      <c r="G16" s="125">
        <v>15668</v>
      </c>
      <c r="H16" s="125">
        <v>14201</v>
      </c>
      <c r="I16" s="125">
        <v>14201</v>
      </c>
      <c r="J16" s="116">
        <f t="shared" si="4"/>
        <v>-1467</v>
      </c>
      <c r="K16" s="85">
        <f t="shared" si="5"/>
        <v>-9.3630329333673785</v>
      </c>
      <c r="L16" s="86">
        <f t="shared" si="2"/>
        <v>-1467</v>
      </c>
      <c r="M16" s="132">
        <f t="shared" si="3"/>
        <v>-9.3630329333673785</v>
      </c>
    </row>
    <row r="17" spans="1:13" ht="21.2" customHeight="1">
      <c r="A17" s="225"/>
      <c r="B17" s="226"/>
      <c r="C17" s="226"/>
      <c r="D17" s="84" t="s">
        <v>48</v>
      </c>
      <c r="E17" s="125">
        <v>2696085</v>
      </c>
      <c r="F17" s="125">
        <v>244792</v>
      </c>
      <c r="G17" s="125">
        <v>244792</v>
      </c>
      <c r="H17" s="125">
        <v>217655</v>
      </c>
      <c r="I17" s="125">
        <v>217655</v>
      </c>
      <c r="J17" s="116">
        <f t="shared" si="4"/>
        <v>-27137</v>
      </c>
      <c r="K17" s="85">
        <f t="shared" si="5"/>
        <v>-11.0857380960162</v>
      </c>
      <c r="L17" s="86">
        <f t="shared" si="2"/>
        <v>-27137</v>
      </c>
      <c r="M17" s="132">
        <f t="shared" si="3"/>
        <v>-11.0857380960162</v>
      </c>
    </row>
    <row r="18" spans="1:13" ht="21.2" customHeight="1">
      <c r="A18" s="229" t="s">
        <v>70</v>
      </c>
      <c r="B18" s="230"/>
      <c r="C18" s="230"/>
      <c r="D18" s="157" t="s">
        <v>47</v>
      </c>
      <c r="E18" s="156">
        <v>225</v>
      </c>
      <c r="F18" s="166">
        <v>0</v>
      </c>
      <c r="G18" s="166">
        <v>0</v>
      </c>
      <c r="H18" s="166">
        <v>0</v>
      </c>
      <c r="I18" s="166">
        <v>0</v>
      </c>
      <c r="J18" s="158">
        <f t="shared" si="4"/>
        <v>0</v>
      </c>
      <c r="K18" s="159" t="s">
        <v>68</v>
      </c>
      <c r="L18" s="160">
        <f t="shared" si="2"/>
        <v>0</v>
      </c>
      <c r="M18" s="161">
        <v>0</v>
      </c>
    </row>
    <row r="19" spans="1:13" ht="21.2" customHeight="1">
      <c r="A19" s="231"/>
      <c r="B19" s="232"/>
      <c r="C19" s="232"/>
      <c r="D19" s="162" t="s">
        <v>48</v>
      </c>
      <c r="E19" s="156">
        <v>4766</v>
      </c>
      <c r="F19" s="166">
        <v>0</v>
      </c>
      <c r="G19" s="166">
        <v>0</v>
      </c>
      <c r="H19" s="166">
        <v>0</v>
      </c>
      <c r="I19" s="166">
        <v>0</v>
      </c>
      <c r="J19" s="158">
        <f t="shared" si="0"/>
        <v>0</v>
      </c>
      <c r="K19" s="163" t="s">
        <v>68</v>
      </c>
      <c r="L19" s="164">
        <f t="shared" si="2"/>
        <v>0</v>
      </c>
      <c r="M19" s="165">
        <v>0</v>
      </c>
    </row>
    <row r="20" spans="1:13" ht="21.2" customHeight="1">
      <c r="A20" s="219" t="s">
        <v>63</v>
      </c>
      <c r="B20" s="220"/>
      <c r="C20" s="221"/>
      <c r="D20" s="87" t="s">
        <v>64</v>
      </c>
      <c r="E20" s="125">
        <v>178</v>
      </c>
      <c r="F20" s="166">
        <v>0</v>
      </c>
      <c r="G20" s="166">
        <v>0</v>
      </c>
      <c r="H20" s="166">
        <v>0</v>
      </c>
      <c r="I20" s="166">
        <v>0</v>
      </c>
      <c r="J20" s="116">
        <f t="shared" si="0"/>
        <v>0</v>
      </c>
      <c r="K20" s="148" t="s">
        <v>68</v>
      </c>
      <c r="L20" s="120">
        <f t="shared" si="2"/>
        <v>0</v>
      </c>
      <c r="M20" s="133" t="e">
        <f t="shared" si="3"/>
        <v>#DIV/0!</v>
      </c>
    </row>
    <row r="21" spans="1:13" ht="21.2" customHeight="1">
      <c r="A21" s="222"/>
      <c r="B21" s="223"/>
      <c r="C21" s="224"/>
      <c r="D21" s="87" t="s">
        <v>65</v>
      </c>
      <c r="E21" s="125">
        <v>1254</v>
      </c>
      <c r="F21" s="166">
        <v>0</v>
      </c>
      <c r="G21" s="166">
        <v>0</v>
      </c>
      <c r="H21" s="166">
        <v>0</v>
      </c>
      <c r="I21" s="166">
        <v>0</v>
      </c>
      <c r="J21" s="116">
        <f t="shared" si="0"/>
        <v>0</v>
      </c>
      <c r="K21" s="148" t="s">
        <v>68</v>
      </c>
      <c r="L21" s="120">
        <f t="shared" si="2"/>
        <v>0</v>
      </c>
      <c r="M21" s="133" t="e">
        <f t="shared" si="3"/>
        <v>#DIV/0!</v>
      </c>
    </row>
    <row r="22" spans="1:13" ht="21.2" customHeight="1">
      <c r="A22" s="225" t="s">
        <v>58</v>
      </c>
      <c r="B22" s="226"/>
      <c r="C22" s="226"/>
      <c r="D22" s="84" t="s">
        <v>47</v>
      </c>
      <c r="E22" s="125">
        <v>486</v>
      </c>
      <c r="F22" s="167">
        <v>102</v>
      </c>
      <c r="G22" s="125">
        <v>102</v>
      </c>
      <c r="H22" s="167">
        <v>52</v>
      </c>
      <c r="I22" s="125">
        <v>52</v>
      </c>
      <c r="J22" s="116">
        <f t="shared" si="0"/>
        <v>-50</v>
      </c>
      <c r="K22" s="117">
        <f t="shared" si="1"/>
        <v>-49.019607843137258</v>
      </c>
      <c r="L22" s="118">
        <f t="shared" si="2"/>
        <v>-50</v>
      </c>
      <c r="M22" s="131">
        <f t="shared" si="3"/>
        <v>-49.019607843137258</v>
      </c>
    </row>
    <row r="23" spans="1:13" ht="21.2" customHeight="1">
      <c r="A23" s="233"/>
      <c r="B23" s="234"/>
      <c r="C23" s="234"/>
      <c r="D23" s="87" t="s">
        <v>48</v>
      </c>
      <c r="E23" s="125">
        <v>4285</v>
      </c>
      <c r="F23" s="167">
        <v>857</v>
      </c>
      <c r="G23" s="125">
        <v>857</v>
      </c>
      <c r="H23" s="167">
        <v>428</v>
      </c>
      <c r="I23" s="125">
        <v>428</v>
      </c>
      <c r="J23" s="116">
        <f t="shared" si="0"/>
        <v>-429</v>
      </c>
      <c r="K23" s="119">
        <f t="shared" si="1"/>
        <v>-50.058343057176195</v>
      </c>
      <c r="L23" s="120">
        <f t="shared" si="2"/>
        <v>-429</v>
      </c>
      <c r="M23" s="133">
        <f t="shared" si="3"/>
        <v>-50.058343057176195</v>
      </c>
    </row>
    <row r="24" spans="1:13" ht="21.2" customHeight="1">
      <c r="A24" s="225" t="s">
        <v>59</v>
      </c>
      <c r="B24" s="226"/>
      <c r="C24" s="226"/>
      <c r="D24" s="84" t="s">
        <v>47</v>
      </c>
      <c r="E24" s="125">
        <v>81150</v>
      </c>
      <c r="F24" s="125">
        <v>7455</v>
      </c>
      <c r="G24" s="125">
        <v>7455</v>
      </c>
      <c r="H24" s="125">
        <v>5281</v>
      </c>
      <c r="I24" s="125">
        <v>5281</v>
      </c>
      <c r="J24" s="116">
        <f t="shared" si="0"/>
        <v>-2174</v>
      </c>
      <c r="K24" s="117">
        <f t="shared" si="1"/>
        <v>-29.161636485580146</v>
      </c>
      <c r="L24" s="118">
        <f t="shared" si="2"/>
        <v>-2174</v>
      </c>
      <c r="M24" s="131">
        <f t="shared" si="3"/>
        <v>-29.161636485580146</v>
      </c>
    </row>
    <row r="25" spans="1:13" ht="21.2" customHeight="1">
      <c r="A25" s="225"/>
      <c r="B25" s="226"/>
      <c r="C25" s="226"/>
      <c r="D25" s="84" t="s">
        <v>48</v>
      </c>
      <c r="E25" s="125">
        <v>1256097</v>
      </c>
      <c r="F25" s="125">
        <v>118680</v>
      </c>
      <c r="G25" s="125">
        <v>118680</v>
      </c>
      <c r="H25" s="125">
        <v>86417</v>
      </c>
      <c r="I25" s="125">
        <v>86417</v>
      </c>
      <c r="J25" s="116">
        <f t="shared" si="0"/>
        <v>-32263</v>
      </c>
      <c r="K25" s="117">
        <f t="shared" si="1"/>
        <v>-27.184866868891135</v>
      </c>
      <c r="L25" s="118">
        <f t="shared" si="2"/>
        <v>-32263</v>
      </c>
      <c r="M25" s="131">
        <f t="shared" si="3"/>
        <v>-27.184866868891135</v>
      </c>
    </row>
    <row r="26" spans="1:13" ht="21.2" customHeight="1">
      <c r="A26" s="225" t="s">
        <v>60</v>
      </c>
      <c r="B26" s="226"/>
      <c r="C26" s="226"/>
      <c r="D26" s="89" t="s">
        <v>47</v>
      </c>
      <c r="E26" s="126">
        <v>115220</v>
      </c>
      <c r="F26" s="126">
        <v>9034</v>
      </c>
      <c r="G26" s="126">
        <v>9034</v>
      </c>
      <c r="H26" s="126">
        <v>8520</v>
      </c>
      <c r="I26" s="126">
        <v>8520</v>
      </c>
      <c r="J26" s="116">
        <f t="shared" si="0"/>
        <v>-514</v>
      </c>
      <c r="K26" s="121">
        <f t="shared" si="1"/>
        <v>-5.6896170024352415</v>
      </c>
      <c r="L26" s="122">
        <f t="shared" si="2"/>
        <v>-514</v>
      </c>
      <c r="M26" s="134">
        <f t="shared" si="3"/>
        <v>-5.6896170024352415</v>
      </c>
    </row>
    <row r="27" spans="1:13" ht="21.2" customHeight="1">
      <c r="A27" s="225"/>
      <c r="B27" s="226"/>
      <c r="C27" s="226"/>
      <c r="D27" s="87" t="s">
        <v>48</v>
      </c>
      <c r="E27" s="137">
        <v>1551822</v>
      </c>
      <c r="F27" s="137">
        <v>119433</v>
      </c>
      <c r="G27" s="137">
        <v>119433</v>
      </c>
      <c r="H27" s="137">
        <v>114961</v>
      </c>
      <c r="I27" s="137">
        <v>114961</v>
      </c>
      <c r="J27" s="138">
        <f t="shared" si="0"/>
        <v>-4472</v>
      </c>
      <c r="K27" s="119">
        <f t="shared" si="1"/>
        <v>-3.7443587618162439</v>
      </c>
      <c r="L27" s="120">
        <f t="shared" si="2"/>
        <v>-4472</v>
      </c>
      <c r="M27" s="133">
        <f t="shared" si="3"/>
        <v>-3.7443587618162439</v>
      </c>
    </row>
    <row r="28" spans="1:13" ht="21.2" customHeight="1">
      <c r="A28" s="225" t="s">
        <v>61</v>
      </c>
      <c r="B28" s="226"/>
      <c r="C28" s="226"/>
      <c r="D28" s="84" t="s">
        <v>47</v>
      </c>
      <c r="E28" s="125">
        <v>29479</v>
      </c>
      <c r="F28" s="125">
        <v>2160</v>
      </c>
      <c r="G28" s="125">
        <v>2160</v>
      </c>
      <c r="H28" s="125">
        <v>1801</v>
      </c>
      <c r="I28" s="125">
        <v>1801</v>
      </c>
      <c r="J28" s="116">
        <f>H28-F28</f>
        <v>-359</v>
      </c>
      <c r="K28" s="144" t="s">
        <v>67</v>
      </c>
      <c r="L28" s="118">
        <f>I28-G28</f>
        <v>-359</v>
      </c>
      <c r="M28" s="146" t="s">
        <v>67</v>
      </c>
    </row>
    <row r="29" spans="1:13" ht="21.2" customHeight="1" thickBot="1">
      <c r="A29" s="227"/>
      <c r="B29" s="228"/>
      <c r="C29" s="228"/>
      <c r="D29" s="139" t="s">
        <v>48</v>
      </c>
      <c r="E29" s="140">
        <v>456522</v>
      </c>
      <c r="F29" s="140">
        <v>30956</v>
      </c>
      <c r="G29" s="140">
        <v>30956</v>
      </c>
      <c r="H29" s="140">
        <v>29174</v>
      </c>
      <c r="I29" s="140">
        <v>29174</v>
      </c>
      <c r="J29" s="141">
        <f>H29-F29</f>
        <v>-1782</v>
      </c>
      <c r="K29" s="145" t="s">
        <v>67</v>
      </c>
      <c r="L29" s="142">
        <f>I29-G29</f>
        <v>-1782</v>
      </c>
      <c r="M29" s="14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2020-02-27T04:33:45Z</dcterms:modified>
</cp:coreProperties>
</file>