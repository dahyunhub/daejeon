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-105" yWindow="-105" windowWidth="23250" windowHeight="12570" tabRatio="601" firstSheet="1" activeTab="1"/>
  </bookViews>
  <sheets>
    <sheet name="VXXX" sheetId="27" state="veryHidden" r:id="rId1"/>
    <sheet name="통계요약" sheetId="21" r:id="rId2"/>
    <sheet name="연도별 수송실적" sheetId="33" r:id="rId3"/>
    <sheet name="컨테이너 재게" sheetId="32" r:id="rId4"/>
  </sheets>
  <definedNames>
    <definedName name="_xlnm.Print_Area" localSheetId="2">'연도별 수송실적'!$A$1:$N$33</definedName>
    <definedName name="_xlnm.Print_Area" localSheetId="1">통계요약!$A$1:$M$40</definedName>
  </definedName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G7" i="33" l="1"/>
  <c r="G4" i="33"/>
  <c r="M33" i="32" l="1"/>
  <c r="H11" i="21" l="1"/>
  <c r="I15" i="21" l="1"/>
  <c r="I11" i="21"/>
  <c r="H15" i="21"/>
  <c r="H10" i="21" s="1"/>
  <c r="I10" i="21" l="1"/>
  <c r="F15" i="21"/>
  <c r="F11" i="21"/>
  <c r="G15" i="21"/>
  <c r="G11" i="21"/>
  <c r="F10" i="21" l="1"/>
  <c r="G10" i="21"/>
  <c r="K9" i="32"/>
  <c r="K8" i="32"/>
  <c r="K6" i="32"/>
  <c r="J15" i="32"/>
  <c r="J16" i="32"/>
  <c r="J17" i="32"/>
  <c r="J18" i="32"/>
  <c r="J19" i="32"/>
  <c r="J14" i="32"/>
  <c r="J8" i="32"/>
  <c r="J6" i="32"/>
  <c r="J17" i="21" l="1"/>
  <c r="M32" i="32" l="1"/>
  <c r="L19" i="32"/>
  <c r="L20" i="32"/>
  <c r="L21" i="32"/>
  <c r="L22" i="32"/>
  <c r="L23" i="32"/>
  <c r="L11" i="32"/>
  <c r="L12" i="32"/>
  <c r="L13" i="32"/>
  <c r="L14" i="32"/>
  <c r="L15" i="32"/>
  <c r="L16" i="32"/>
  <c r="L17" i="32"/>
  <c r="L18" i="32"/>
  <c r="K14" i="32"/>
  <c r="K15" i="32"/>
  <c r="K16" i="32"/>
  <c r="K17" i="32"/>
  <c r="K18" i="32"/>
  <c r="K19" i="32"/>
  <c r="J22" i="32"/>
  <c r="J23" i="32"/>
  <c r="J24" i="32"/>
  <c r="J25" i="32"/>
  <c r="J26" i="32"/>
  <c r="J27" i="32"/>
  <c r="J28" i="32"/>
  <c r="J29" i="32"/>
  <c r="J11" i="32"/>
  <c r="J10" i="32"/>
  <c r="L10" i="32"/>
  <c r="I4" i="32"/>
  <c r="H4" i="32"/>
  <c r="G4" i="32"/>
  <c r="F4" i="32"/>
  <c r="I5" i="32" l="1"/>
  <c r="H5" i="32"/>
  <c r="G5" i="32"/>
  <c r="F5" i="32"/>
  <c r="E5" i="32"/>
  <c r="E4" i="32"/>
  <c r="E15" i="21" l="1"/>
  <c r="E11" i="21"/>
  <c r="E10" i="21" l="1"/>
  <c r="H21" i="21"/>
  <c r="M8" i="32" l="1"/>
  <c r="L8" i="32"/>
  <c r="M6" i="32"/>
  <c r="L6" i="32"/>
  <c r="M14" i="32" l="1"/>
  <c r="K33" i="32"/>
  <c r="K32" i="32"/>
  <c r="G21" i="21" l="1"/>
  <c r="L11" i="21"/>
  <c r="G7" i="21" l="1"/>
  <c r="F3" i="32" l="1"/>
  <c r="I7" i="21" l="1"/>
  <c r="H7" i="21" l="1"/>
  <c r="AA7" i="33" l="1"/>
  <c r="N6" i="33"/>
  <c r="G6" i="33"/>
  <c r="N3" i="33"/>
  <c r="I3" i="32" l="1"/>
  <c r="H3" i="32"/>
  <c r="G3" i="32"/>
  <c r="E7" i="21" l="1"/>
  <c r="L28" i="21" l="1"/>
  <c r="J28" i="21"/>
  <c r="K28" i="21"/>
  <c r="L26" i="21"/>
  <c r="L27" i="21"/>
  <c r="L18" i="21"/>
  <c r="J11" i="21" l="1"/>
  <c r="J22" i="21" l="1"/>
  <c r="J23" i="21"/>
  <c r="J24" i="21"/>
  <c r="J26" i="21"/>
  <c r="J27" i="21"/>
  <c r="J16" i="21"/>
  <c r="J18" i="21"/>
  <c r="J12" i="21"/>
  <c r="J13" i="21"/>
  <c r="J14" i="21"/>
  <c r="L25" i="32" l="1"/>
  <c r="I25" i="21"/>
  <c r="I21" i="21"/>
  <c r="E25" i="21" l="1"/>
  <c r="E21" i="21"/>
  <c r="E20" i="21" l="1"/>
  <c r="J13" i="32" l="1"/>
  <c r="J12" i="32"/>
  <c r="L24" i="32"/>
  <c r="F21" i="21" l="1"/>
  <c r="F7" i="21"/>
  <c r="F25" i="21" l="1"/>
  <c r="J25" i="21" s="1"/>
  <c r="G25" i="21"/>
  <c r="G20" i="21" s="1"/>
  <c r="L25" i="21" l="1"/>
  <c r="K14" i="21"/>
  <c r="M17" i="32" l="1"/>
  <c r="M24" i="21"/>
  <c r="M18" i="32"/>
  <c r="M19" i="32"/>
  <c r="M28" i="32"/>
  <c r="M29" i="32"/>
  <c r="M30" i="32"/>
  <c r="M31" i="32"/>
  <c r="K28" i="32"/>
  <c r="K29" i="32"/>
  <c r="K30" i="32"/>
  <c r="K31" i="32"/>
  <c r="L33" i="32"/>
  <c r="J33" i="32"/>
  <c r="L32" i="32"/>
  <c r="J32" i="32"/>
  <c r="J7" i="32"/>
  <c r="K7" i="32"/>
  <c r="L7" i="32"/>
  <c r="M7" i="32"/>
  <c r="J9" i="32"/>
  <c r="L9" i="32"/>
  <c r="M9" i="32"/>
  <c r="M15" i="32"/>
  <c r="J20" i="32"/>
  <c r="J21" i="32"/>
  <c r="L26" i="32"/>
  <c r="L27" i="32"/>
  <c r="L28" i="32"/>
  <c r="L29" i="32"/>
  <c r="J30" i="32"/>
  <c r="L30" i="32"/>
  <c r="J31" i="32"/>
  <c r="L31" i="32"/>
  <c r="J8" i="21"/>
  <c r="K8" i="21"/>
  <c r="L8" i="21"/>
  <c r="M8" i="21"/>
  <c r="J9" i="21"/>
  <c r="K9" i="21"/>
  <c r="L9" i="21"/>
  <c r="M9" i="21"/>
  <c r="K12" i="21"/>
  <c r="L12" i="21"/>
  <c r="M12" i="21"/>
  <c r="K13" i="21"/>
  <c r="L13" i="21"/>
  <c r="M13" i="21"/>
  <c r="L14" i="21"/>
  <c r="M14" i="21"/>
  <c r="K16" i="21"/>
  <c r="L16" i="21"/>
  <c r="M16" i="21"/>
  <c r="K17" i="21"/>
  <c r="L17" i="21"/>
  <c r="M17" i="21"/>
  <c r="K22" i="21"/>
  <c r="L22" i="21"/>
  <c r="M22" i="21"/>
  <c r="K23" i="21"/>
  <c r="L23" i="21"/>
  <c r="M23" i="21"/>
  <c r="K24" i="21"/>
  <c r="L24" i="21"/>
  <c r="M28" i="21"/>
  <c r="M16" i="32"/>
  <c r="I20" i="21" l="1"/>
  <c r="H20" i="21"/>
  <c r="J15" i="21"/>
  <c r="M5" i="32"/>
  <c r="J4" i="32"/>
  <c r="M11" i="21"/>
  <c r="K15" i="21"/>
  <c r="L4" i="32"/>
  <c r="M21" i="21"/>
  <c r="K21" i="21"/>
  <c r="F20" i="21"/>
  <c r="L21" i="21"/>
  <c r="J21" i="21"/>
  <c r="L15" i="21"/>
  <c r="K11" i="21"/>
  <c r="M15" i="21"/>
  <c r="M7" i="21"/>
  <c r="L7" i="21"/>
  <c r="J7" i="21"/>
  <c r="K7" i="21"/>
  <c r="K5" i="32"/>
  <c r="J5" i="32"/>
  <c r="M4" i="32"/>
  <c r="L20" i="21" l="1"/>
  <c r="J20" i="21"/>
  <c r="L10" i="21"/>
  <c r="L5" i="32"/>
  <c r="K4" i="32"/>
  <c r="M10" i="21"/>
  <c r="K20" i="21"/>
  <c r="M20" i="21"/>
  <c r="J10" i="21"/>
  <c r="K10" i="21"/>
</calcChain>
</file>

<file path=xl/sharedStrings.xml><?xml version="1.0" encoding="utf-8"?>
<sst xmlns="http://schemas.openxmlformats.org/spreadsheetml/2006/main" count="157" uniqueCount="105">
  <si>
    <t>소계</t>
  </si>
  <si>
    <t>외항</t>
  </si>
  <si>
    <t>연안</t>
  </si>
  <si>
    <t>입항</t>
  </si>
  <si>
    <t>출항</t>
  </si>
  <si>
    <t>수입</t>
  </si>
  <si>
    <t>수출</t>
  </si>
  <si>
    <t>구     분</t>
    <phoneticPr fontId="6" type="noConversion"/>
  </si>
  <si>
    <t xml:space="preserve"> 합  계</t>
    <phoneticPr fontId="6" type="noConversion"/>
  </si>
  <si>
    <t xml:space="preserve"> 외  항</t>
    <phoneticPr fontId="6" type="noConversion"/>
  </si>
  <si>
    <t xml:space="preserve"> 내  항</t>
    <phoneticPr fontId="6" type="noConversion"/>
  </si>
  <si>
    <t>연간누계</t>
    <phoneticPr fontId="6" type="noConversion"/>
  </si>
  <si>
    <t>계</t>
    <phoneticPr fontId="6" type="noConversion"/>
  </si>
  <si>
    <t>환적</t>
    <phoneticPr fontId="6" type="noConversion"/>
  </si>
  <si>
    <t>수출</t>
    <phoneticPr fontId="6" type="noConversion"/>
  </si>
  <si>
    <t>전년동기대비</t>
    <phoneticPr fontId="6" type="noConversion"/>
  </si>
  <si>
    <t>(%)</t>
    <phoneticPr fontId="6" type="noConversion"/>
  </si>
  <si>
    <t>환적</t>
    <phoneticPr fontId="6" type="noConversion"/>
  </si>
  <si>
    <t>D-B</t>
    <phoneticPr fontId="6" type="noConversion"/>
  </si>
  <si>
    <t>컨테</t>
    <phoneticPr fontId="6" type="noConversion"/>
  </si>
  <si>
    <t>이너</t>
    <phoneticPr fontId="6" type="noConversion"/>
  </si>
  <si>
    <t>선박</t>
    <phoneticPr fontId="6" type="noConversion"/>
  </si>
  <si>
    <t>화물</t>
    <phoneticPr fontId="6" type="noConversion"/>
  </si>
  <si>
    <t>(단위:TEU, 100% 기준)</t>
    <phoneticPr fontId="6" type="noConversion"/>
  </si>
  <si>
    <t>(화물)</t>
    <phoneticPr fontId="6" type="noConversion"/>
  </si>
  <si>
    <t xml:space="preserve">   (컨테이너)</t>
    <phoneticPr fontId="6" type="noConversion"/>
  </si>
  <si>
    <t>(평택·당진항)</t>
    <phoneticPr fontId="6" type="noConversion"/>
  </si>
  <si>
    <t xml:space="preserve">  □ 전년 동기대비 비교표</t>
    <phoneticPr fontId="6" type="noConversion"/>
  </si>
  <si>
    <t>■ 연도별 수송실적</t>
    <phoneticPr fontId="22" type="noConversion"/>
  </si>
  <si>
    <t>(단위 : 천톤)</t>
    <phoneticPr fontId="6" type="noConversion"/>
  </si>
  <si>
    <t xml:space="preserve">구분 </t>
    <phoneticPr fontId="6" type="noConversion"/>
  </si>
  <si>
    <t>선박입출항</t>
    <phoneticPr fontId="6" type="noConversion"/>
  </si>
  <si>
    <t>화물입출항</t>
    <phoneticPr fontId="6" type="noConversion"/>
  </si>
  <si>
    <t>(단위 : TEU)</t>
    <phoneticPr fontId="6" type="noConversion"/>
  </si>
  <si>
    <t>(단위 : 명)</t>
    <phoneticPr fontId="6" type="noConversion"/>
  </si>
  <si>
    <t>컨테이너</t>
    <phoneticPr fontId="6" type="noConversion"/>
  </si>
  <si>
    <t>여    객</t>
    <phoneticPr fontId="6" type="noConversion"/>
  </si>
  <si>
    <t xml:space="preserve">  □ 연도별 추이 </t>
  </si>
  <si>
    <t>□ 부두별 컨테이너 물동량</t>
    <phoneticPr fontId="6" type="noConversion"/>
  </si>
  <si>
    <t>구     분</t>
    <phoneticPr fontId="6" type="noConversion"/>
  </si>
  <si>
    <t>단위</t>
    <phoneticPr fontId="22" type="noConversion"/>
  </si>
  <si>
    <t>전년동기대비</t>
    <phoneticPr fontId="6" type="noConversion"/>
  </si>
  <si>
    <t>연간누계</t>
    <phoneticPr fontId="6" type="noConversion"/>
  </si>
  <si>
    <t>C-A</t>
    <phoneticPr fontId="6" type="noConversion"/>
  </si>
  <si>
    <t>(%)</t>
    <phoneticPr fontId="6" type="noConversion"/>
  </si>
  <si>
    <t>D-B</t>
    <phoneticPr fontId="6" type="noConversion"/>
  </si>
  <si>
    <t>합  계</t>
    <phoneticPr fontId="6" type="noConversion"/>
  </si>
  <si>
    <t>TEU</t>
    <phoneticPr fontId="22" type="noConversion"/>
  </si>
  <si>
    <t>톤</t>
    <phoneticPr fontId="22" type="noConversion"/>
  </si>
  <si>
    <t>선박입항 및 화물수송</t>
    <phoneticPr fontId="6" type="noConversion"/>
  </si>
  <si>
    <t xml:space="preserve">     (여객)</t>
    <phoneticPr fontId="6" type="noConversion"/>
  </si>
  <si>
    <t xml:space="preserve">     (화물입출항)</t>
    <phoneticPr fontId="6" type="noConversion"/>
  </si>
  <si>
    <t xml:space="preserve">   (선박입출항)</t>
    <phoneticPr fontId="6" type="noConversion"/>
  </si>
  <si>
    <t>국제여객부두1번</t>
  </si>
  <si>
    <t>국제여객부두2번</t>
  </si>
  <si>
    <t>동부두 6</t>
    <phoneticPr fontId="22" type="noConversion"/>
  </si>
  <si>
    <t>동부두 8</t>
    <phoneticPr fontId="22" type="noConversion"/>
  </si>
  <si>
    <t>C-A</t>
    <phoneticPr fontId="6" type="noConversion"/>
  </si>
  <si>
    <t>동부두 12</t>
    <phoneticPr fontId="22" type="noConversion"/>
  </si>
  <si>
    <t>동부두 14</t>
    <phoneticPr fontId="22" type="noConversion"/>
  </si>
  <si>
    <t>동부두 15</t>
    <phoneticPr fontId="22" type="noConversion"/>
  </si>
  <si>
    <t>동부두 16</t>
    <phoneticPr fontId="22" type="noConversion"/>
  </si>
  <si>
    <t>동부두 7</t>
    <phoneticPr fontId="22" type="noConversion"/>
  </si>
  <si>
    <t>동부두 11</t>
    <phoneticPr fontId="22" type="noConversion"/>
  </si>
  <si>
    <t>TEU</t>
    <phoneticPr fontId="22" type="noConversion"/>
  </si>
  <si>
    <t>톤</t>
    <phoneticPr fontId="22" type="noConversion"/>
  </si>
  <si>
    <t>동부두 5</t>
    <phoneticPr fontId="22" type="noConversion"/>
  </si>
  <si>
    <t>자동차(대)</t>
    <phoneticPr fontId="6" type="noConversion"/>
  </si>
  <si>
    <t>동부두 9</t>
    <phoneticPr fontId="22" type="noConversion"/>
  </si>
  <si>
    <t>소계</t>
    <phoneticPr fontId="6" type="noConversion"/>
  </si>
  <si>
    <t>(단위 : 척)</t>
    <phoneticPr fontId="6" type="noConversion"/>
  </si>
  <si>
    <r>
      <t xml:space="preserve">                         </t>
    </r>
    <r>
      <rPr>
        <sz val="10"/>
        <rFont val="굴림체"/>
        <family val="3"/>
        <charset val="129"/>
      </rPr>
      <t>(단위 : 척, 천톤, 100% 기준)</t>
    </r>
    <phoneticPr fontId="6" type="noConversion"/>
  </si>
  <si>
    <t>2021년도</t>
    <phoneticPr fontId="6" type="noConversion"/>
  </si>
  <si>
    <t>국제여객부두 1번선석</t>
  </si>
  <si>
    <t>국제여객부두 2번선석</t>
    <phoneticPr fontId="22" type="noConversion"/>
  </si>
  <si>
    <t>동부두 5번선석</t>
    <phoneticPr fontId="22" type="noConversion"/>
  </si>
  <si>
    <t>동부두 6번선석</t>
    <phoneticPr fontId="22" type="noConversion"/>
  </si>
  <si>
    <t>동부두 6번선석</t>
    <phoneticPr fontId="22" type="noConversion"/>
  </si>
  <si>
    <t>동부두 7번선석</t>
    <phoneticPr fontId="22" type="noConversion"/>
  </si>
  <si>
    <t>동부두 7번선석</t>
    <phoneticPr fontId="22" type="noConversion"/>
  </si>
  <si>
    <t>동부두 8번선석</t>
    <phoneticPr fontId="22" type="noConversion"/>
  </si>
  <si>
    <t>동부두 8번선석</t>
    <phoneticPr fontId="22" type="noConversion"/>
  </si>
  <si>
    <t>동부두 9번선석</t>
    <phoneticPr fontId="22" type="noConversion"/>
  </si>
  <si>
    <t>동부두 9번선석</t>
    <phoneticPr fontId="22" type="noConversion"/>
  </si>
  <si>
    <t>동부두 11번선석</t>
    <phoneticPr fontId="22" type="noConversion"/>
  </si>
  <si>
    <t>동부두 12번선석</t>
    <phoneticPr fontId="22" type="noConversion"/>
  </si>
  <si>
    <t>동부두 12번선석</t>
    <phoneticPr fontId="22" type="noConversion"/>
  </si>
  <si>
    <t>동부두 14번선석</t>
    <phoneticPr fontId="22" type="noConversion"/>
  </si>
  <si>
    <t>동부두 14번선석</t>
    <phoneticPr fontId="22" type="noConversion"/>
  </si>
  <si>
    <t>동부두 15번선석</t>
    <phoneticPr fontId="22" type="noConversion"/>
  </si>
  <si>
    <t>동부두 15번선석</t>
    <phoneticPr fontId="22" type="noConversion"/>
  </si>
  <si>
    <t>동부두 16번선석</t>
    <phoneticPr fontId="22" type="noConversion"/>
  </si>
  <si>
    <t>동부두 16번선석</t>
    <phoneticPr fontId="22" type="noConversion"/>
  </si>
  <si>
    <t>동부두 10</t>
    <phoneticPr fontId="22" type="noConversion"/>
  </si>
  <si>
    <t>동부두 1</t>
    <phoneticPr fontId="22" type="noConversion"/>
  </si>
  <si>
    <t>동부두 1번선석</t>
    <phoneticPr fontId="22" type="noConversion"/>
  </si>
  <si>
    <t>동부두 10번선석</t>
    <phoneticPr fontId="22" type="noConversion"/>
  </si>
  <si>
    <t>1월(A)</t>
    <phoneticPr fontId="6" type="noConversion"/>
  </si>
  <si>
    <t>1월누계(B)</t>
    <phoneticPr fontId="6" type="noConversion"/>
  </si>
  <si>
    <t>2022년도</t>
    <phoneticPr fontId="6" type="noConversion"/>
  </si>
  <si>
    <t>1월(C)</t>
    <phoneticPr fontId="6" type="noConversion"/>
  </si>
  <si>
    <t>1월누계(D)</t>
    <phoneticPr fontId="6" type="noConversion"/>
  </si>
  <si>
    <t>(2022.1월분)</t>
    <phoneticPr fontId="6" type="noConversion"/>
  </si>
  <si>
    <t>순증</t>
    <phoneticPr fontId="22" type="noConversion"/>
  </si>
  <si>
    <t>순증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</si>
</sst>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4">
    <numFmt numFmtId="41" formatCode="_-* #,##0_-;\-* #,##0_-;_-* &quot;-&quot;_-;_-@_-"/>
    <numFmt numFmtId="176" formatCode="_ * #,##0_ ;_ * \-#,##0_ ;_ * &quot;-&quot;_ ;_ @_ "/>
    <numFmt numFmtId="177" formatCode="&quot;$&quot;#,##0;[Red]\-&quot;$&quot;#,##0"/>
    <numFmt numFmtId="178" formatCode="&quot;$&quot;#,##0.00;[Red]\-&quot;$&quot;#,##0.00"/>
    <numFmt numFmtId="179" formatCode="_ * #,##0_ ;_ * &quot;₩&quot;&quot;₩&quot;&quot;₩&quot;&quot;₩&quot;&quot;₩&quot;&quot;₩&quot;\-#,##0_ ;_ * &quot;-&quot;_ ;_ @_ "/>
    <numFmt numFmtId="180" formatCode="0_);[Red]\(0\)"/>
    <numFmt numFmtId="181" formatCode="#,##0_ "/>
    <numFmt numFmtId="182" formatCode="#,###,"/>
    <numFmt numFmtId="183" formatCode="#,##0_);[Red]\(#,##0\)"/>
    <numFmt numFmtId="184" formatCode="_-* #,##0.0_-;&quot;△&quot;\ #,##0.0_-;_-* &quot;-&quot;??_-;_-@_-"/>
    <numFmt numFmtId="185" formatCode="_ * #,##0_ ;_ * &quot;△&quot;#,##0_ ;_ * &quot;-&quot;_ ;_ @_ "/>
    <numFmt numFmtId="186" formatCode="0.00_);\(0.00\)"/>
    <numFmt numFmtId="187" formatCode="0.00_);[Red]\(0.00\)"/>
    <numFmt numFmtId="188" formatCode="#,##0,"/>
  </numFmts>
  <fonts count="37">
    <font>
      <sz val="12"/>
      <name val="바탕체"/>
      <family val="1"/>
      <charset val="129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2"/>
      <name val="바탕체"/>
      <family val="1"/>
      <charset val="129"/>
    </font>
    <font>
      <sz val="12"/>
      <name val="바탕체"/>
      <family val="1"/>
      <charset val="129"/>
    </font>
    <font>
      <sz val="10"/>
      <name val="바탕체"/>
      <family val="1"/>
      <charset val="129"/>
    </font>
    <font>
      <sz val="8"/>
      <name val="바탕"/>
      <family val="1"/>
      <charset val="129"/>
    </font>
    <font>
      <sz val="10"/>
      <name val="Geneva"/>
      <family val="2"/>
    </font>
    <font>
      <sz val="10"/>
      <name val="Arial"/>
      <family val="2"/>
    </font>
    <font>
      <sz val="10"/>
      <name val="MS Sans Serif"/>
      <family val="2"/>
    </font>
    <font>
      <sz val="8"/>
      <name val="Arial"/>
      <family val="2"/>
    </font>
    <font>
      <b/>
      <sz val="20"/>
      <name val="굴림체"/>
      <family val="3"/>
      <charset val="129"/>
    </font>
    <font>
      <sz val="10"/>
      <name val="굴림체"/>
      <family val="3"/>
      <charset val="129"/>
    </font>
    <font>
      <b/>
      <sz val="10"/>
      <name val="굴림체"/>
      <family val="3"/>
      <charset val="129"/>
    </font>
    <font>
      <sz val="7"/>
      <name val="굴림체"/>
      <family val="3"/>
      <charset val="129"/>
    </font>
    <font>
      <b/>
      <sz val="14"/>
      <name val="굴림체"/>
      <family val="3"/>
      <charset val="129"/>
    </font>
    <font>
      <b/>
      <sz val="10"/>
      <name val="바탕체"/>
      <family val="1"/>
      <charset val="129"/>
    </font>
    <font>
      <b/>
      <sz val="12"/>
      <name val="굴림체"/>
      <family val="3"/>
      <charset val="129"/>
    </font>
    <font>
      <b/>
      <sz val="14"/>
      <name val="바탕체"/>
      <family val="1"/>
      <charset val="129"/>
    </font>
    <font>
      <sz val="14"/>
      <name val="바탕체"/>
      <family val="1"/>
      <charset val="129"/>
    </font>
    <font>
      <b/>
      <sz val="14"/>
      <name val="돋움"/>
      <family val="3"/>
      <charset val="129"/>
    </font>
    <font>
      <sz val="8"/>
      <name val="바탕체"/>
      <family val="1"/>
      <charset val="129"/>
    </font>
    <font>
      <sz val="8"/>
      <name val="돋움"/>
      <family val="3"/>
      <charset val="129"/>
    </font>
    <font>
      <b/>
      <sz val="11"/>
      <name val="굴림체"/>
      <family val="3"/>
      <charset val="129"/>
    </font>
    <font>
      <sz val="11"/>
      <name val="굴림체"/>
      <family val="3"/>
      <charset val="129"/>
    </font>
    <font>
      <sz val="11"/>
      <name val="돋움"/>
      <family val="3"/>
      <charset val="129"/>
    </font>
    <font>
      <b/>
      <sz val="11"/>
      <name val="돋움"/>
      <family val="3"/>
      <charset val="129"/>
    </font>
    <font>
      <b/>
      <sz val="10.5"/>
      <name val="굴림체"/>
      <family val="3"/>
      <charset val="129"/>
    </font>
    <font>
      <b/>
      <sz val="22"/>
      <name val="휴먼모음T"/>
      <family val="1"/>
      <charset val="129"/>
    </font>
    <font>
      <sz val="10"/>
      <color indexed="12"/>
      <name val="굴림체"/>
      <family val="3"/>
      <charset val="129"/>
    </font>
    <font>
      <sz val="10"/>
      <color indexed="12"/>
      <name val="바탕체"/>
      <family val="1"/>
      <charset val="129"/>
    </font>
    <font>
      <sz val="7"/>
      <color indexed="12"/>
      <name val="굴림체"/>
      <family val="3"/>
      <charset val="129"/>
    </font>
    <font>
      <sz val="11"/>
      <color indexed="12"/>
      <name val="굴림체"/>
      <family val="3"/>
      <charset val="129"/>
    </font>
    <font>
      <b/>
      <sz val="16"/>
      <color indexed="10"/>
      <name val="굴림체"/>
      <family val="3"/>
      <charset val="129"/>
    </font>
    <font>
      <sz val="11"/>
      <color rgb="FF0000FF"/>
      <name val="굴림체"/>
      <family val="3"/>
      <charset val="129"/>
    </font>
    <font>
      <b/>
      <sz val="10"/>
      <color theme="1"/>
      <name val="굴림체"/>
      <family val="3"/>
      <charset val="129"/>
    </font>
    <font>
      <sz val="11"/>
      <color indexed="8"/>
      <name val="맑은 고딕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CCFFCC"/>
        <bgColor indexed="64"/>
      </patternFill>
    </fill>
  </fills>
  <borders count="3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23">
    <xf numFmtId="0" fontId="0" fillId="0" borderId="0"/>
    <xf numFmtId="38" fontId="7" fillId="0" borderId="0" applyFont="0" applyFill="0" applyBorder="0" applyAlignment="0" applyProtection="0"/>
    <xf numFmtId="4" fontId="7" fillId="0" borderId="0" applyFont="0" applyFill="0" applyBorder="0" applyAlignment="0" applyProtection="0"/>
    <xf numFmtId="177" fontId="7" fillId="0" borderId="0" applyFont="0" applyFill="0" applyBorder="0" applyAlignment="0" applyProtection="0"/>
    <xf numFmtId="178" fontId="7" fillId="0" borderId="0" applyFont="0" applyFill="0" applyBorder="0" applyAlignment="0" applyProtection="0"/>
    <xf numFmtId="38" fontId="10" fillId="2" borderId="0" applyNumberFormat="0" applyBorder="0" applyAlignment="0" applyProtection="0"/>
    <xf numFmtId="10" fontId="10" fillId="3" borderId="1" applyNumberFormat="0" applyBorder="0" applyAlignment="0" applyProtection="0"/>
    <xf numFmtId="38" fontId="9" fillId="0" borderId="0" applyFont="0" applyFill="0" applyBorder="0" applyAlignment="0" applyProtection="0"/>
    <xf numFmtId="40" fontId="9" fillId="0" borderId="0" applyFont="0" applyFill="0" applyBorder="0" applyAlignment="0" applyProtection="0"/>
    <xf numFmtId="177" fontId="9" fillId="0" borderId="0" applyFont="0" applyFill="0" applyBorder="0" applyAlignment="0" applyProtection="0"/>
    <xf numFmtId="178" fontId="9" fillId="0" borderId="0" applyFont="0" applyFill="0" applyBorder="0" applyAlignment="0" applyProtection="0"/>
    <xf numFmtId="179" fontId="8" fillId="0" borderId="0"/>
    <xf numFmtId="0" fontId="7" fillId="0" borderId="0"/>
    <xf numFmtId="10" fontId="8" fillId="0" borderId="0" applyFont="0" applyFill="0" applyBorder="0" applyAlignment="0" applyProtection="0"/>
    <xf numFmtId="9" fontId="9" fillId="0" borderId="2" applyNumberFormat="0" applyBorder="0"/>
    <xf numFmtId="176" fontId="4" fillId="0" borderId="0" applyFont="0" applyFill="0" applyBorder="0" applyAlignment="0" applyProtection="0"/>
    <xf numFmtId="0" fontId="4" fillId="0" borderId="0"/>
    <xf numFmtId="0" fontId="25" fillId="0" borderId="0">
      <alignment vertical="center"/>
    </xf>
    <xf numFmtId="0" fontId="2" fillId="0" borderId="0">
      <alignment vertical="center"/>
    </xf>
    <xf numFmtId="0" fontId="4" fillId="0" borderId="0"/>
    <xf numFmtId="176" fontId="4" fillId="0" borderId="0" applyFont="0" applyFill="0" applyBorder="0" applyAlignment="0" applyProtection="0"/>
    <xf numFmtId="0" fontId="1" fillId="0" borderId="0">
      <alignment vertical="center"/>
    </xf>
    <xf numFmtId="0" fontId="36" fillId="0" borderId="0">
      <alignment vertical="center"/>
    </xf>
  </cellStyleXfs>
  <cellXfs count="218">
    <xf numFmtId="0" fontId="0" fillId="0" borderId="0" xfId="0"/>
    <xf numFmtId="176" fontId="12" fillId="0" borderId="0" xfId="0" applyNumberFormat="1" applyFont="1" applyBorder="1" applyAlignment="1">
      <alignment horizontal="center" vertical="center"/>
    </xf>
    <xf numFmtId="176" fontId="14" fillId="0" borderId="1" xfId="0" applyNumberFormat="1" applyFont="1" applyBorder="1" applyAlignment="1">
      <alignment horizontal="center" vertical="center"/>
    </xf>
    <xf numFmtId="176" fontId="13" fillId="4" borderId="3" xfId="0" applyNumberFormat="1" applyFont="1" applyFill="1" applyBorder="1" applyAlignment="1">
      <alignment horizontal="center" vertical="center"/>
    </xf>
    <xf numFmtId="176" fontId="12" fillId="5" borderId="3" xfId="0" applyNumberFormat="1" applyFont="1" applyFill="1" applyBorder="1" applyAlignment="1">
      <alignment horizontal="right" vertical="center"/>
    </xf>
    <xf numFmtId="176" fontId="14" fillId="5" borderId="4" xfId="0" applyNumberFormat="1" applyFont="1" applyFill="1" applyBorder="1" applyAlignment="1">
      <alignment horizontal="center" vertical="center"/>
    </xf>
    <xf numFmtId="176" fontId="14" fillId="5" borderId="1" xfId="0" applyNumberFormat="1" applyFont="1" applyFill="1" applyBorder="1" applyAlignment="1">
      <alignment horizontal="center" vertical="center"/>
    </xf>
    <xf numFmtId="176" fontId="12" fillId="5" borderId="0" xfId="0" applyNumberFormat="1" applyFont="1" applyFill="1" applyBorder="1" applyAlignment="1">
      <alignment horizontal="center" vertical="center"/>
    </xf>
    <xf numFmtId="0" fontId="15" fillId="0" borderId="0" xfId="0" applyFont="1"/>
    <xf numFmtId="180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5" fillId="0" borderId="0" xfId="0" applyFont="1" applyAlignment="1">
      <alignment horizontal="right" vertical="center"/>
    </xf>
    <xf numFmtId="180" fontId="5" fillId="0" borderId="0" xfId="0" applyNumberFormat="1" applyFont="1" applyAlignment="1">
      <alignment horizontal="right" vertical="center"/>
    </xf>
    <xf numFmtId="176" fontId="13" fillId="4" borderId="3" xfId="0" applyNumberFormat="1" applyFont="1" applyFill="1" applyBorder="1" applyAlignment="1">
      <alignment horizontal="right" vertical="center"/>
    </xf>
    <xf numFmtId="176" fontId="16" fillId="4" borderId="1" xfId="0" applyNumberFormat="1" applyFont="1" applyFill="1" applyBorder="1" applyAlignment="1">
      <alignment horizontal="right" vertical="center"/>
    </xf>
    <xf numFmtId="176" fontId="12" fillId="0" borderId="0" xfId="0" applyNumberFormat="1" applyFont="1" applyBorder="1" applyAlignment="1">
      <alignment horizontal="right" vertical="center"/>
    </xf>
    <xf numFmtId="9" fontId="13" fillId="4" borderId="5" xfId="0" quotePrefix="1" applyNumberFormat="1" applyFont="1" applyFill="1" applyBorder="1" applyAlignment="1">
      <alignment horizontal="right" vertical="center"/>
    </xf>
    <xf numFmtId="176" fontId="13" fillId="5" borderId="6" xfId="0" applyNumberFormat="1" applyFont="1" applyFill="1" applyBorder="1" applyAlignment="1">
      <alignment horizontal="right" vertical="center"/>
    </xf>
    <xf numFmtId="9" fontId="12" fillId="5" borderId="5" xfId="0" quotePrefix="1" applyNumberFormat="1" applyFont="1" applyFill="1" applyBorder="1" applyAlignment="1">
      <alignment horizontal="right" vertical="center"/>
    </xf>
    <xf numFmtId="176" fontId="5" fillId="5" borderId="1" xfId="0" applyNumberFormat="1" applyFont="1" applyFill="1" applyBorder="1" applyAlignment="1">
      <alignment horizontal="right" vertical="center"/>
    </xf>
    <xf numFmtId="176" fontId="12" fillId="0" borderId="3" xfId="0" applyNumberFormat="1" applyFont="1" applyBorder="1" applyAlignment="1">
      <alignment horizontal="right" vertical="center"/>
    </xf>
    <xf numFmtId="176" fontId="12" fillId="0" borderId="3" xfId="0" applyNumberFormat="1" applyFont="1" applyFill="1" applyBorder="1" applyAlignment="1">
      <alignment horizontal="right" vertical="center"/>
    </xf>
    <xf numFmtId="9" fontId="12" fillId="0" borderId="5" xfId="0" quotePrefix="1" applyNumberFormat="1" applyFont="1" applyFill="1" applyBorder="1" applyAlignment="1">
      <alignment horizontal="right" vertical="center"/>
    </xf>
    <xf numFmtId="176" fontId="5" fillId="0" borderId="1" xfId="0" applyNumberFormat="1" applyFont="1" applyFill="1" applyBorder="1" applyAlignment="1">
      <alignment horizontal="right" vertical="center"/>
    </xf>
    <xf numFmtId="9" fontId="16" fillId="4" borderId="7" xfId="0" applyNumberFormat="1" applyFont="1" applyFill="1" applyBorder="1" applyAlignment="1">
      <alignment horizontal="right" vertical="center"/>
    </xf>
    <xf numFmtId="9" fontId="5" fillId="5" borderId="7" xfId="0" applyNumberFormat="1" applyFont="1" applyFill="1" applyBorder="1" applyAlignment="1">
      <alignment horizontal="right" vertical="center"/>
    </xf>
    <xf numFmtId="9" fontId="5" fillId="0" borderId="7" xfId="0" applyNumberFormat="1" applyFont="1" applyFill="1" applyBorder="1" applyAlignment="1">
      <alignment horizontal="right" vertical="center"/>
    </xf>
    <xf numFmtId="0" fontId="13" fillId="5" borderId="10" xfId="0" applyFont="1" applyFill="1" applyBorder="1" applyAlignment="1">
      <alignment horizontal="left"/>
    </xf>
    <xf numFmtId="0" fontId="12" fillId="5" borderId="0" xfId="0" applyFont="1" applyFill="1" applyBorder="1" applyAlignment="1">
      <alignment horizontal="center"/>
    </xf>
    <xf numFmtId="176" fontId="12" fillId="0" borderId="0" xfId="0" applyNumberFormat="1" applyFont="1" applyFill="1" applyBorder="1" applyAlignment="1">
      <alignment horizontal="center" vertical="center"/>
    </xf>
    <xf numFmtId="176" fontId="13" fillId="0" borderId="0" xfId="0" applyNumberFormat="1" applyFont="1" applyFill="1" applyBorder="1" applyAlignment="1">
      <alignment horizontal="right" vertical="center"/>
    </xf>
    <xf numFmtId="181" fontId="13" fillId="0" borderId="0" xfId="0" applyNumberFormat="1" applyFont="1" applyFill="1" applyBorder="1" applyAlignment="1">
      <alignment horizontal="right" vertical="center"/>
    </xf>
    <xf numFmtId="9" fontId="13" fillId="0" borderId="0" xfId="0" quotePrefix="1" applyNumberFormat="1" applyFont="1" applyFill="1" applyBorder="1" applyAlignment="1">
      <alignment horizontal="right" vertical="center"/>
    </xf>
    <xf numFmtId="176" fontId="16" fillId="0" borderId="0" xfId="0" applyNumberFormat="1" applyFont="1" applyFill="1" applyBorder="1" applyAlignment="1">
      <alignment horizontal="right" vertical="center"/>
    </xf>
    <xf numFmtId="9" fontId="16" fillId="0" borderId="0" xfId="0" applyNumberFormat="1" applyFont="1" applyFill="1" applyBorder="1" applyAlignment="1">
      <alignment horizontal="right" vertical="center"/>
    </xf>
    <xf numFmtId="176" fontId="13" fillId="6" borderId="15" xfId="0" quotePrefix="1" applyNumberFormat="1" applyFont="1" applyFill="1" applyBorder="1" applyAlignment="1">
      <alignment horizontal="center" vertical="center"/>
    </xf>
    <xf numFmtId="176" fontId="13" fillId="6" borderId="16" xfId="0" applyNumberFormat="1" applyFont="1" applyFill="1" applyBorder="1" applyAlignment="1">
      <alignment horizontal="center" vertical="center"/>
    </xf>
    <xf numFmtId="176" fontId="13" fillId="6" borderId="1" xfId="0" applyNumberFormat="1" applyFont="1" applyFill="1" applyBorder="1" applyAlignment="1">
      <alignment horizontal="center" vertical="center"/>
    </xf>
    <xf numFmtId="9" fontId="13" fillId="6" borderId="5" xfId="0" applyNumberFormat="1" applyFont="1" applyFill="1" applyBorder="1" applyAlignment="1">
      <alignment horizontal="center" vertical="center"/>
    </xf>
    <xf numFmtId="0" fontId="16" fillId="6" borderId="1" xfId="0" applyFont="1" applyFill="1" applyBorder="1" applyAlignment="1">
      <alignment horizontal="center" vertical="center"/>
    </xf>
    <xf numFmtId="180" fontId="13" fillId="6" borderId="7" xfId="0" applyNumberFormat="1" applyFont="1" applyFill="1" applyBorder="1" applyAlignment="1">
      <alignment horizontal="center" vertical="center"/>
    </xf>
    <xf numFmtId="182" fontId="13" fillId="4" borderId="3" xfId="0" applyNumberFormat="1" applyFont="1" applyFill="1" applyBorder="1" applyAlignment="1">
      <alignment horizontal="right" vertical="center"/>
    </xf>
    <xf numFmtId="182" fontId="12" fillId="0" borderId="4" xfId="0" applyNumberFormat="1" applyFont="1" applyBorder="1" applyAlignment="1">
      <alignment horizontal="right" vertical="center"/>
    </xf>
    <xf numFmtId="182" fontId="12" fillId="0" borderId="1" xfId="0" applyNumberFormat="1" applyFont="1" applyBorder="1" applyAlignment="1">
      <alignment horizontal="right" vertical="center"/>
    </xf>
    <xf numFmtId="0" fontId="12" fillId="0" borderId="0" xfId="0" applyFont="1" applyAlignment="1">
      <alignment horizontal="center" vertical="center"/>
    </xf>
    <xf numFmtId="9" fontId="5" fillId="5" borderId="1" xfId="0" applyNumberFormat="1" applyFont="1" applyFill="1" applyBorder="1" applyAlignment="1">
      <alignment horizontal="right" vertical="center"/>
    </xf>
    <xf numFmtId="176" fontId="14" fillId="0" borderId="1" xfId="0" applyNumberFormat="1" applyFont="1" applyFill="1" applyBorder="1" applyAlignment="1">
      <alignment horizontal="center" vertical="center"/>
    </xf>
    <xf numFmtId="0" fontId="17" fillId="0" borderId="0" xfId="0" applyFont="1" applyAlignment="1">
      <alignment horizontal="left" vertical="center"/>
    </xf>
    <xf numFmtId="176" fontId="12" fillId="0" borderId="4" xfId="0" applyNumberFormat="1" applyFont="1" applyFill="1" applyBorder="1" applyAlignment="1">
      <alignment horizontal="center" vertical="center"/>
    </xf>
    <xf numFmtId="176" fontId="12" fillId="0" borderId="1" xfId="0" applyNumberFormat="1" applyFont="1" applyFill="1" applyBorder="1" applyAlignment="1">
      <alignment horizontal="center" vertical="center"/>
    </xf>
    <xf numFmtId="41" fontId="12" fillId="0" borderId="1" xfId="0" applyNumberFormat="1" applyFont="1" applyFill="1" applyBorder="1" applyAlignment="1">
      <alignment horizontal="center" vertical="center"/>
    </xf>
    <xf numFmtId="0" fontId="20" fillId="0" borderId="0" xfId="0" applyFont="1"/>
    <xf numFmtId="0" fontId="4" fillId="0" borderId="0" xfId="16"/>
    <xf numFmtId="0" fontId="23" fillId="6" borderId="19" xfId="0" applyFont="1" applyFill="1" applyBorder="1" applyAlignment="1">
      <alignment horizontal="center" vertical="center"/>
    </xf>
    <xf numFmtId="180" fontId="23" fillId="6" borderId="20" xfId="0" quotePrefix="1" applyNumberFormat="1" applyFont="1" applyFill="1" applyBorder="1" applyAlignment="1">
      <alignment horizontal="center" vertical="center"/>
    </xf>
    <xf numFmtId="0" fontId="23" fillId="4" borderId="19" xfId="0" applyFont="1" applyFill="1" applyBorder="1" applyAlignment="1">
      <alignment horizontal="center" vertical="center"/>
    </xf>
    <xf numFmtId="0" fontId="23" fillId="0" borderId="0" xfId="0" applyFont="1" applyBorder="1" applyAlignment="1">
      <alignment horizontal="center" vertical="center"/>
    </xf>
    <xf numFmtId="183" fontId="24" fillId="0" borderId="0" xfId="0" applyNumberFormat="1" applyFont="1" applyBorder="1" applyAlignment="1">
      <alignment vertical="center"/>
    </xf>
    <xf numFmtId="0" fontId="4" fillId="0" borderId="0" xfId="16" applyAlignment="1">
      <alignment horizontal="right"/>
    </xf>
    <xf numFmtId="180" fontId="4" fillId="0" borderId="0" xfId="16" applyNumberFormat="1" applyAlignment="1">
      <alignment horizontal="right"/>
    </xf>
    <xf numFmtId="0" fontId="5" fillId="0" borderId="0" xfId="16" applyFont="1" applyAlignment="1">
      <alignment horizontal="right" vertical="center"/>
    </xf>
    <xf numFmtId="180" fontId="5" fillId="0" borderId="0" xfId="16" applyNumberFormat="1" applyFont="1" applyAlignment="1">
      <alignment horizontal="right" vertical="center"/>
    </xf>
    <xf numFmtId="0" fontId="17" fillId="0" borderId="0" xfId="16" applyFont="1" applyAlignment="1">
      <alignment vertical="center"/>
    </xf>
    <xf numFmtId="0" fontId="15" fillId="0" borderId="0" xfId="16" applyFont="1" applyAlignment="1">
      <alignment vertical="center"/>
    </xf>
    <xf numFmtId="0" fontId="25" fillId="0" borderId="0" xfId="17">
      <alignment vertical="center"/>
    </xf>
    <xf numFmtId="0" fontId="25" fillId="0" borderId="0" xfId="17" applyAlignment="1">
      <alignment horizontal="right"/>
    </xf>
    <xf numFmtId="180" fontId="25" fillId="0" borderId="0" xfId="17" applyNumberFormat="1" applyAlignment="1">
      <alignment horizontal="right"/>
    </xf>
    <xf numFmtId="0" fontId="5" fillId="0" borderId="0" xfId="17" applyFont="1" applyAlignment="1">
      <alignment horizontal="right" vertical="center"/>
    </xf>
    <xf numFmtId="180" fontId="5" fillId="0" borderId="0" xfId="17" applyNumberFormat="1" applyFont="1" applyAlignment="1">
      <alignment horizontal="right" vertical="center"/>
    </xf>
    <xf numFmtId="176" fontId="13" fillId="6" borderId="20" xfId="17" quotePrefix="1" applyNumberFormat="1" applyFont="1" applyFill="1" applyBorder="1" applyAlignment="1">
      <alignment horizontal="center" vertical="center"/>
    </xf>
    <xf numFmtId="176" fontId="13" fillId="6" borderId="1" xfId="17" applyNumberFormat="1" applyFont="1" applyFill="1" applyBorder="1" applyAlignment="1">
      <alignment horizontal="center" vertical="center"/>
    </xf>
    <xf numFmtId="9" fontId="13" fillId="6" borderId="1" xfId="17" applyNumberFormat="1" applyFont="1" applyFill="1" applyBorder="1" applyAlignment="1">
      <alignment horizontal="center" vertical="center"/>
    </xf>
    <xf numFmtId="0" fontId="16" fillId="6" borderId="1" xfId="17" applyFont="1" applyFill="1" applyBorder="1" applyAlignment="1">
      <alignment horizontal="center" vertical="center"/>
    </xf>
    <xf numFmtId="0" fontId="23" fillId="5" borderId="1" xfId="17" applyFont="1" applyFill="1" applyBorder="1" applyAlignment="1">
      <alignment horizontal="center" vertical="center"/>
    </xf>
    <xf numFmtId="0" fontId="27" fillId="0" borderId="22" xfId="0" applyFont="1" applyBorder="1" applyAlignment="1">
      <alignment horizontal="center" vertical="center"/>
    </xf>
    <xf numFmtId="0" fontId="28" fillId="0" borderId="0" xfId="17" applyFont="1">
      <alignment vertical="center"/>
    </xf>
    <xf numFmtId="182" fontId="29" fillId="0" borderId="4" xfId="0" applyNumberFormat="1" applyFont="1" applyFill="1" applyBorder="1" applyAlignment="1">
      <alignment horizontal="right" vertical="center"/>
    </xf>
    <xf numFmtId="9" fontId="29" fillId="0" borderId="5" xfId="0" quotePrefix="1" applyNumberFormat="1" applyFont="1" applyFill="1" applyBorder="1" applyAlignment="1">
      <alignment horizontal="right" vertical="center"/>
    </xf>
    <xf numFmtId="9" fontId="30" fillId="0" borderId="7" xfId="0" applyNumberFormat="1" applyFont="1" applyFill="1" applyBorder="1" applyAlignment="1">
      <alignment horizontal="right" vertical="center"/>
    </xf>
    <xf numFmtId="182" fontId="29" fillId="5" borderId="4" xfId="0" applyNumberFormat="1" applyFont="1" applyFill="1" applyBorder="1" applyAlignment="1">
      <alignment horizontal="right" vertical="center"/>
    </xf>
    <xf numFmtId="9" fontId="29" fillId="5" borderId="5" xfId="0" quotePrefix="1" applyNumberFormat="1" applyFont="1" applyFill="1" applyBorder="1" applyAlignment="1">
      <alignment horizontal="right" vertical="center"/>
    </xf>
    <xf numFmtId="9" fontId="30" fillId="5" borderId="7" xfId="0" applyNumberFormat="1" applyFont="1" applyFill="1" applyBorder="1" applyAlignment="1">
      <alignment horizontal="right" vertical="center"/>
    </xf>
    <xf numFmtId="176" fontId="31" fillId="0" borderId="4" xfId="0" applyNumberFormat="1" applyFont="1" applyFill="1" applyBorder="1" applyAlignment="1">
      <alignment horizontal="center" vertical="center"/>
    </xf>
    <xf numFmtId="176" fontId="31" fillId="5" borderId="4" xfId="0" applyNumberFormat="1" applyFont="1" applyFill="1" applyBorder="1" applyAlignment="1">
      <alignment horizontal="center" vertical="center"/>
    </xf>
    <xf numFmtId="176" fontId="31" fillId="5" borderId="1" xfId="0" applyNumberFormat="1" applyFont="1" applyFill="1" applyBorder="1" applyAlignment="1">
      <alignment horizontal="center" vertical="center"/>
    </xf>
    <xf numFmtId="176" fontId="29" fillId="5" borderId="1" xfId="0" applyNumberFormat="1" applyFont="1" applyFill="1" applyBorder="1" applyAlignment="1">
      <alignment horizontal="center" vertical="center"/>
    </xf>
    <xf numFmtId="176" fontId="29" fillId="5" borderId="1" xfId="0" applyNumberFormat="1" applyFont="1" applyFill="1" applyBorder="1" applyAlignment="1">
      <alignment horizontal="right" vertical="center"/>
    </xf>
    <xf numFmtId="9" fontId="30" fillId="5" borderId="1" xfId="0" applyNumberFormat="1" applyFont="1" applyFill="1" applyBorder="1" applyAlignment="1">
      <alignment horizontal="right" vertical="center"/>
    </xf>
    <xf numFmtId="176" fontId="30" fillId="5" borderId="1" xfId="0" applyNumberFormat="1" applyFont="1" applyFill="1" applyBorder="1" applyAlignment="1">
      <alignment horizontal="right" vertical="center"/>
    </xf>
    <xf numFmtId="176" fontId="13" fillId="4" borderId="3" xfId="0" applyNumberFormat="1" applyFont="1" applyFill="1" applyBorder="1" applyAlignment="1">
      <alignment horizontal="center" vertical="center" shrinkToFit="1"/>
    </xf>
    <xf numFmtId="176" fontId="13" fillId="4" borderId="3" xfId="0" applyNumberFormat="1" applyFont="1" applyFill="1" applyBorder="1" applyAlignment="1">
      <alignment horizontal="right" vertical="center" shrinkToFit="1"/>
    </xf>
    <xf numFmtId="9" fontId="13" fillId="4" borderId="5" xfId="0" quotePrefix="1" applyNumberFormat="1" applyFont="1" applyFill="1" applyBorder="1" applyAlignment="1">
      <alignment horizontal="right" vertical="center" shrinkToFit="1"/>
    </xf>
    <xf numFmtId="176" fontId="16" fillId="4" borderId="1" xfId="0" applyNumberFormat="1" applyFont="1" applyFill="1" applyBorder="1" applyAlignment="1">
      <alignment horizontal="right" vertical="center" shrinkToFit="1"/>
    </xf>
    <xf numFmtId="185" fontId="13" fillId="4" borderId="1" xfId="17" applyNumberFormat="1" applyFont="1" applyFill="1" applyBorder="1" applyAlignment="1">
      <alignment horizontal="right" vertical="center" shrinkToFit="1"/>
    </xf>
    <xf numFmtId="184" fontId="13" fillId="4" borderId="1" xfId="17" quotePrefix="1" applyNumberFormat="1" applyFont="1" applyFill="1" applyBorder="1" applyAlignment="1">
      <alignment horizontal="right" vertical="center" shrinkToFit="1"/>
    </xf>
    <xf numFmtId="176" fontId="16" fillId="4" borderId="1" xfId="17" applyNumberFormat="1" applyFont="1" applyFill="1" applyBorder="1" applyAlignment="1">
      <alignment horizontal="right" vertical="center" shrinkToFit="1"/>
    </xf>
    <xf numFmtId="185" fontId="13" fillId="5" borderId="1" xfId="17" applyNumberFormat="1" applyFont="1" applyFill="1" applyBorder="1" applyAlignment="1">
      <alignment horizontal="right" vertical="center" shrinkToFit="1"/>
    </xf>
    <xf numFmtId="184" fontId="13" fillId="5" borderId="1" xfId="17" quotePrefix="1" applyNumberFormat="1" applyFont="1" applyFill="1" applyBorder="1" applyAlignment="1">
      <alignment horizontal="right" vertical="center" shrinkToFit="1"/>
    </xf>
    <xf numFmtId="176" fontId="16" fillId="5" borderId="1" xfId="17" applyNumberFormat="1" applyFont="1" applyFill="1" applyBorder="1" applyAlignment="1">
      <alignment horizontal="right" vertical="center" shrinkToFit="1"/>
    </xf>
    <xf numFmtId="183" fontId="23" fillId="4" borderId="1" xfId="17" applyNumberFormat="1" applyFont="1" applyFill="1" applyBorder="1" applyAlignment="1">
      <alignment vertical="center" shrinkToFit="1"/>
    </xf>
    <xf numFmtId="0" fontId="17" fillId="0" borderId="0" xfId="16" applyFont="1" applyAlignment="1">
      <alignment horizontal="left" vertical="center"/>
    </xf>
    <xf numFmtId="0" fontId="17" fillId="0" borderId="0" xfId="0" applyFont="1" applyAlignment="1">
      <alignment horizontal="left" vertical="top"/>
    </xf>
    <xf numFmtId="0" fontId="0" fillId="0" borderId="0" xfId="16" applyFont="1"/>
    <xf numFmtId="0" fontId="0" fillId="0" borderId="0" xfId="0" applyFont="1"/>
    <xf numFmtId="181" fontId="13" fillId="4" borderId="12" xfId="0" applyNumberFormat="1" applyFont="1" applyFill="1" applyBorder="1" applyAlignment="1">
      <alignment horizontal="right" vertical="center"/>
    </xf>
    <xf numFmtId="176" fontId="13" fillId="4" borderId="24" xfId="0" applyNumberFormat="1" applyFont="1" applyFill="1" applyBorder="1" applyAlignment="1">
      <alignment horizontal="right" vertical="center" shrinkToFit="1"/>
    </xf>
    <xf numFmtId="9" fontId="13" fillId="4" borderId="13" xfId="0" quotePrefix="1" applyNumberFormat="1" applyFont="1" applyFill="1" applyBorder="1" applyAlignment="1">
      <alignment horizontal="right" vertical="center"/>
    </xf>
    <xf numFmtId="176" fontId="16" fillId="4" borderId="12" xfId="0" applyNumberFormat="1" applyFont="1" applyFill="1" applyBorder="1" applyAlignment="1">
      <alignment horizontal="right" vertical="center"/>
    </xf>
    <xf numFmtId="9" fontId="16" fillId="4" borderId="14" xfId="0" applyNumberFormat="1" applyFont="1" applyFill="1" applyBorder="1" applyAlignment="1">
      <alignment horizontal="right" vertical="center"/>
    </xf>
    <xf numFmtId="0" fontId="23" fillId="0" borderId="1" xfId="17" applyFont="1" applyFill="1" applyBorder="1" applyAlignment="1">
      <alignment horizontal="center" vertical="center"/>
    </xf>
    <xf numFmtId="185" fontId="13" fillId="0" borderId="1" xfId="17" applyNumberFormat="1" applyFont="1" applyFill="1" applyBorder="1" applyAlignment="1">
      <alignment horizontal="right" vertical="center" shrinkToFit="1"/>
    </xf>
    <xf numFmtId="180" fontId="0" fillId="0" borderId="18" xfId="0" applyNumberFormat="1" applyBorder="1" applyAlignment="1">
      <alignment horizontal="center"/>
    </xf>
    <xf numFmtId="176" fontId="35" fillId="6" borderId="1" xfId="17" applyNumberFormat="1" applyFont="1" applyFill="1" applyBorder="1" applyAlignment="1">
      <alignment horizontal="center" vertical="center"/>
    </xf>
    <xf numFmtId="183" fontId="24" fillId="0" borderId="12" xfId="0" applyNumberFormat="1" applyFont="1" applyBorder="1" applyAlignment="1">
      <alignment horizontal="right" vertical="center"/>
    </xf>
    <xf numFmtId="183" fontId="32" fillId="0" borderId="23" xfId="0" applyNumberFormat="1" applyFont="1" applyBorder="1" applyAlignment="1">
      <alignment horizontal="right" vertical="center"/>
    </xf>
    <xf numFmtId="183" fontId="24" fillId="0" borderId="12" xfId="0" applyNumberFormat="1" applyFont="1" applyBorder="1" applyAlignment="1">
      <alignment horizontal="right" vertical="center" shrinkToFit="1"/>
    </xf>
    <xf numFmtId="183" fontId="32" fillId="0" borderId="23" xfId="0" applyNumberFormat="1" applyFont="1" applyBorder="1" applyAlignment="1">
      <alignment horizontal="right" vertical="center" shrinkToFit="1"/>
    </xf>
    <xf numFmtId="176" fontId="34" fillId="0" borderId="23" xfId="15" applyFont="1" applyBorder="1" applyAlignment="1">
      <alignment horizontal="right" vertical="center" shrinkToFit="1"/>
    </xf>
    <xf numFmtId="176" fontId="13" fillId="6" borderId="17" xfId="0" applyNumberFormat="1" applyFont="1" applyFill="1" applyBorder="1" applyAlignment="1">
      <alignment horizontal="center" vertical="center"/>
    </xf>
    <xf numFmtId="176" fontId="13" fillId="6" borderId="5" xfId="0" applyNumberFormat="1" applyFont="1" applyFill="1" applyBorder="1" applyAlignment="1">
      <alignment horizontal="center" vertical="center"/>
    </xf>
    <xf numFmtId="0" fontId="25" fillId="0" borderId="0" xfId="17" applyFont="1">
      <alignment vertical="center"/>
    </xf>
    <xf numFmtId="186" fontId="23" fillId="6" borderId="21" xfId="0" applyNumberFormat="1" applyFont="1" applyFill="1" applyBorder="1" applyAlignment="1">
      <alignment horizontal="center" vertical="center"/>
    </xf>
    <xf numFmtId="187" fontId="23" fillId="6" borderId="21" xfId="0" quotePrefix="1" applyNumberFormat="1" applyFont="1" applyFill="1" applyBorder="1" applyAlignment="1">
      <alignment horizontal="center" vertical="center"/>
    </xf>
    <xf numFmtId="176" fontId="12" fillId="0" borderId="4" xfId="0" applyNumberFormat="1" applyFont="1" applyFill="1" applyBorder="1" applyAlignment="1">
      <alignment horizontal="center" vertical="center"/>
    </xf>
    <xf numFmtId="183" fontId="24" fillId="0" borderId="1" xfId="17" applyNumberFormat="1" applyFont="1" applyBorder="1" applyAlignment="1">
      <alignment vertical="center" shrinkToFit="1"/>
    </xf>
    <xf numFmtId="41" fontId="24" fillId="0" borderId="1" xfId="17" applyNumberFormat="1" applyFont="1" applyBorder="1" applyAlignment="1">
      <alignment vertical="center" shrinkToFit="1"/>
    </xf>
    <xf numFmtId="180" fontId="13" fillId="6" borderId="7" xfId="17" applyNumberFormat="1" applyFont="1" applyFill="1" applyBorder="1" applyAlignment="1">
      <alignment horizontal="center" vertical="center"/>
    </xf>
    <xf numFmtId="184" fontId="13" fillId="4" borderId="7" xfId="17" quotePrefix="1" applyNumberFormat="1" applyFont="1" applyFill="1" applyBorder="1" applyAlignment="1">
      <alignment horizontal="right" vertical="center" shrinkToFit="1"/>
    </xf>
    <xf numFmtId="184" fontId="13" fillId="5" borderId="7" xfId="17" quotePrefix="1" applyNumberFormat="1" applyFont="1" applyFill="1" applyBorder="1" applyAlignment="1">
      <alignment horizontal="right" vertical="center" shrinkToFit="1"/>
    </xf>
    <xf numFmtId="184" fontId="13" fillId="5" borderId="7" xfId="17" quotePrefix="1" applyNumberFormat="1" applyFont="1" applyFill="1" applyBorder="1" applyAlignment="1">
      <alignment horizontal="right" vertical="center"/>
    </xf>
    <xf numFmtId="0" fontId="23" fillId="5" borderId="12" xfId="17" applyFont="1" applyFill="1" applyBorder="1" applyAlignment="1">
      <alignment horizontal="center" vertical="center"/>
    </xf>
    <xf numFmtId="183" fontId="24" fillId="0" borderId="12" xfId="17" applyNumberFormat="1" applyFont="1" applyBorder="1" applyAlignment="1">
      <alignment vertical="center" shrinkToFit="1"/>
    </xf>
    <xf numFmtId="185" fontId="13" fillId="5" borderId="12" xfId="17" applyNumberFormat="1" applyFont="1" applyFill="1" applyBorder="1" applyAlignment="1">
      <alignment horizontal="right" vertical="center" shrinkToFit="1"/>
    </xf>
    <xf numFmtId="184" fontId="13" fillId="5" borderId="12" xfId="17" quotePrefix="1" applyNumberFormat="1" applyFont="1" applyFill="1" applyBorder="1" applyAlignment="1">
      <alignment horizontal="right" vertical="center" shrinkToFit="1"/>
    </xf>
    <xf numFmtId="176" fontId="16" fillId="5" borderId="12" xfId="17" applyNumberFormat="1" applyFont="1" applyFill="1" applyBorder="1" applyAlignment="1">
      <alignment horizontal="right" vertical="center" shrinkToFit="1"/>
    </xf>
    <xf numFmtId="184" fontId="13" fillId="5" borderId="14" xfId="17" quotePrefix="1" applyNumberFormat="1" applyFont="1" applyFill="1" applyBorder="1" applyAlignment="1">
      <alignment horizontal="right" vertical="center" shrinkToFit="1"/>
    </xf>
    <xf numFmtId="176" fontId="12" fillId="5" borderId="1" xfId="0" applyNumberFormat="1" applyFont="1" applyFill="1" applyBorder="1" applyAlignment="1">
      <alignment horizontal="right" vertical="center"/>
    </xf>
    <xf numFmtId="3" fontId="0" fillId="0" borderId="0" xfId="0" applyNumberFormat="1"/>
    <xf numFmtId="188" fontId="12" fillId="0" borderId="4" xfId="0" applyNumberFormat="1" applyFont="1" applyBorder="1" applyAlignment="1">
      <alignment horizontal="right" vertical="center"/>
    </xf>
    <xf numFmtId="182" fontId="12" fillId="5" borderId="3" xfId="0" applyNumberFormat="1" applyFont="1" applyFill="1" applyBorder="1" applyAlignment="1">
      <alignment horizontal="right" vertical="center"/>
    </xf>
    <xf numFmtId="182" fontId="12" fillId="0" borderId="3" xfId="0" applyNumberFormat="1" applyFont="1" applyFill="1" applyBorder="1" applyAlignment="1">
      <alignment horizontal="right" vertical="center"/>
    </xf>
    <xf numFmtId="182" fontId="29" fillId="5" borderId="3" xfId="0" applyNumberFormat="1" applyFont="1" applyFill="1" applyBorder="1" applyAlignment="1">
      <alignment horizontal="right" vertical="center"/>
    </xf>
    <xf numFmtId="182" fontId="29" fillId="0" borderId="3" xfId="0" applyNumberFormat="1" applyFont="1" applyFill="1" applyBorder="1" applyAlignment="1">
      <alignment horizontal="right" vertical="center"/>
    </xf>
    <xf numFmtId="182" fontId="30" fillId="5" borderId="1" xfId="0" applyNumberFormat="1" applyFont="1" applyFill="1" applyBorder="1" applyAlignment="1">
      <alignment horizontal="right" vertical="center"/>
    </xf>
    <xf numFmtId="182" fontId="5" fillId="5" borderId="1" xfId="0" applyNumberFormat="1" applyFont="1" applyFill="1" applyBorder="1" applyAlignment="1">
      <alignment horizontal="right" vertical="center"/>
    </xf>
    <xf numFmtId="182" fontId="30" fillId="0" borderId="1" xfId="0" applyNumberFormat="1" applyFont="1" applyFill="1" applyBorder="1" applyAlignment="1">
      <alignment horizontal="right" vertical="center"/>
    </xf>
    <xf numFmtId="182" fontId="16" fillId="4" borderId="1" xfId="0" applyNumberFormat="1" applyFont="1" applyFill="1" applyBorder="1" applyAlignment="1">
      <alignment horizontal="right" vertical="center"/>
    </xf>
    <xf numFmtId="41" fontId="24" fillId="0" borderId="7" xfId="17" applyNumberFormat="1" applyFont="1" applyBorder="1" applyAlignment="1">
      <alignment vertical="center" shrinkToFit="1"/>
    </xf>
    <xf numFmtId="0" fontId="23" fillId="4" borderId="1" xfId="17" applyFont="1" applyFill="1" applyBorder="1" applyAlignment="1">
      <alignment horizontal="center" vertical="center"/>
    </xf>
    <xf numFmtId="176" fontId="12" fillId="7" borderId="9" xfId="0" applyNumberFormat="1" applyFont="1" applyFill="1" applyBorder="1" applyAlignment="1">
      <alignment horizontal="center" vertical="center"/>
    </xf>
    <xf numFmtId="176" fontId="12" fillId="7" borderId="8" xfId="0" applyNumberFormat="1" applyFont="1" applyFill="1" applyBorder="1" applyAlignment="1">
      <alignment horizontal="center" vertical="center"/>
    </xf>
    <xf numFmtId="176" fontId="13" fillId="7" borderId="8" xfId="0" applyNumberFormat="1" applyFont="1" applyFill="1" applyBorder="1" applyAlignment="1">
      <alignment horizontal="left" vertical="center"/>
    </xf>
    <xf numFmtId="176" fontId="12" fillId="7" borderId="8" xfId="0" applyNumberFormat="1" applyFont="1" applyFill="1" applyBorder="1" applyAlignment="1">
      <alignment horizontal="left" vertical="center"/>
    </xf>
    <xf numFmtId="176" fontId="12" fillId="7" borderId="11" xfId="0" applyNumberFormat="1" applyFont="1" applyFill="1" applyBorder="1" applyAlignment="1">
      <alignment vertical="center"/>
    </xf>
    <xf numFmtId="183" fontId="34" fillId="0" borderId="12" xfId="0" applyNumberFormat="1" applyFont="1" applyBorder="1" applyAlignment="1">
      <alignment horizontal="right" vertical="center"/>
    </xf>
    <xf numFmtId="176" fontId="12" fillId="0" borderId="1" xfId="0" applyNumberFormat="1" applyFont="1" applyBorder="1" applyAlignment="1">
      <alignment horizontal="center" vertical="center"/>
    </xf>
    <xf numFmtId="176" fontId="12" fillId="5" borderId="5" xfId="0" applyNumberFormat="1" applyFont="1" applyFill="1" applyBorder="1" applyAlignment="1">
      <alignment horizontal="center" vertical="center"/>
    </xf>
    <xf numFmtId="176" fontId="12" fillId="5" borderId="3" xfId="0" applyNumberFormat="1" applyFont="1" applyFill="1" applyBorder="1" applyAlignment="1">
      <alignment horizontal="center" vertical="center"/>
    </xf>
    <xf numFmtId="176" fontId="12" fillId="0" borderId="5" xfId="0" applyNumberFormat="1" applyFont="1" applyFill="1" applyBorder="1" applyAlignment="1">
      <alignment horizontal="center" vertical="center"/>
    </xf>
    <xf numFmtId="176" fontId="12" fillId="0" borderId="3" xfId="0" applyNumberFormat="1" applyFont="1" applyFill="1" applyBorder="1" applyAlignment="1">
      <alignment horizontal="center" vertical="center"/>
    </xf>
    <xf numFmtId="176" fontId="13" fillId="0" borderId="0" xfId="0" applyNumberFormat="1" applyFont="1" applyBorder="1" applyAlignment="1">
      <alignment horizontal="right" vertical="center"/>
    </xf>
    <xf numFmtId="0" fontId="3" fillId="0" borderId="0" xfId="0" applyFont="1" applyBorder="1" applyAlignment="1">
      <alignment horizontal="right" vertical="center"/>
    </xf>
    <xf numFmtId="176" fontId="12" fillId="5" borderId="4" xfId="0" applyNumberFormat="1" applyFont="1" applyFill="1" applyBorder="1" applyAlignment="1">
      <alignment horizontal="center" vertical="center"/>
    </xf>
    <xf numFmtId="176" fontId="12" fillId="5" borderId="25" xfId="0" applyNumberFormat="1" applyFont="1" applyFill="1" applyBorder="1" applyAlignment="1">
      <alignment horizontal="center" vertical="center"/>
    </xf>
    <xf numFmtId="176" fontId="12" fillId="5" borderId="16" xfId="0" applyNumberFormat="1" applyFont="1" applyFill="1" applyBorder="1" applyAlignment="1">
      <alignment horizontal="center" vertical="center"/>
    </xf>
    <xf numFmtId="176" fontId="13" fillId="7" borderId="9" xfId="0" applyNumberFormat="1" applyFont="1" applyFill="1" applyBorder="1" applyAlignment="1">
      <alignment horizontal="center" vertical="center"/>
    </xf>
    <xf numFmtId="176" fontId="13" fillId="7" borderId="8" xfId="0" applyNumberFormat="1" applyFont="1" applyFill="1" applyBorder="1" applyAlignment="1">
      <alignment horizontal="center" vertical="center"/>
    </xf>
    <xf numFmtId="176" fontId="13" fillId="7" borderId="11" xfId="0" applyNumberFormat="1" applyFont="1" applyFill="1" applyBorder="1" applyAlignment="1">
      <alignment horizontal="center" vertical="center"/>
    </xf>
    <xf numFmtId="176" fontId="13" fillId="4" borderId="5" xfId="0" applyNumberFormat="1" applyFont="1" applyFill="1" applyBorder="1" applyAlignment="1">
      <alignment horizontal="center" vertical="center"/>
    </xf>
    <xf numFmtId="176" fontId="13" fillId="4" borderId="3" xfId="0" applyNumberFormat="1" applyFont="1" applyFill="1" applyBorder="1" applyAlignment="1">
      <alignment horizontal="center" vertical="center"/>
    </xf>
    <xf numFmtId="9" fontId="13" fillId="5" borderId="6" xfId="0" applyNumberFormat="1" applyFont="1" applyFill="1" applyBorder="1" applyAlignment="1">
      <alignment horizontal="right"/>
    </xf>
    <xf numFmtId="9" fontId="13" fillId="5" borderId="6" xfId="0" quotePrefix="1" applyNumberFormat="1" applyFont="1" applyFill="1" applyBorder="1" applyAlignment="1">
      <alignment horizontal="right"/>
    </xf>
    <xf numFmtId="9" fontId="13" fillId="5" borderId="26" xfId="0" quotePrefix="1" applyNumberFormat="1" applyFont="1" applyFill="1" applyBorder="1" applyAlignment="1">
      <alignment horizontal="right"/>
    </xf>
    <xf numFmtId="176" fontId="13" fillId="6" borderId="20" xfId="0" applyNumberFormat="1" applyFont="1" applyFill="1" applyBorder="1" applyAlignment="1">
      <alignment horizontal="center" vertical="center"/>
    </xf>
    <xf numFmtId="176" fontId="12" fillId="2" borderId="4" xfId="0" applyNumberFormat="1" applyFont="1" applyFill="1" applyBorder="1" applyAlignment="1">
      <alignment horizontal="center" vertical="center"/>
    </xf>
    <xf numFmtId="176" fontId="12" fillId="2" borderId="25" xfId="0" applyNumberFormat="1" applyFont="1" applyFill="1" applyBorder="1" applyAlignment="1">
      <alignment horizontal="center" vertical="center"/>
    </xf>
    <xf numFmtId="176" fontId="12" fillId="2" borderId="16" xfId="0" applyNumberFormat="1" applyFont="1" applyFill="1" applyBorder="1" applyAlignment="1">
      <alignment horizontal="center" vertical="center"/>
    </xf>
    <xf numFmtId="0" fontId="33" fillId="0" borderId="0" xfId="0" applyFont="1" applyAlignment="1">
      <alignment horizontal="center" vertical="center"/>
    </xf>
    <xf numFmtId="176" fontId="13" fillId="6" borderId="27" xfId="0" applyNumberFormat="1" applyFont="1" applyFill="1" applyBorder="1" applyAlignment="1">
      <alignment horizontal="center" vertical="center"/>
    </xf>
    <xf numFmtId="176" fontId="13" fillId="6" borderId="15" xfId="0" applyNumberFormat="1" applyFont="1" applyFill="1" applyBorder="1" applyAlignment="1">
      <alignment horizontal="center" vertical="center"/>
    </xf>
    <xf numFmtId="176" fontId="13" fillId="6" borderId="21" xfId="0" applyNumberFormat="1" applyFont="1" applyFill="1" applyBorder="1" applyAlignment="1">
      <alignment horizontal="center" vertical="center"/>
    </xf>
    <xf numFmtId="176" fontId="13" fillId="6" borderId="28" xfId="0" applyNumberFormat="1" applyFont="1" applyFill="1" applyBorder="1" applyAlignment="1">
      <alignment horizontal="center" vertical="center"/>
    </xf>
    <xf numFmtId="0" fontId="0" fillId="0" borderId="2" xfId="0" applyBorder="1"/>
    <xf numFmtId="0" fontId="0" fillId="0" borderId="29" xfId="0" applyBorder="1"/>
    <xf numFmtId="0" fontId="0" fillId="0" borderId="30" xfId="0" applyBorder="1"/>
    <xf numFmtId="0" fontId="0" fillId="0" borderId="31" xfId="0" applyBorder="1"/>
    <xf numFmtId="0" fontId="0" fillId="0" borderId="32" xfId="0" applyBorder="1"/>
    <xf numFmtId="176" fontId="11" fillId="0" borderId="0" xfId="0" applyNumberFormat="1" applyFont="1" applyAlignment="1">
      <alignment horizontal="center" wrapText="1"/>
    </xf>
    <xf numFmtId="176" fontId="11" fillId="0" borderId="0" xfId="0" applyNumberFormat="1" applyFont="1" applyAlignment="1">
      <alignment horizontal="center"/>
    </xf>
    <xf numFmtId="176" fontId="11" fillId="0" borderId="0" xfId="0" applyNumberFormat="1" applyFont="1" applyAlignment="1">
      <alignment horizontal="center" vertical="top" wrapText="1"/>
    </xf>
    <xf numFmtId="176" fontId="13" fillId="6" borderId="37" xfId="0" applyNumberFormat="1" applyFont="1" applyFill="1" applyBorder="1" applyAlignment="1">
      <alignment horizontal="center" vertical="center"/>
    </xf>
    <xf numFmtId="0" fontId="18" fillId="0" borderId="0" xfId="0" applyFont="1" applyBorder="1" applyAlignment="1">
      <alignment horizontal="left" vertical="center" wrapText="1"/>
    </xf>
    <xf numFmtId="0" fontId="19" fillId="0" borderId="0" xfId="0" applyFont="1" applyBorder="1" applyAlignment="1">
      <alignment horizontal="left" vertical="center"/>
    </xf>
    <xf numFmtId="176" fontId="12" fillId="2" borderId="1" xfId="0" applyNumberFormat="1" applyFont="1" applyFill="1" applyBorder="1" applyAlignment="1">
      <alignment horizontal="center" vertical="center"/>
    </xf>
    <xf numFmtId="176" fontId="13" fillId="6" borderId="33" xfId="0" applyNumberFormat="1" applyFont="1" applyFill="1" applyBorder="1" applyAlignment="1">
      <alignment horizontal="center" vertical="center"/>
    </xf>
    <xf numFmtId="176" fontId="13" fillId="6" borderId="34" xfId="0" applyNumberFormat="1" applyFont="1" applyFill="1" applyBorder="1" applyAlignment="1">
      <alignment horizontal="center" vertical="center"/>
    </xf>
    <xf numFmtId="176" fontId="13" fillId="6" borderId="24" xfId="0" applyNumberFormat="1" applyFont="1" applyFill="1" applyBorder="1" applyAlignment="1">
      <alignment horizontal="center" vertical="center"/>
    </xf>
    <xf numFmtId="0" fontId="17" fillId="0" borderId="0" xfId="0" applyFont="1" applyAlignment="1">
      <alignment horizontal="left" vertical="center"/>
    </xf>
    <xf numFmtId="0" fontId="17" fillId="0" borderId="0" xfId="0" applyFont="1" applyAlignment="1">
      <alignment horizontal="left" vertical="top"/>
    </xf>
    <xf numFmtId="0" fontId="15" fillId="0" borderId="0" xfId="0" applyFont="1" applyAlignment="1">
      <alignment horizontal="left" vertical="center"/>
    </xf>
    <xf numFmtId="180" fontId="0" fillId="0" borderId="18" xfId="0" applyNumberFormat="1" applyBorder="1" applyAlignment="1">
      <alignment horizontal="center"/>
    </xf>
    <xf numFmtId="180" fontId="0" fillId="0" borderId="35" xfId="0" applyNumberFormat="1" applyBorder="1" applyAlignment="1">
      <alignment horizontal="center"/>
    </xf>
    <xf numFmtId="176" fontId="13" fillId="6" borderId="20" xfId="17" applyNumberFormat="1" applyFont="1" applyFill="1" applyBorder="1" applyAlignment="1">
      <alignment horizontal="center" vertical="center"/>
    </xf>
    <xf numFmtId="176" fontId="13" fillId="6" borderId="38" xfId="17" applyNumberFormat="1" applyFont="1" applyFill="1" applyBorder="1" applyAlignment="1">
      <alignment horizontal="center" vertical="center"/>
    </xf>
    <xf numFmtId="0" fontId="23" fillId="4" borderId="36" xfId="17" applyFont="1" applyFill="1" applyBorder="1" applyAlignment="1">
      <alignment horizontal="center" vertical="center"/>
    </xf>
    <xf numFmtId="0" fontId="23" fillId="4" borderId="1" xfId="17" applyFont="1" applyFill="1" applyBorder="1" applyAlignment="1">
      <alignment horizontal="center" vertical="center"/>
    </xf>
    <xf numFmtId="0" fontId="24" fillId="0" borderId="36" xfId="17" applyFont="1" applyBorder="1" applyAlignment="1">
      <alignment horizontal="center" vertical="center"/>
    </xf>
    <xf numFmtId="0" fontId="24" fillId="0" borderId="1" xfId="17" applyFont="1" applyBorder="1" applyAlignment="1">
      <alignment horizontal="center" vertical="center"/>
    </xf>
    <xf numFmtId="176" fontId="13" fillId="6" borderId="19" xfId="17" applyNumberFormat="1" applyFont="1" applyFill="1" applyBorder="1" applyAlignment="1">
      <alignment horizontal="center" vertical="center"/>
    </xf>
    <xf numFmtId="0" fontId="25" fillId="6" borderId="20" xfId="17" applyFill="1" applyBorder="1">
      <alignment vertical="center"/>
    </xf>
    <xf numFmtId="0" fontId="25" fillId="6" borderId="36" xfId="17" applyFill="1" applyBorder="1">
      <alignment vertical="center"/>
    </xf>
    <xf numFmtId="0" fontId="25" fillId="6" borderId="1" xfId="17" applyFill="1" applyBorder="1">
      <alignment vertical="center"/>
    </xf>
    <xf numFmtId="0" fontId="26" fillId="6" borderId="20" xfId="17" applyFont="1" applyFill="1" applyBorder="1" applyAlignment="1">
      <alignment horizontal="center" vertical="center"/>
    </xf>
    <xf numFmtId="0" fontId="26" fillId="6" borderId="1" xfId="17" applyFont="1" applyFill="1" applyBorder="1" applyAlignment="1">
      <alignment horizontal="center" vertical="center"/>
    </xf>
    <xf numFmtId="0" fontId="24" fillId="0" borderId="22" xfId="17" applyFont="1" applyBorder="1" applyAlignment="1">
      <alignment horizontal="center" vertical="center"/>
    </xf>
    <xf numFmtId="0" fontId="24" fillId="0" borderId="12" xfId="17" applyFont="1" applyBorder="1" applyAlignment="1">
      <alignment horizontal="center" vertical="center"/>
    </xf>
    <xf numFmtId="0" fontId="24" fillId="0" borderId="36" xfId="17" applyFont="1" applyFill="1" applyBorder="1" applyAlignment="1">
      <alignment horizontal="center" vertical="center"/>
    </xf>
    <xf numFmtId="0" fontId="24" fillId="0" borderId="1" xfId="17" applyFont="1" applyFill="1" applyBorder="1" applyAlignment="1">
      <alignment horizontal="center" vertical="center"/>
    </xf>
  </cellXfs>
  <cellStyles count="23">
    <cellStyle name="Comma [0]_5year" xfId="1"/>
    <cellStyle name="Comma_495ALL" xfId="2"/>
    <cellStyle name="Currency [0]_5year" xfId="3"/>
    <cellStyle name="Currency_495ALL" xfId="4"/>
    <cellStyle name="Grey" xfId="5"/>
    <cellStyle name="Input [yellow]" xfId="6"/>
    <cellStyle name="Milliers [0]_AR1194" xfId="7"/>
    <cellStyle name="Milliers_AR1194" xfId="8"/>
    <cellStyle name="Mon?aire [0]_AR1194" xfId="9"/>
    <cellStyle name="Mon?aire_AR1194" xfId="10"/>
    <cellStyle name="Normal - Style1" xfId="11"/>
    <cellStyle name="Normal_495ALL" xfId="12"/>
    <cellStyle name="Percent [2]" xfId="13"/>
    <cellStyle name="PERCENTAGE" xfId="14"/>
    <cellStyle name="쉼표 [0]" xfId="15" builtinId="6"/>
    <cellStyle name="쉼표 [0] 2" xfId="20"/>
    <cellStyle name="표준" xfId="0" builtinId="0"/>
    <cellStyle name="표준 2" xfId="19"/>
    <cellStyle name="표준 3" xfId="18"/>
    <cellStyle name="표준 3 2" xfId="21"/>
    <cellStyle name="표준 4" xfId="22"/>
    <cellStyle name="표준_2008년 03월 평택.당진항 항만운영통계" xfId="16"/>
    <cellStyle name="표준_부두별입출항 실적(03)" xfId="17"/>
  </cellStyles>
  <dxfs count="0"/>
  <tableStyles count="0" defaultTableStyle="TableStyleMedium9" defaultPivotStyle="PivotStyleLight16"/>
  <colors>
    <mruColors>
      <color rgb="FF0000FF"/>
      <color rgb="FFCCFFCC"/>
      <color rgb="FF99FFCC"/>
      <color rgb="FF99FF99"/>
      <color rgb="FF00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view3D>
      <c:rotX val="15"/>
      <c:rotY val="20"/>
      <c:depthPercent val="100"/>
      <c:rAngAx val="0"/>
      <c:perspective val="3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0.17627357032098168"/>
          <c:y val="9.3996853054965246E-2"/>
          <c:w val="0.73861084244523134"/>
          <c:h val="0.72015056580601577"/>
        </c:manualLayout>
      </c:layout>
      <c:bar3DChart>
        <c:barDir val="col"/>
        <c:grouping val="clustered"/>
        <c:varyColors val="0"/>
        <c:ser>
          <c:idx val="0"/>
          <c:order val="0"/>
          <c:tx>
            <c:v>'20년 10월 누계</c:v>
          </c:tx>
          <c:spPr>
            <a:ln>
              <a:solidFill>
                <a:schemeClr val="accent1"/>
              </a:solidFill>
            </a:ln>
          </c:spPr>
          <c:invertIfNegative val="0"/>
          <c:dLbls>
            <c:dLbl>
              <c:idx val="0"/>
              <c:layout>
                <c:manualLayout>
                  <c:x val="-8.3135074153025748E-3"/>
                  <c:y val="1.5432036726526686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/>
                  </a:pPr>
                  <a:endParaRPr lang="ko-K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88D2-45A6-A0AE-5F1AC82B9EEC}"/>
                </c:ext>
              </c:extLst>
            </c:dLbl>
            <c:spPr>
              <a:noFill/>
              <a:ln w="25400">
                <a:noFill/>
              </a:ln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통계요약!$G$10</c:f>
              <c:numCache>
                <c:formatCode>#,###,</c:formatCode>
                <c:ptCount val="1"/>
                <c:pt idx="0">
                  <c:v>10114067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88D2-45A6-A0AE-5F1AC82B9EEC}"/>
            </c:ext>
          </c:extLst>
        </c:ser>
        <c:ser>
          <c:idx val="1"/>
          <c:order val="1"/>
          <c:tx>
            <c:v>'21년 10월 누계</c:v>
          </c:tx>
          <c:invertIfNegative val="0"/>
          <c:dLbls>
            <c:dLbl>
              <c:idx val="0"/>
              <c:layout>
                <c:manualLayout>
                  <c:x val="-2.5580040734075092E-3"/>
                  <c:y val="2.6085527933971956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/>
                  </a:pPr>
                  <a:endParaRPr lang="ko-K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88D2-45A6-A0AE-5F1AC82B9EEC}"/>
                </c:ext>
              </c:extLst>
            </c:dLbl>
            <c:spPr>
              <a:noFill/>
              <a:ln w="25400">
                <a:noFill/>
              </a:ln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통계요약!$I$10</c:f>
              <c:numCache>
                <c:formatCode>#,###,</c:formatCode>
                <c:ptCount val="1"/>
                <c:pt idx="0">
                  <c:v>11058942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88D2-45A6-A0AE-5F1AC82B9EEC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300"/>
        <c:shape val="box"/>
        <c:axId val="205984896"/>
        <c:axId val="205986432"/>
        <c:axId val="0"/>
      </c:bar3DChart>
      <c:catAx>
        <c:axId val="205984896"/>
        <c:scaling>
          <c:orientation val="minMax"/>
        </c:scaling>
        <c:delete val="1"/>
        <c:axPos val="b"/>
        <c:majorTickMark val="out"/>
        <c:minorTickMark val="none"/>
        <c:tickLblPos val="none"/>
        <c:crossAx val="205986432"/>
        <c:crosses val="autoZero"/>
        <c:auto val="1"/>
        <c:lblAlgn val="ctr"/>
        <c:lblOffset val="100"/>
        <c:noMultiLvlLbl val="0"/>
      </c:catAx>
      <c:valAx>
        <c:axId val="205986432"/>
        <c:scaling>
          <c:orientation val="minMax"/>
          <c:max val="50000000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(</a:t>
                </a:r>
                <a:r>
                  <a:rPr lang="ko-KR"/>
                  <a:t>단위</a:t>
                </a:r>
                <a:r>
                  <a:rPr lang="en-US"/>
                  <a:t>:</a:t>
                </a:r>
                <a:r>
                  <a:rPr lang="ko-KR"/>
                  <a:t>천톤</a:t>
                </a:r>
                <a:r>
                  <a:rPr lang="en-US"/>
                  <a:t>)</a:t>
                </a:r>
              </a:p>
            </c:rich>
          </c:tx>
          <c:layout>
            <c:manualLayout>
              <c:xMode val="edge"/>
              <c:yMode val="edge"/>
              <c:x val="2.8214158194426176E-2"/>
              <c:y val="0.30597029801655806"/>
            </c:manualLayout>
          </c:layout>
          <c:overlay val="0"/>
          <c:spPr>
            <a:noFill/>
            <a:ln w="25400">
              <a:noFill/>
            </a:ln>
          </c:spPr>
        </c:title>
        <c:numFmt formatCode="#,###," sourceLinked="1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205984896"/>
        <c:crosses val="autoZero"/>
        <c:crossBetween val="between"/>
        <c:majorUnit val="10000000"/>
        <c:minorUnit val="100000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2182258721239797"/>
          <c:y val="0.88806106515163741"/>
          <c:w val="0.52997726119557265"/>
          <c:h val="7.4627064022060582E-2"/>
        </c:manualLayout>
      </c:layout>
      <c:overlay val="0"/>
    </c:legend>
    <c:plotVisOnly val="1"/>
    <c:dispBlanksAs val="gap"/>
    <c:showDLblsOverMax val="0"/>
  </c:chart>
  <c:printSettings>
    <c:headerFooter alignWithMargins="0"/>
    <c:pageMargins b="1" l="0.75000000000001465" r="0.75000000000001465" t="1" header="0.5" footer="0.5"/>
    <c:pageSetup paperSize="9" orientation="landscape" horizontalDpi="1200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view3D>
      <c:rotX val="15"/>
      <c:rotY val="20"/>
      <c:depthPercent val="100"/>
      <c:rAngAx val="0"/>
      <c:perspective val="3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0.19378589904927654"/>
          <c:y val="0.16591457735494342"/>
          <c:w val="0.72599614634732068"/>
          <c:h val="0.72556390977441165"/>
        </c:manualLayout>
      </c:layout>
      <c:bar3DChart>
        <c:barDir val="col"/>
        <c:grouping val="clustered"/>
        <c:varyColors val="0"/>
        <c:ser>
          <c:idx val="0"/>
          <c:order val="0"/>
          <c:tx>
            <c:v>'20년 10월 누계</c:v>
          </c:tx>
          <c:invertIfNegative val="0"/>
          <c:dLbls>
            <c:dLbl>
              <c:idx val="0"/>
              <c:layout>
                <c:manualLayout>
                  <c:x val="-1.4925806036843009E-2"/>
                  <c:y val="1.280997770015592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/>
                  </a:pPr>
                  <a:endParaRPr lang="ko-K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47B-4543-B457-CE7D00D42157}"/>
                </c:ext>
              </c:extLst>
            </c:dLbl>
            <c:spPr>
              <a:noFill/>
              <a:ln w="25400">
                <a:noFill/>
              </a:ln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통계요약!$G$20</c:f>
              <c:numCache>
                <c:formatCode>_ * #,##0_ ;_ * \-#,##0_ ;_ * "-"_ ;_ @_ </c:formatCode>
                <c:ptCount val="1"/>
                <c:pt idx="0">
                  <c:v>72897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C47B-4543-B457-CE7D00D42157}"/>
            </c:ext>
          </c:extLst>
        </c:ser>
        <c:ser>
          <c:idx val="1"/>
          <c:order val="1"/>
          <c:tx>
            <c:v>'21년 10월 누계</c:v>
          </c:tx>
          <c:invertIfNegative val="0"/>
          <c:dLbls>
            <c:dLbl>
              <c:idx val="0"/>
              <c:layout>
                <c:manualLayout>
                  <c:x val="-1.2583962817401264E-2"/>
                  <c:y val="1.7215479643991841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/>
                  </a:pPr>
                  <a:endParaRPr lang="ko-K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C47B-4543-B457-CE7D00D42157}"/>
                </c:ext>
              </c:extLst>
            </c:dLbl>
            <c:spPr>
              <a:noFill/>
              <a:ln w="25400">
                <a:noFill/>
              </a:ln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통계요약!$I$20</c:f>
              <c:numCache>
                <c:formatCode>_ * #,##0_ ;_ * \-#,##0_ ;_ * "-"_ ;_ @_ </c:formatCode>
                <c:ptCount val="1"/>
                <c:pt idx="0">
                  <c:v>87129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C47B-4543-B457-CE7D00D4215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300"/>
        <c:shape val="box"/>
        <c:axId val="206035968"/>
        <c:axId val="206050048"/>
        <c:axId val="0"/>
      </c:bar3DChart>
      <c:catAx>
        <c:axId val="206035968"/>
        <c:scaling>
          <c:orientation val="minMax"/>
        </c:scaling>
        <c:delete val="1"/>
        <c:axPos val="b"/>
        <c:majorTickMark val="out"/>
        <c:minorTickMark val="none"/>
        <c:tickLblPos val="none"/>
        <c:crossAx val="206050048"/>
        <c:crosses val="autoZero"/>
        <c:auto val="1"/>
        <c:lblAlgn val="ctr"/>
        <c:lblOffset val="100"/>
        <c:noMultiLvlLbl val="0"/>
      </c:catAx>
      <c:valAx>
        <c:axId val="206050048"/>
        <c:scaling>
          <c:orientation val="minMax"/>
          <c:max val="400000"/>
          <c:min val="10000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(</a:t>
                </a:r>
                <a:r>
                  <a:rPr lang="ko-KR"/>
                  <a:t>단위</a:t>
                </a:r>
                <a:r>
                  <a:rPr lang="en-US"/>
                  <a:t>:TEU)</a:t>
                </a:r>
              </a:p>
            </c:rich>
          </c:tx>
          <c:layout>
            <c:manualLayout>
              <c:xMode val="edge"/>
              <c:yMode val="edge"/>
              <c:x val="4.4496430699789202E-2"/>
              <c:y val="0.31578959570116832"/>
            </c:manualLayout>
          </c:layout>
          <c:overlay val="0"/>
          <c:spPr>
            <a:noFill/>
            <a:ln w="25400">
              <a:noFill/>
            </a:ln>
          </c:spPr>
        </c:title>
        <c:numFmt formatCode="_ * #,##0_ ;_ * \-#,##0_ ;_ * &quot;-&quot;_ ;_ @_ " sourceLinked="1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206035968"/>
        <c:crosses val="autoZero"/>
        <c:crossBetween val="between"/>
        <c:majorUnit val="60000"/>
        <c:minorUnit val="60000"/>
      </c:valAx>
      <c:spPr>
        <a:noFill/>
        <a:ln w="25400">
          <a:noFill/>
        </a:ln>
      </c:spPr>
    </c:plotArea>
    <c:legend>
      <c:legendPos val="b"/>
      <c:layout>
        <c:manualLayout>
          <c:xMode val="edge"/>
          <c:yMode val="edge"/>
          <c:x val="0.26410818212941956"/>
          <c:y val="0.90188893580730956"/>
          <c:w val="0.54176093930287705"/>
          <c:h val="6.4150955893920183E-2"/>
        </c:manualLayout>
      </c:layout>
      <c:overlay val="0"/>
    </c:legend>
    <c:plotVisOnly val="1"/>
    <c:dispBlanksAs val="gap"/>
    <c:showDLblsOverMax val="0"/>
  </c:chart>
  <c:printSettings>
    <c:headerFooter alignWithMargins="0"/>
    <c:pageMargins b="1" l="0.75000000000001465" r="0.75000000000001465" t="1" header="0.5" footer="0.5"/>
    <c:pageSetup paperSize="9" orientation="landscape" horizontalDpi="1200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235071642942488"/>
          <c:y val="0.10236220472440972"/>
          <c:w val="0.74951971474536849"/>
          <c:h val="0.62204724409452195"/>
        </c:manualLayout>
      </c:layout>
      <c:lineChart>
        <c:grouping val="standard"/>
        <c:varyColors val="0"/>
        <c:ser>
          <c:idx val="0"/>
          <c:order val="0"/>
          <c:cat>
            <c:numRef>
              <c:f>'연도별 수송실적'!$I$3:$N$3</c:f>
              <c:numCache>
                <c:formatCode>0_);[Red]\(0\)</c:formatCode>
                <c:ptCount val="6"/>
                <c:pt idx="0">
                  <c:v>17</c:v>
                </c:pt>
                <c:pt idx="1">
                  <c:v>18</c:v>
                </c:pt>
                <c:pt idx="2">
                  <c:v>19</c:v>
                </c:pt>
                <c:pt idx="3">
                  <c:v>20</c:v>
                </c:pt>
                <c:pt idx="4">
                  <c:v>21</c:v>
                </c:pt>
                <c:pt idx="5" formatCode="0.00_);[Red]\(0.00\)">
                  <c:v>22.01</c:v>
                </c:pt>
              </c:numCache>
            </c:numRef>
          </c:cat>
          <c:val>
            <c:numRef>
              <c:f>'연도별 수송실적'!$I$4:$N$4</c:f>
              <c:numCache>
                <c:formatCode>#,##0_);[Red]\(#,##0\)</c:formatCode>
                <c:ptCount val="6"/>
                <c:pt idx="0">
                  <c:v>112491</c:v>
                </c:pt>
                <c:pt idx="1">
                  <c:v>115147</c:v>
                </c:pt>
                <c:pt idx="2">
                  <c:v>113201</c:v>
                </c:pt>
                <c:pt idx="3">
                  <c:v>106845</c:v>
                </c:pt>
                <c:pt idx="4">
                  <c:v>116298</c:v>
                </c:pt>
                <c:pt idx="5">
                  <c:v>11059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7034-453A-8CBA-AAEDE759D6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3939712"/>
        <c:axId val="213941632"/>
      </c:lineChart>
      <c:catAx>
        <c:axId val="21393971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ko-KR"/>
                  <a:t>화물입출항 실적</a:t>
                </a:r>
              </a:p>
            </c:rich>
          </c:tx>
          <c:layout>
            <c:manualLayout>
              <c:xMode val="edge"/>
              <c:yMode val="edge"/>
              <c:x val="0.48362302134913548"/>
              <c:y val="0.87795296176213256"/>
            </c:manualLayout>
          </c:layout>
          <c:overlay val="0"/>
          <c:spPr>
            <a:noFill/>
            <a:ln w="25400">
              <a:noFill/>
            </a:ln>
          </c:spPr>
        </c:title>
        <c:numFmt formatCode="0_);[Red]\(0\)" sourceLinked="1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213941632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213941632"/>
        <c:scaling>
          <c:orientation val="minMax"/>
        </c:scaling>
        <c:delete val="0"/>
        <c:axPos val="l"/>
        <c:majorGridlines/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n-US"/>
                  <a:t>(</a:t>
                </a:r>
                <a:r>
                  <a:rPr lang="ko-KR"/>
                  <a:t>단위</a:t>
                </a:r>
                <a:r>
                  <a:rPr lang="en-US"/>
                  <a:t>:</a:t>
                </a:r>
                <a:r>
                  <a:rPr lang="ko-KR"/>
                  <a:t>천톤</a:t>
                </a:r>
                <a:r>
                  <a:rPr lang="en-US"/>
                  <a:t>)</a:t>
                </a:r>
              </a:p>
              <a:p>
                <a:pPr>
                  <a:defRPr/>
                </a:pPr>
                <a:r>
                  <a:rPr lang="ko-KR" altLang="en-US"/>
                  <a:t>년</a:t>
                </a:r>
                <a:r>
                  <a:rPr lang="ko-KR"/>
                  <a:t>평균증가율 </a:t>
                </a:r>
                <a:r>
                  <a:rPr lang="en-US" altLang="ko-KR"/>
                  <a:t>2.06</a:t>
                </a:r>
                <a:r>
                  <a:rPr lang="en-US"/>
                  <a:t>%</a:t>
                </a:r>
              </a:p>
            </c:rich>
          </c:tx>
          <c:layout>
            <c:manualLayout>
              <c:xMode val="edge"/>
              <c:yMode val="edge"/>
              <c:x val="4.6242714506047576E-2"/>
              <c:y val="0.73866131439456006"/>
            </c:manualLayout>
          </c:layout>
          <c:overlay val="0"/>
          <c:spPr>
            <a:noFill/>
            <a:ln w="25400">
              <a:noFill/>
            </a:ln>
          </c:spPr>
        </c:title>
        <c:numFmt formatCode="#,##0_);[Red]\(#,##0\)" sourceLinked="0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213939712"/>
        <c:crosses val="autoZero"/>
        <c:crossBetween val="between"/>
      </c:valAx>
    </c:plotArea>
    <c:plotVisOnly val="1"/>
    <c:dispBlanksAs val="gap"/>
    <c:showDLblsOverMax val="0"/>
  </c:chart>
  <c:printSettings>
    <c:headerFooter alignWithMargins="0"/>
    <c:pageMargins b="1" l="0.75000000000001465" r="0.75000000000001465" t="1" header="0.5" footer="0.5"/>
    <c:pageSetup paperSize="9" orientation="landscape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717834531553121"/>
          <c:y val="0.12566179227596547"/>
          <c:w val="0.68998173328004464"/>
          <c:h val="0.63492309540512892"/>
        </c:manualLayout>
      </c:layout>
      <c:lineChart>
        <c:grouping val="standard"/>
        <c:varyColors val="0"/>
        <c:ser>
          <c:idx val="0"/>
          <c:order val="0"/>
          <c:cat>
            <c:numRef>
              <c:f>'연도별 수송실적'!$B$6:$G$6</c:f>
              <c:numCache>
                <c:formatCode>0_);[Red]\(0\)</c:formatCode>
                <c:ptCount val="6"/>
                <c:pt idx="0">
                  <c:v>17</c:v>
                </c:pt>
                <c:pt idx="1">
                  <c:v>18</c:v>
                </c:pt>
                <c:pt idx="2">
                  <c:v>19</c:v>
                </c:pt>
                <c:pt idx="3">
                  <c:v>20</c:v>
                </c:pt>
                <c:pt idx="4">
                  <c:v>21</c:v>
                </c:pt>
                <c:pt idx="5" formatCode="0.00_);[Red]\(0.00\)">
                  <c:v>22.01</c:v>
                </c:pt>
              </c:numCache>
            </c:numRef>
          </c:cat>
          <c:val>
            <c:numRef>
              <c:f>'연도별 수송실적'!$B$7:$G$7</c:f>
              <c:numCache>
                <c:formatCode>#,##0_);[Red]\(#,##0\)</c:formatCode>
                <c:ptCount val="6"/>
                <c:pt idx="0">
                  <c:v>643233</c:v>
                </c:pt>
                <c:pt idx="1">
                  <c:v>689852</c:v>
                </c:pt>
                <c:pt idx="2">
                  <c:v>725047</c:v>
                </c:pt>
                <c:pt idx="3">
                  <c:v>792643</c:v>
                </c:pt>
                <c:pt idx="4">
                  <c:v>910941</c:v>
                </c:pt>
                <c:pt idx="5">
                  <c:v>87129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65EA-4263-8FD2-A370638DD2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3958016"/>
        <c:axId val="213968384"/>
      </c:lineChart>
      <c:catAx>
        <c:axId val="21395801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ko-KR"/>
                  <a:t>컨테이너</a:t>
                </a:r>
              </a:p>
            </c:rich>
          </c:tx>
          <c:layout>
            <c:manualLayout>
              <c:xMode val="edge"/>
              <c:yMode val="edge"/>
              <c:x val="0.55765649739126733"/>
              <c:y val="0.89264550264554843"/>
            </c:manualLayout>
          </c:layout>
          <c:overlay val="0"/>
          <c:spPr>
            <a:noFill/>
            <a:ln w="25400">
              <a:noFill/>
            </a:ln>
          </c:spPr>
        </c:title>
        <c:numFmt formatCode="0_);[Red]\(0\)" sourceLinked="1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213968384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213968384"/>
        <c:scaling>
          <c:orientation val="minMax"/>
        </c:scaling>
        <c:delete val="0"/>
        <c:axPos val="l"/>
        <c:majorGridlines/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n-US"/>
                  <a:t>(</a:t>
                </a:r>
                <a:r>
                  <a:rPr lang="ko-KR"/>
                  <a:t>단위 </a:t>
                </a:r>
                <a:r>
                  <a:rPr lang="en-US"/>
                  <a:t>: TEU)</a:t>
                </a:r>
              </a:p>
              <a:p>
                <a:pPr>
                  <a:defRPr/>
                </a:pPr>
                <a:r>
                  <a:rPr lang="ko-KR" altLang="en-US"/>
                  <a:t>년</a:t>
                </a:r>
                <a:r>
                  <a:rPr lang="ko-KR"/>
                  <a:t>평균증가율 </a:t>
                </a:r>
                <a:r>
                  <a:rPr lang="en-US" altLang="ko-KR"/>
                  <a:t>1.7</a:t>
                </a:r>
                <a:r>
                  <a:rPr lang="en-US"/>
                  <a:t>%</a:t>
                </a:r>
              </a:p>
            </c:rich>
          </c:tx>
          <c:layout>
            <c:manualLayout>
              <c:xMode val="edge"/>
              <c:yMode val="edge"/>
              <c:x val="5.2929962702030674E-2"/>
              <c:y val="0.7365870932800066"/>
            </c:manualLayout>
          </c:layout>
          <c:overlay val="0"/>
          <c:spPr>
            <a:noFill/>
            <a:ln w="25400">
              <a:noFill/>
            </a:ln>
          </c:spPr>
        </c:title>
        <c:numFmt formatCode="#,##0_);[Red]\(#,##0\)" sourceLinked="0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213958016"/>
        <c:crosses val="autoZero"/>
        <c:crossBetween val="between"/>
      </c:valAx>
    </c:plotArea>
    <c:plotVisOnly val="1"/>
    <c:dispBlanksAs val="gap"/>
    <c:showDLblsOverMax val="0"/>
  </c:chart>
  <c:printSettings>
    <c:headerFooter alignWithMargins="0"/>
    <c:pageMargins b="1" l="0.75000000000001465" r="0.75000000000001465" t="1" header="0.5" footer="0.5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5291852820111876"/>
          <c:y val="0.11646632022747329"/>
          <c:w val="0.71011740610315865"/>
          <c:h val="0.62650848122364933"/>
        </c:manualLayout>
      </c:layout>
      <c:lineChart>
        <c:grouping val="standard"/>
        <c:varyColors val="0"/>
        <c:ser>
          <c:idx val="0"/>
          <c:order val="0"/>
          <c:cat>
            <c:numRef>
              <c:f>'연도별 수송실적'!$I$6:$N$6</c:f>
              <c:numCache>
                <c:formatCode>0_);[Red]\(0\)</c:formatCode>
                <c:ptCount val="6"/>
                <c:pt idx="0">
                  <c:v>17</c:v>
                </c:pt>
                <c:pt idx="1">
                  <c:v>18</c:v>
                </c:pt>
                <c:pt idx="2">
                  <c:v>19</c:v>
                </c:pt>
                <c:pt idx="3">
                  <c:v>20</c:v>
                </c:pt>
                <c:pt idx="4">
                  <c:v>21</c:v>
                </c:pt>
                <c:pt idx="5" formatCode="0.00_);[Red]\(0.00\)">
                  <c:v>22.01</c:v>
                </c:pt>
              </c:numCache>
            </c:numRef>
          </c:cat>
          <c:val>
            <c:numRef>
              <c:f>'연도별 수송실적'!$I$7:$N$7</c:f>
              <c:numCache>
                <c:formatCode>#,##0_);[Red]\(#,##0\)</c:formatCode>
                <c:ptCount val="6"/>
                <c:pt idx="0">
                  <c:v>482428</c:v>
                </c:pt>
                <c:pt idx="1">
                  <c:v>452480</c:v>
                </c:pt>
                <c:pt idx="2">
                  <c:v>623733</c:v>
                </c:pt>
                <c:pt idx="3">
                  <c:v>40267</c:v>
                </c:pt>
                <c:pt idx="4">
                  <c:v>0</c:v>
                </c:pt>
                <c:pt idx="5" formatCode="_ * #,##0_ ;_ * \-#,##0_ ;_ * &quot;-&quot;_ ;_ @_ 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886E-493C-8F5F-56CB97617A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4207488"/>
        <c:axId val="214209664"/>
      </c:lineChart>
      <c:catAx>
        <c:axId val="21420748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ko-KR"/>
                  <a:t>여 객</a:t>
                </a:r>
              </a:p>
            </c:rich>
          </c:tx>
          <c:layout>
            <c:manualLayout>
              <c:xMode val="edge"/>
              <c:yMode val="edge"/>
              <c:x val="0.56809424809424813"/>
              <c:y val="0.88755359580049831"/>
            </c:manualLayout>
          </c:layout>
          <c:overlay val="0"/>
          <c:spPr>
            <a:noFill/>
            <a:ln w="25400">
              <a:noFill/>
            </a:ln>
          </c:spPr>
        </c:title>
        <c:numFmt formatCode="0_);[Red]\(0\)" sourceLinked="1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214209664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214209664"/>
        <c:scaling>
          <c:orientation val="minMax"/>
        </c:scaling>
        <c:delete val="0"/>
        <c:axPos val="l"/>
        <c:majorGridlines/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n-US"/>
                  <a:t>(</a:t>
                </a:r>
                <a:r>
                  <a:rPr lang="ko-KR"/>
                  <a:t>단위 </a:t>
                </a:r>
                <a:r>
                  <a:rPr lang="en-US"/>
                  <a:t>: </a:t>
                </a:r>
                <a:r>
                  <a:rPr lang="ko-KR"/>
                  <a:t>명</a:t>
                </a:r>
                <a:r>
                  <a:rPr lang="en-US"/>
                  <a:t>)</a:t>
                </a:r>
              </a:p>
              <a:p>
                <a:pPr>
                  <a:defRPr/>
                </a:pPr>
                <a:r>
                  <a:rPr lang="ko-KR" altLang="en-US"/>
                  <a:t>년</a:t>
                </a:r>
                <a:r>
                  <a:rPr lang="ko-KR"/>
                  <a:t>평균증가율 </a:t>
                </a:r>
                <a:endParaRPr lang="en-US" altLang="ko-KR"/>
              </a:p>
              <a:p>
                <a:pPr>
                  <a:defRPr/>
                </a:pPr>
                <a:r>
                  <a:rPr lang="en-US" altLang="ko-KR"/>
                  <a:t>-0.07</a:t>
                </a:r>
                <a:r>
                  <a:rPr lang="en-US"/>
                  <a:t>%</a:t>
                </a:r>
              </a:p>
            </c:rich>
          </c:tx>
          <c:layout>
            <c:manualLayout>
              <c:xMode val="edge"/>
              <c:yMode val="edge"/>
              <c:x val="4.280168721113934E-2"/>
              <c:y val="0.73341354330708652"/>
            </c:manualLayout>
          </c:layout>
          <c:overlay val="0"/>
          <c:spPr>
            <a:noFill/>
            <a:ln w="25400">
              <a:noFill/>
            </a:ln>
          </c:spPr>
        </c:title>
        <c:numFmt formatCode="#,##0_);[Red]\(#,##0\)" sourceLinked="0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214207488"/>
        <c:crosses val="autoZero"/>
        <c:crossBetween val="between"/>
      </c:valAx>
    </c:plotArea>
    <c:plotVisOnly val="1"/>
    <c:dispBlanksAs val="gap"/>
    <c:showDLblsOverMax val="0"/>
  </c:chart>
  <c:printSettings>
    <c:headerFooter alignWithMargins="0"/>
    <c:pageMargins b="1" l="0.75000000000001465" r="0.75000000000001465" t="1" header="0.5" footer="0.5"/>
    <c:pageSetup paperSize="9" orientation="landscape"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1354784780343869"/>
          <c:y val="0.12706733923884511"/>
          <c:w val="0.75236364341221218"/>
          <c:h val="0.63492309540512948"/>
        </c:manualLayout>
      </c:layout>
      <c:lineChart>
        <c:grouping val="standard"/>
        <c:varyColors val="0"/>
        <c:ser>
          <c:idx val="0"/>
          <c:order val="0"/>
          <c:cat>
            <c:numRef>
              <c:f>'연도별 수송실적'!$B$3:$G$3</c:f>
              <c:numCache>
                <c:formatCode>0_);[Red]\(0\)</c:formatCode>
                <c:ptCount val="6"/>
                <c:pt idx="0">
                  <c:v>17</c:v>
                </c:pt>
                <c:pt idx="1">
                  <c:v>18</c:v>
                </c:pt>
                <c:pt idx="2">
                  <c:v>19</c:v>
                </c:pt>
                <c:pt idx="3">
                  <c:v>20</c:v>
                </c:pt>
                <c:pt idx="4">
                  <c:v>21</c:v>
                </c:pt>
                <c:pt idx="5" formatCode="0.00_);\(0.00\)">
                  <c:v>22.01</c:v>
                </c:pt>
              </c:numCache>
            </c:numRef>
          </c:cat>
          <c:val>
            <c:numRef>
              <c:f>'연도별 수송실적'!$B$4:$G$4</c:f>
              <c:numCache>
                <c:formatCode>#,##0_);[Red]\(#,##0\)</c:formatCode>
                <c:ptCount val="6"/>
                <c:pt idx="0">
                  <c:v>19440</c:v>
                </c:pt>
                <c:pt idx="1">
                  <c:v>18829</c:v>
                </c:pt>
                <c:pt idx="2">
                  <c:v>18416</c:v>
                </c:pt>
                <c:pt idx="3">
                  <c:v>17326</c:v>
                </c:pt>
                <c:pt idx="4">
                  <c:v>16412</c:v>
                </c:pt>
                <c:pt idx="5">
                  <c:v>1527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B039-4935-B959-D16333445D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4238720"/>
        <c:axId val="214240640"/>
      </c:lineChart>
      <c:catAx>
        <c:axId val="21423872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ko-KR"/>
                  <a:t>선박입출항</a:t>
                </a:r>
              </a:p>
            </c:rich>
          </c:tx>
          <c:layout>
            <c:manualLayout>
              <c:xMode val="edge"/>
              <c:yMode val="edge"/>
              <c:x val="0.52362975754791263"/>
              <c:y val="0.87301981369981729"/>
            </c:manualLayout>
          </c:layout>
          <c:overlay val="0"/>
          <c:spPr>
            <a:noFill/>
            <a:ln w="25400">
              <a:noFill/>
            </a:ln>
          </c:spPr>
        </c:title>
        <c:numFmt formatCode="0_);[Red]\(0\)" sourceLinked="1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214240640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214240640"/>
        <c:scaling>
          <c:orientation val="minMax"/>
        </c:scaling>
        <c:delete val="0"/>
        <c:axPos val="l"/>
        <c:majorGridlines/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n-US"/>
                  <a:t>(</a:t>
                </a:r>
                <a:r>
                  <a:rPr lang="ko-KR"/>
                  <a:t>단위 </a:t>
                </a:r>
                <a:r>
                  <a:rPr lang="en-US"/>
                  <a:t>: </a:t>
                </a:r>
                <a:r>
                  <a:rPr lang="ko-KR"/>
                  <a:t>척</a:t>
                </a:r>
                <a:r>
                  <a:rPr lang="en-US"/>
                  <a:t>)</a:t>
                </a:r>
              </a:p>
              <a:p>
                <a:pPr>
                  <a:defRPr/>
                </a:pPr>
                <a:r>
                  <a:rPr lang="ko-KR"/>
                  <a:t>평균증가율 </a:t>
                </a:r>
                <a:r>
                  <a:rPr lang="en-US" altLang="ko-KR"/>
                  <a:t>8.6</a:t>
                </a:r>
                <a:r>
                  <a:rPr lang="en-US"/>
                  <a:t>%</a:t>
                </a:r>
              </a:p>
            </c:rich>
          </c:tx>
          <c:layout>
            <c:manualLayout>
              <c:xMode val="edge"/>
              <c:yMode val="edge"/>
              <c:x val="3.2136123829591752E-2"/>
              <c:y val="0.73866131439456006"/>
            </c:manualLayout>
          </c:layout>
          <c:overlay val="0"/>
          <c:spPr>
            <a:noFill/>
            <a:ln w="25400">
              <a:noFill/>
            </a:ln>
          </c:spPr>
        </c:title>
        <c:numFmt formatCode="#,##0_);[Red]\(#,##0\)" sourceLinked="0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214238720"/>
        <c:crosses val="autoZero"/>
        <c:crossBetween val="between"/>
      </c:valAx>
    </c:plotArea>
    <c:plotVisOnly val="1"/>
    <c:dispBlanksAs val="gap"/>
    <c:showDLblsOverMax val="0"/>
  </c:chart>
  <c:printSettings>
    <c:headerFooter alignWithMargins="0"/>
    <c:pageMargins b="1" l="0.75000000000001465" r="0.75000000000001465" t="1" header="0.5" footer="0.5"/>
    <c:pageSetup paperSize="9" orientation="landscape"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8475578167407974"/>
          <c:y val="0.11144233923884495"/>
          <c:w val="0.75236364341221218"/>
          <c:h val="0.63492309540512981"/>
        </c:manualLayout>
      </c:layout>
      <c:lineChart>
        <c:grouping val="standard"/>
        <c:varyColors val="0"/>
        <c:ser>
          <c:idx val="0"/>
          <c:order val="0"/>
          <c:cat>
            <c:numRef>
              <c:f>'연도별 수송실적'!$B$3:$G$3</c:f>
              <c:numCache>
                <c:formatCode>0_);[Red]\(0\)</c:formatCode>
                <c:ptCount val="6"/>
                <c:pt idx="0">
                  <c:v>17</c:v>
                </c:pt>
                <c:pt idx="1">
                  <c:v>18</c:v>
                </c:pt>
                <c:pt idx="2">
                  <c:v>19</c:v>
                </c:pt>
                <c:pt idx="3">
                  <c:v>20</c:v>
                </c:pt>
                <c:pt idx="4">
                  <c:v>21</c:v>
                </c:pt>
                <c:pt idx="5" formatCode="0.00_);\(0.00\)">
                  <c:v>22.01</c:v>
                </c:pt>
              </c:numCache>
            </c:numRef>
          </c:cat>
          <c:val>
            <c:numRef>
              <c:f>'연도별 수송실적'!$B$4:$G$4</c:f>
              <c:numCache>
                <c:formatCode>#,##0_);[Red]\(#,##0\)</c:formatCode>
                <c:ptCount val="6"/>
                <c:pt idx="0">
                  <c:v>19440</c:v>
                </c:pt>
                <c:pt idx="1">
                  <c:v>18829</c:v>
                </c:pt>
                <c:pt idx="2">
                  <c:v>18416</c:v>
                </c:pt>
                <c:pt idx="3">
                  <c:v>17326</c:v>
                </c:pt>
                <c:pt idx="4">
                  <c:v>16412</c:v>
                </c:pt>
                <c:pt idx="5">
                  <c:v>1527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4D6B-4831-9BCB-D47645B564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4257024"/>
        <c:axId val="214263296"/>
      </c:lineChart>
      <c:catAx>
        <c:axId val="21425702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ko-KR"/>
                  <a:t>선박입출항</a:t>
                </a:r>
              </a:p>
            </c:rich>
          </c:tx>
          <c:layout>
            <c:manualLayout>
              <c:xMode val="edge"/>
              <c:yMode val="edge"/>
              <c:x val="0.52362969392605463"/>
              <c:y val="0.87301960301841408"/>
            </c:manualLayout>
          </c:layout>
          <c:overlay val="0"/>
          <c:spPr>
            <a:noFill/>
            <a:ln w="25400">
              <a:noFill/>
            </a:ln>
          </c:spPr>
        </c:title>
        <c:numFmt formatCode="0_);[Red]\(0\)" sourceLinked="1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21426329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214263296"/>
        <c:scaling>
          <c:orientation val="minMax"/>
        </c:scaling>
        <c:delete val="0"/>
        <c:axPos val="l"/>
        <c:majorGridlines/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n-US"/>
                  <a:t>(</a:t>
                </a:r>
                <a:r>
                  <a:rPr lang="ko-KR"/>
                  <a:t>단위 </a:t>
                </a:r>
                <a:r>
                  <a:rPr lang="en-US"/>
                  <a:t>: </a:t>
                </a:r>
                <a:r>
                  <a:rPr lang="ko-KR"/>
                  <a:t>척</a:t>
                </a:r>
                <a:r>
                  <a:rPr lang="en-US"/>
                  <a:t>)</a:t>
                </a:r>
              </a:p>
              <a:p>
                <a:pPr>
                  <a:defRPr/>
                </a:pPr>
                <a:r>
                  <a:rPr lang="ko-KR"/>
                  <a:t>평균증가율 </a:t>
                </a:r>
                <a:r>
                  <a:rPr lang="en-US" altLang="ko-KR"/>
                  <a:t>0.45</a:t>
                </a:r>
                <a:r>
                  <a:rPr lang="en-US"/>
                  <a:t>%</a:t>
                </a:r>
              </a:p>
            </c:rich>
          </c:tx>
          <c:layout>
            <c:manualLayout>
              <c:xMode val="edge"/>
              <c:yMode val="edge"/>
              <c:x val="3.2136110938888546E-2"/>
              <c:y val="0.7407029199475067"/>
            </c:manualLayout>
          </c:layout>
          <c:overlay val="0"/>
          <c:spPr>
            <a:noFill/>
            <a:ln w="25400">
              <a:noFill/>
            </a:ln>
          </c:spPr>
        </c:title>
        <c:numFmt formatCode="#,##0_);[Red]\(#,##0\)" sourceLinked="0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214257024"/>
        <c:crosses val="autoZero"/>
        <c:crossBetween val="between"/>
      </c:valAx>
    </c:plotArea>
    <c:plotVisOnly val="1"/>
    <c:dispBlanksAs val="gap"/>
    <c:showDLblsOverMax val="0"/>
  </c:chart>
  <c:printSettings>
    <c:headerFooter alignWithMargins="0"/>
    <c:pageMargins b="1" l="0.75000000000001465" r="0.75000000000001465" t="1" header="0.5" footer="0.5"/>
    <c:pageSetup paperSize="9"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5" Type="http://schemas.openxmlformats.org/officeDocument/2006/relationships/chart" Target="../charts/chart7.xml"/><Relationship Id="rId4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114300</xdr:colOff>
      <xdr:row>30</xdr:row>
      <xdr:rowOff>261731</xdr:rowOff>
    </xdr:from>
    <xdr:to>
      <xdr:col>7</xdr:col>
      <xdr:colOff>95250</xdr:colOff>
      <xdr:row>39</xdr:row>
      <xdr:rowOff>166481</xdr:rowOff>
    </xdr:to>
    <xdr:graphicFrame macro="">
      <xdr:nvGraphicFramePr>
        <xdr:cNvPr id="6376023" name="Chart 7">
          <a:extLst>
            <a:ext uri="{FF2B5EF4-FFF2-40B4-BE49-F238E27FC236}">
              <a16:creationId xmlns="" xmlns:a16="http://schemas.microsoft.com/office/drawing/2014/main" id="{00000000-0008-0000-0100-0000574A61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222885</xdr:colOff>
      <xdr:row>30</xdr:row>
      <xdr:rowOff>230505</xdr:rowOff>
    </xdr:from>
    <xdr:to>
      <xdr:col>12</xdr:col>
      <xdr:colOff>489585</xdr:colOff>
      <xdr:row>39</xdr:row>
      <xdr:rowOff>144780</xdr:rowOff>
    </xdr:to>
    <xdr:graphicFrame macro="">
      <xdr:nvGraphicFramePr>
        <xdr:cNvPr id="6376024" name="Chart 10">
          <a:extLst>
            <a:ext uri="{FF2B5EF4-FFF2-40B4-BE49-F238E27FC236}">
              <a16:creationId xmlns="" xmlns:a16="http://schemas.microsoft.com/office/drawing/2014/main" id="{00000000-0008-0000-0100-0000584A61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276225</xdr:colOff>
      <xdr:row>13</xdr:row>
      <xdr:rowOff>0</xdr:rowOff>
    </xdr:from>
    <xdr:to>
      <xdr:col>13</xdr:col>
      <xdr:colOff>590550</xdr:colOff>
      <xdr:row>20</xdr:row>
      <xdr:rowOff>295275</xdr:rowOff>
    </xdr:to>
    <xdr:graphicFrame macro="">
      <xdr:nvGraphicFramePr>
        <xdr:cNvPr id="2" name="Chart 1">
          <a:extLst>
            <a:ext uri="{FF2B5EF4-FFF2-40B4-BE49-F238E27FC236}">
              <a16:creationId xmlns="" xmlns:a16="http://schemas.microsoft.com/office/drawing/2014/main" id="{00000000-0008-0000-02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180975</xdr:colOff>
      <xdr:row>23</xdr:row>
      <xdr:rowOff>0</xdr:rowOff>
    </xdr:from>
    <xdr:to>
      <xdr:col>7</xdr:col>
      <xdr:colOff>66675</xdr:colOff>
      <xdr:row>30</xdr:row>
      <xdr:rowOff>266700</xdr:rowOff>
    </xdr:to>
    <xdr:graphicFrame macro="">
      <xdr:nvGraphicFramePr>
        <xdr:cNvPr id="3" name="Chart 3">
          <a:extLst>
            <a:ext uri="{FF2B5EF4-FFF2-40B4-BE49-F238E27FC236}">
              <a16:creationId xmlns="" xmlns:a16="http://schemas.microsoft.com/office/drawing/2014/main" id="{00000000-0008-0000-02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342900</xdr:colOff>
      <xdr:row>23</xdr:row>
      <xdr:rowOff>9525</xdr:rowOff>
    </xdr:from>
    <xdr:to>
      <xdr:col>13</xdr:col>
      <xdr:colOff>619125</xdr:colOff>
      <xdr:row>30</xdr:row>
      <xdr:rowOff>257175</xdr:rowOff>
    </xdr:to>
    <xdr:graphicFrame macro="">
      <xdr:nvGraphicFramePr>
        <xdr:cNvPr id="4" name="Chart 4">
          <a:extLst>
            <a:ext uri="{FF2B5EF4-FFF2-40B4-BE49-F238E27FC236}">
              <a16:creationId xmlns="" xmlns:a16="http://schemas.microsoft.com/office/drawing/2014/main" id="{00000000-0008-0000-02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161925</xdr:colOff>
      <xdr:row>13</xdr:row>
      <xdr:rowOff>0</xdr:rowOff>
    </xdr:from>
    <xdr:to>
      <xdr:col>7</xdr:col>
      <xdr:colOff>76200</xdr:colOff>
      <xdr:row>20</xdr:row>
      <xdr:rowOff>295275</xdr:rowOff>
    </xdr:to>
    <xdr:graphicFrame macro="">
      <xdr:nvGraphicFramePr>
        <xdr:cNvPr id="5" name="Chart 2">
          <a:extLst>
            <a:ext uri="{FF2B5EF4-FFF2-40B4-BE49-F238E27FC236}">
              <a16:creationId xmlns="" xmlns:a16="http://schemas.microsoft.com/office/drawing/2014/main" id="{00000000-0008-0000-02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104775</xdr:colOff>
      <xdr:row>13</xdr:row>
      <xdr:rowOff>0</xdr:rowOff>
    </xdr:from>
    <xdr:to>
      <xdr:col>7</xdr:col>
      <xdr:colOff>123825</xdr:colOff>
      <xdr:row>21</xdr:row>
      <xdr:rowOff>0</xdr:rowOff>
    </xdr:to>
    <xdr:graphicFrame macro="">
      <xdr:nvGraphicFramePr>
        <xdr:cNvPr id="6" name="Chart 2">
          <a:extLst>
            <a:ext uri="{FF2B5EF4-FFF2-40B4-BE49-F238E27FC236}">
              <a16:creationId xmlns="" xmlns:a16="http://schemas.microsoft.com/office/drawing/2014/main" id="{00000000-0008-0000-02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zoomScaleNormal="199" zoomScaleSheetLayoutView="68" workbookViewId="0"/>
  </sheetViews>
  <sheetFormatPr defaultRowHeight="14.25"/>
  <sheetData/>
  <phoneticPr fontId="6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2"/>
  <sheetViews>
    <sheetView tabSelected="1" topLeftCell="A3" zoomScaleNormal="100" zoomScaleSheetLayoutView="110" workbookViewId="0">
      <pane xSplit="4" ySplit="5" topLeftCell="E8" activePane="bottomRight" state="frozen"/>
      <selection activeCell="A3" sqref="A3"/>
      <selection pane="topRight" activeCell="E3" sqref="E3"/>
      <selection pane="bottomLeft" activeCell="A8" sqref="A8"/>
      <selection pane="bottomRight" activeCell="B3" sqref="B3:M3"/>
    </sheetView>
  </sheetViews>
  <sheetFormatPr defaultRowHeight="24" customHeight="1"/>
  <cols>
    <col min="1" max="1" width="2" customWidth="1"/>
    <col min="2" max="2" width="6.25" customWidth="1"/>
    <col min="3" max="3" width="7.25" customWidth="1"/>
    <col min="4" max="4" width="4.875" customWidth="1"/>
    <col min="5" max="5" width="11.875" customWidth="1"/>
    <col min="6" max="6" width="12.625" bestFit="1" customWidth="1"/>
    <col min="7" max="7" width="11.75" customWidth="1"/>
    <col min="8" max="8" width="12.625" bestFit="1" customWidth="1"/>
    <col min="9" max="9" width="11.375" customWidth="1"/>
    <col min="10" max="10" width="12.625" style="10" bestFit="1" customWidth="1"/>
    <col min="11" max="11" width="7.75" style="9" customWidth="1"/>
    <col min="12" max="12" width="13.75" style="11" bestFit="1" customWidth="1"/>
    <col min="13" max="13" width="7.75" style="12" customWidth="1"/>
    <col min="14" max="14" width="2" customWidth="1"/>
    <col min="15" max="15" width="10.125" customWidth="1"/>
    <col min="16" max="16" width="15.125" bestFit="1" customWidth="1"/>
    <col min="17" max="17" width="9.25" bestFit="1" customWidth="1"/>
    <col min="18" max="18" width="7.125" customWidth="1"/>
    <col min="20" max="20" width="9.375" customWidth="1"/>
    <col min="21" max="21" width="8.125" customWidth="1"/>
  </cols>
  <sheetData>
    <row r="1" spans="2:15" ht="36" customHeight="1">
      <c r="B1" s="8" t="s">
        <v>26</v>
      </c>
      <c r="L1" s="177"/>
      <c r="M1" s="177"/>
    </row>
    <row r="2" spans="2:15" ht="33" customHeight="1">
      <c r="B2" s="187" t="s">
        <v>49</v>
      </c>
      <c r="C2" s="188"/>
      <c r="D2" s="188"/>
      <c r="E2" s="188"/>
      <c r="F2" s="188"/>
      <c r="G2" s="188"/>
      <c r="H2" s="188"/>
      <c r="I2" s="188"/>
      <c r="J2" s="188"/>
      <c r="K2" s="188"/>
      <c r="L2" s="188"/>
      <c r="M2" s="188"/>
    </row>
    <row r="3" spans="2:15" ht="27.75" customHeight="1">
      <c r="B3" s="189" t="s">
        <v>102</v>
      </c>
      <c r="C3" s="189"/>
      <c r="D3" s="189"/>
      <c r="E3" s="189"/>
      <c r="F3" s="189"/>
      <c r="G3" s="189"/>
      <c r="H3" s="189"/>
      <c r="I3" s="189"/>
      <c r="J3" s="189"/>
      <c r="K3" s="189"/>
      <c r="L3" s="189"/>
      <c r="M3" s="189"/>
    </row>
    <row r="4" spans="2:15" ht="21.2" customHeight="1" thickBot="1">
      <c r="B4" s="160" t="s">
        <v>71</v>
      </c>
      <c r="C4" s="161"/>
      <c r="D4" s="161"/>
      <c r="E4" s="161"/>
      <c r="F4" s="161"/>
      <c r="G4" s="161"/>
      <c r="H4" s="161"/>
      <c r="I4" s="161"/>
      <c r="J4" s="161"/>
      <c r="K4" s="161"/>
      <c r="L4" s="161"/>
      <c r="M4" s="161"/>
    </row>
    <row r="5" spans="2:15" ht="21.2" customHeight="1">
      <c r="B5" s="181" t="s">
        <v>7</v>
      </c>
      <c r="C5" s="182"/>
      <c r="D5" s="183"/>
      <c r="E5" s="35"/>
      <c r="F5" s="179" t="s">
        <v>72</v>
      </c>
      <c r="G5" s="190"/>
      <c r="H5" s="173" t="s">
        <v>99</v>
      </c>
      <c r="I5" s="173"/>
      <c r="J5" s="178" t="s">
        <v>15</v>
      </c>
      <c r="K5" s="179"/>
      <c r="L5" s="179"/>
      <c r="M5" s="180"/>
    </row>
    <row r="6" spans="2:15" ht="20.25" customHeight="1">
      <c r="B6" s="184"/>
      <c r="C6" s="185"/>
      <c r="D6" s="186"/>
      <c r="E6" s="36" t="s">
        <v>11</v>
      </c>
      <c r="F6" s="118" t="s">
        <v>97</v>
      </c>
      <c r="G6" s="37" t="s">
        <v>98</v>
      </c>
      <c r="H6" s="118" t="s">
        <v>100</v>
      </c>
      <c r="I6" s="119" t="s">
        <v>101</v>
      </c>
      <c r="J6" s="37" t="s">
        <v>57</v>
      </c>
      <c r="K6" s="38" t="s">
        <v>16</v>
      </c>
      <c r="L6" s="39" t="s">
        <v>18</v>
      </c>
      <c r="M6" s="40" t="s">
        <v>16</v>
      </c>
    </row>
    <row r="7" spans="2:15" ht="21.2" customHeight="1">
      <c r="B7" s="165" t="s">
        <v>21</v>
      </c>
      <c r="C7" s="168" t="s">
        <v>12</v>
      </c>
      <c r="D7" s="169"/>
      <c r="E7" s="13">
        <f>SUM(E8:E9)</f>
        <v>16412</v>
      </c>
      <c r="F7" s="13">
        <f>SUM(F8:F9)</f>
        <v>1425</v>
      </c>
      <c r="G7" s="13">
        <f>SUM(G8:G9)</f>
        <v>1425</v>
      </c>
      <c r="H7" s="13">
        <f>SUM(H8:H9)</f>
        <v>1527</v>
      </c>
      <c r="I7" s="13">
        <f>SUM(I8:I9)</f>
        <v>1527</v>
      </c>
      <c r="J7" s="13">
        <f>H7-F7</f>
        <v>102</v>
      </c>
      <c r="K7" s="16">
        <f>H7/F7</f>
        <v>1.071578947368421</v>
      </c>
      <c r="L7" s="14">
        <f>I7-G7</f>
        <v>102</v>
      </c>
      <c r="M7" s="24">
        <f>I7/G7</f>
        <v>1.071578947368421</v>
      </c>
    </row>
    <row r="8" spans="2:15" ht="19.5" customHeight="1">
      <c r="B8" s="166"/>
      <c r="C8" s="156" t="s">
        <v>9</v>
      </c>
      <c r="D8" s="157"/>
      <c r="E8" s="20">
        <v>10091</v>
      </c>
      <c r="F8" s="20">
        <v>844</v>
      </c>
      <c r="G8" s="21">
        <v>844</v>
      </c>
      <c r="H8" s="20">
        <v>906</v>
      </c>
      <c r="I8" s="20">
        <v>906</v>
      </c>
      <c r="J8" s="4">
        <f t="shared" ref="J8:J28" si="0">H8-F8</f>
        <v>62</v>
      </c>
      <c r="K8" s="18">
        <f t="shared" ref="K8:K28" si="1">H8/F8</f>
        <v>1.0734597156398105</v>
      </c>
      <c r="L8" s="19">
        <f t="shared" ref="L8:L28" si="2">I8-G8</f>
        <v>62</v>
      </c>
      <c r="M8" s="25">
        <f t="shared" ref="M8:M28" si="3">I8/G8</f>
        <v>1.0734597156398105</v>
      </c>
    </row>
    <row r="9" spans="2:15" ht="19.5" customHeight="1">
      <c r="B9" s="167"/>
      <c r="C9" s="158" t="s">
        <v>10</v>
      </c>
      <c r="D9" s="159"/>
      <c r="E9" s="21">
        <v>6321</v>
      </c>
      <c r="F9" s="21">
        <v>581</v>
      </c>
      <c r="G9" s="21">
        <v>581</v>
      </c>
      <c r="H9" s="21">
        <v>621</v>
      </c>
      <c r="I9" s="21">
        <v>621</v>
      </c>
      <c r="J9" s="21">
        <f t="shared" si="0"/>
        <v>40</v>
      </c>
      <c r="K9" s="22">
        <f t="shared" si="1"/>
        <v>1.0688468158347677</v>
      </c>
      <c r="L9" s="23">
        <f t="shared" si="2"/>
        <v>40</v>
      </c>
      <c r="M9" s="26">
        <f t="shared" si="3"/>
        <v>1.0688468158347677</v>
      </c>
    </row>
    <row r="10" spans="2:15" ht="21.2" customHeight="1">
      <c r="B10" s="165" t="s">
        <v>22</v>
      </c>
      <c r="C10" s="168" t="s">
        <v>8</v>
      </c>
      <c r="D10" s="169"/>
      <c r="E10" s="41">
        <f>E11+E15</f>
        <v>116298923</v>
      </c>
      <c r="F10" s="41">
        <f>F11+F15</f>
        <v>10114067</v>
      </c>
      <c r="G10" s="41">
        <f>G11+G15</f>
        <v>10114067</v>
      </c>
      <c r="H10" s="41">
        <f>H11+H15</f>
        <v>11058942</v>
      </c>
      <c r="I10" s="41">
        <f>I11+I15</f>
        <v>11058942</v>
      </c>
      <c r="J10" s="41">
        <f t="shared" si="0"/>
        <v>944875</v>
      </c>
      <c r="K10" s="16">
        <f t="shared" si="1"/>
        <v>1.093421864814619</v>
      </c>
      <c r="L10" s="146">
        <f>I10-G10</f>
        <v>944875</v>
      </c>
      <c r="M10" s="24">
        <f t="shared" si="3"/>
        <v>1.093421864814619</v>
      </c>
    </row>
    <row r="11" spans="2:15" ht="19.5" customHeight="1">
      <c r="B11" s="166"/>
      <c r="C11" s="162" t="s">
        <v>1</v>
      </c>
      <c r="D11" s="83" t="s">
        <v>0</v>
      </c>
      <c r="E11" s="79">
        <f>SUM(E12:E14)</f>
        <v>104545935</v>
      </c>
      <c r="F11" s="79">
        <f>SUM(F12:F14)</f>
        <v>9148163</v>
      </c>
      <c r="G11" s="79">
        <f>SUM(G12:G14)</f>
        <v>9148163</v>
      </c>
      <c r="H11" s="79">
        <f>SUM(H12:H14)</f>
        <v>9954417</v>
      </c>
      <c r="I11" s="79">
        <f>SUM(I12:I14)</f>
        <v>9954417</v>
      </c>
      <c r="J11" s="141">
        <f>H11-F11</f>
        <v>806254</v>
      </c>
      <c r="K11" s="80">
        <f t="shared" si="1"/>
        <v>1.0881328852579475</v>
      </c>
      <c r="L11" s="143">
        <f>I11-G11</f>
        <v>806254</v>
      </c>
      <c r="M11" s="81">
        <f t="shared" si="3"/>
        <v>1.0881328852579475</v>
      </c>
    </row>
    <row r="12" spans="2:15" ht="19.5" customHeight="1">
      <c r="B12" s="166"/>
      <c r="C12" s="163"/>
      <c r="D12" s="5" t="s">
        <v>5</v>
      </c>
      <c r="E12" s="42">
        <v>84263643</v>
      </c>
      <c r="F12" s="42">
        <v>7302016</v>
      </c>
      <c r="G12" s="42">
        <v>7302016</v>
      </c>
      <c r="H12" s="42">
        <v>8000784</v>
      </c>
      <c r="I12" s="42">
        <v>8000784</v>
      </c>
      <c r="J12" s="139">
        <f t="shared" si="0"/>
        <v>698768</v>
      </c>
      <c r="K12" s="18">
        <f t="shared" si="1"/>
        <v>1.0956952162252178</v>
      </c>
      <c r="L12" s="144">
        <f t="shared" si="2"/>
        <v>698768</v>
      </c>
      <c r="M12" s="25">
        <f t="shared" si="3"/>
        <v>1.0956952162252178</v>
      </c>
      <c r="O12" s="137"/>
    </row>
    <row r="13" spans="2:15" ht="19.5" customHeight="1">
      <c r="B13" s="166"/>
      <c r="C13" s="163"/>
      <c r="D13" s="5" t="s">
        <v>6</v>
      </c>
      <c r="E13" s="42">
        <v>15327474</v>
      </c>
      <c r="F13" s="42">
        <v>1356860</v>
      </c>
      <c r="G13" s="42">
        <v>1356860</v>
      </c>
      <c r="H13" s="42">
        <v>1622485</v>
      </c>
      <c r="I13" s="42">
        <v>1622485</v>
      </c>
      <c r="J13" s="139">
        <f t="shared" si="0"/>
        <v>265625</v>
      </c>
      <c r="K13" s="18">
        <f t="shared" si="1"/>
        <v>1.1957644856506935</v>
      </c>
      <c r="L13" s="144">
        <f t="shared" si="2"/>
        <v>265625</v>
      </c>
      <c r="M13" s="25">
        <f t="shared" si="3"/>
        <v>1.1957644856506935</v>
      </c>
    </row>
    <row r="14" spans="2:15" ht="19.5" customHeight="1">
      <c r="B14" s="166"/>
      <c r="C14" s="164"/>
      <c r="D14" s="5" t="s">
        <v>13</v>
      </c>
      <c r="E14" s="42">
        <v>4954818</v>
      </c>
      <c r="F14" s="42">
        <v>489287</v>
      </c>
      <c r="G14" s="42">
        <v>489287</v>
      </c>
      <c r="H14" s="138">
        <v>331148</v>
      </c>
      <c r="I14" s="42">
        <v>331148</v>
      </c>
      <c r="J14" s="139">
        <f t="shared" si="0"/>
        <v>-158139</v>
      </c>
      <c r="K14" s="18">
        <f>H14/F14</f>
        <v>0.67679705367197573</v>
      </c>
      <c r="L14" s="144">
        <f t="shared" si="2"/>
        <v>-158139</v>
      </c>
      <c r="M14" s="25">
        <f t="shared" si="3"/>
        <v>0.67679705367197573</v>
      </c>
    </row>
    <row r="15" spans="2:15" ht="19.5" customHeight="1">
      <c r="B15" s="166"/>
      <c r="C15" s="174" t="s">
        <v>2</v>
      </c>
      <c r="D15" s="82" t="s">
        <v>0</v>
      </c>
      <c r="E15" s="76">
        <f>SUM(E16:E18)</f>
        <v>11752988</v>
      </c>
      <c r="F15" s="76">
        <f>SUM(F16:F18)</f>
        <v>965904</v>
      </c>
      <c r="G15" s="76">
        <f>SUM(G16:G18)</f>
        <v>965904</v>
      </c>
      <c r="H15" s="76">
        <f>SUM(H16:H18)</f>
        <v>1104525</v>
      </c>
      <c r="I15" s="76">
        <f>SUM(I16:I18)</f>
        <v>1104525</v>
      </c>
      <c r="J15" s="142">
        <f t="shared" si="0"/>
        <v>138621</v>
      </c>
      <c r="K15" s="77">
        <f t="shared" si="1"/>
        <v>1.1435142622869354</v>
      </c>
      <c r="L15" s="145">
        <f t="shared" si="2"/>
        <v>138621</v>
      </c>
      <c r="M15" s="78">
        <f t="shared" si="3"/>
        <v>1.1435142622869354</v>
      </c>
    </row>
    <row r="16" spans="2:15" ht="19.5" customHeight="1">
      <c r="B16" s="166"/>
      <c r="C16" s="175"/>
      <c r="D16" s="5" t="s">
        <v>3</v>
      </c>
      <c r="E16" s="42">
        <v>8489615</v>
      </c>
      <c r="F16" s="42">
        <v>639477</v>
      </c>
      <c r="G16" s="42">
        <v>639477</v>
      </c>
      <c r="H16" s="42">
        <v>655566</v>
      </c>
      <c r="I16" s="42">
        <v>655566</v>
      </c>
      <c r="J16" s="140">
        <f t="shared" si="0"/>
        <v>16089</v>
      </c>
      <c r="K16" s="18">
        <f t="shared" si="1"/>
        <v>1.0251596226291173</v>
      </c>
      <c r="L16" s="144">
        <f t="shared" si="2"/>
        <v>16089</v>
      </c>
      <c r="M16" s="25">
        <f t="shared" si="3"/>
        <v>1.0251596226291173</v>
      </c>
    </row>
    <row r="17" spans="1:13" ht="19.5" customHeight="1">
      <c r="B17" s="166"/>
      <c r="C17" s="175"/>
      <c r="D17" s="6" t="s">
        <v>4</v>
      </c>
      <c r="E17" s="43">
        <v>3263373</v>
      </c>
      <c r="F17" s="43">
        <v>326427</v>
      </c>
      <c r="G17" s="43">
        <v>326427</v>
      </c>
      <c r="H17" s="43">
        <v>388962</v>
      </c>
      <c r="I17" s="43">
        <v>388962</v>
      </c>
      <c r="J17" s="140">
        <f t="shared" si="0"/>
        <v>62535</v>
      </c>
      <c r="K17" s="18">
        <f t="shared" si="1"/>
        <v>1.1915742263967135</v>
      </c>
      <c r="L17" s="144">
        <f t="shared" si="2"/>
        <v>62535</v>
      </c>
      <c r="M17" s="25">
        <f t="shared" si="3"/>
        <v>1.1915742263967135</v>
      </c>
    </row>
    <row r="18" spans="1:13" ht="19.5" customHeight="1">
      <c r="B18" s="167"/>
      <c r="C18" s="176"/>
      <c r="D18" s="6" t="s">
        <v>17</v>
      </c>
      <c r="E18" s="43">
        <v>0</v>
      </c>
      <c r="F18" s="43">
        <v>0</v>
      </c>
      <c r="G18" s="43">
        <v>0</v>
      </c>
      <c r="H18" s="43">
        <v>59997</v>
      </c>
      <c r="I18" s="43">
        <v>59997</v>
      </c>
      <c r="J18" s="140">
        <f t="shared" si="0"/>
        <v>59997</v>
      </c>
      <c r="K18" s="85">
        <v>0</v>
      </c>
      <c r="L18" s="144">
        <f t="shared" si="2"/>
        <v>59997</v>
      </c>
      <c r="M18" s="25" t="s">
        <v>104</v>
      </c>
    </row>
    <row r="19" spans="1:13" ht="20.100000000000001" customHeight="1">
      <c r="B19" s="27"/>
      <c r="C19" s="28"/>
      <c r="D19" s="7"/>
      <c r="E19" s="15"/>
      <c r="F19" s="1"/>
      <c r="G19" s="1"/>
      <c r="H19" s="1"/>
      <c r="I19" s="15"/>
      <c r="J19" s="17"/>
      <c r="K19" s="170" t="s">
        <v>23</v>
      </c>
      <c r="L19" s="171"/>
      <c r="M19" s="172"/>
    </row>
    <row r="20" spans="1:13" ht="21.2" customHeight="1">
      <c r="B20" s="149"/>
      <c r="C20" s="168" t="s">
        <v>8</v>
      </c>
      <c r="D20" s="169"/>
      <c r="E20" s="89">
        <f>SUM(E21,E25)</f>
        <v>910941</v>
      </c>
      <c r="F20" s="3">
        <f>SUM(F21,F25)</f>
        <v>72897</v>
      </c>
      <c r="G20" s="3">
        <f>SUM(G21,G25)</f>
        <v>72897</v>
      </c>
      <c r="H20" s="89">
        <f>SUM(H21,H25)</f>
        <v>87129</v>
      </c>
      <c r="I20" s="89">
        <f>SUM(I21,I25)</f>
        <v>87129</v>
      </c>
      <c r="J20" s="90">
        <f t="shared" si="0"/>
        <v>14232</v>
      </c>
      <c r="K20" s="91">
        <f t="shared" si="1"/>
        <v>1.195234371784847</v>
      </c>
      <c r="L20" s="92">
        <f t="shared" si="2"/>
        <v>14232</v>
      </c>
      <c r="M20" s="24">
        <f>I20/G20</f>
        <v>1.195234371784847</v>
      </c>
    </row>
    <row r="21" spans="1:13" ht="19.5" customHeight="1">
      <c r="B21" s="150"/>
      <c r="C21" s="155" t="s">
        <v>1</v>
      </c>
      <c r="D21" s="84" t="s">
        <v>0</v>
      </c>
      <c r="E21" s="85">
        <f>SUM(E22:E24)</f>
        <v>910941</v>
      </c>
      <c r="F21" s="85">
        <f>SUM(F22:F24)</f>
        <v>72897</v>
      </c>
      <c r="G21" s="85">
        <f>SUM(G22:G24)</f>
        <v>72897</v>
      </c>
      <c r="H21" s="85">
        <f>SUM(H22:H24)</f>
        <v>87129</v>
      </c>
      <c r="I21" s="85">
        <f>SUM(I22:I24)</f>
        <v>87129</v>
      </c>
      <c r="J21" s="86">
        <f t="shared" si="0"/>
        <v>14232</v>
      </c>
      <c r="K21" s="87">
        <f t="shared" si="1"/>
        <v>1.195234371784847</v>
      </c>
      <c r="L21" s="88">
        <f t="shared" si="2"/>
        <v>14232</v>
      </c>
      <c r="M21" s="81">
        <f t="shared" si="3"/>
        <v>1.195234371784847</v>
      </c>
    </row>
    <row r="22" spans="1:13" ht="19.5" customHeight="1">
      <c r="B22" s="151" t="s">
        <v>19</v>
      </c>
      <c r="C22" s="155"/>
      <c r="D22" s="46" t="s">
        <v>5</v>
      </c>
      <c r="E22" s="123">
        <v>455757</v>
      </c>
      <c r="F22" s="48">
        <v>35564</v>
      </c>
      <c r="G22" s="48">
        <v>35564</v>
      </c>
      <c r="H22" s="48">
        <v>44063</v>
      </c>
      <c r="I22" s="48">
        <v>44063</v>
      </c>
      <c r="J22" s="136">
        <f t="shared" si="0"/>
        <v>8499</v>
      </c>
      <c r="K22" s="45">
        <f t="shared" si="1"/>
        <v>1.2389776178157688</v>
      </c>
      <c r="L22" s="23">
        <f t="shared" si="2"/>
        <v>8499</v>
      </c>
      <c r="M22" s="25">
        <f t="shared" si="3"/>
        <v>1.2389776178157688</v>
      </c>
    </row>
    <row r="23" spans="1:13" ht="19.5" customHeight="1">
      <c r="B23" s="151" t="s">
        <v>20</v>
      </c>
      <c r="C23" s="155"/>
      <c r="D23" s="2" t="s">
        <v>14</v>
      </c>
      <c r="E23" s="123">
        <v>443988</v>
      </c>
      <c r="F23" s="48">
        <v>36209</v>
      </c>
      <c r="G23" s="48">
        <v>36209</v>
      </c>
      <c r="H23" s="48">
        <v>42266</v>
      </c>
      <c r="I23" s="48">
        <v>42266</v>
      </c>
      <c r="J23" s="136">
        <f t="shared" si="0"/>
        <v>6057</v>
      </c>
      <c r="K23" s="45">
        <f t="shared" si="1"/>
        <v>1.1672788533237592</v>
      </c>
      <c r="L23" s="19">
        <f t="shared" si="2"/>
        <v>6057</v>
      </c>
      <c r="M23" s="25">
        <f t="shared" si="3"/>
        <v>1.1672788533237592</v>
      </c>
    </row>
    <row r="24" spans="1:13" ht="19.5" customHeight="1">
      <c r="B24" s="152"/>
      <c r="C24" s="155"/>
      <c r="D24" s="2" t="s">
        <v>13</v>
      </c>
      <c r="E24" s="123">
        <v>11196</v>
      </c>
      <c r="F24" s="48">
        <v>1124</v>
      </c>
      <c r="G24" s="48">
        <v>1124</v>
      </c>
      <c r="H24" s="48">
        <v>800</v>
      </c>
      <c r="I24" s="48">
        <v>800</v>
      </c>
      <c r="J24" s="136">
        <f t="shared" si="0"/>
        <v>-324</v>
      </c>
      <c r="K24" s="45">
        <f t="shared" si="1"/>
        <v>0.71174377224199292</v>
      </c>
      <c r="L24" s="19">
        <f t="shared" si="2"/>
        <v>-324</v>
      </c>
      <c r="M24" s="25">
        <f t="shared" si="3"/>
        <v>0.71174377224199292</v>
      </c>
    </row>
    <row r="25" spans="1:13" ht="19.5" customHeight="1">
      <c r="B25" s="150"/>
      <c r="C25" s="193" t="s">
        <v>2</v>
      </c>
      <c r="D25" s="84" t="s">
        <v>69</v>
      </c>
      <c r="E25" s="85">
        <f>SUM(E26:E27)</f>
        <v>0</v>
      </c>
      <c r="F25" s="85">
        <f>SUM(F26:F27)</f>
        <v>0</v>
      </c>
      <c r="G25" s="85">
        <f>SUM(G26:G27)</f>
        <v>0</v>
      </c>
      <c r="H25" s="85">
        <v>0</v>
      </c>
      <c r="I25" s="85">
        <f>SUM(I26:I27)</f>
        <v>0</v>
      </c>
      <c r="J25" s="86">
        <f t="shared" si="0"/>
        <v>0</v>
      </c>
      <c r="K25" s="85">
        <v>0</v>
      </c>
      <c r="L25" s="19">
        <f t="shared" si="2"/>
        <v>0</v>
      </c>
      <c r="M25" s="85">
        <v>0</v>
      </c>
    </row>
    <row r="26" spans="1:13" ht="19.5" customHeight="1">
      <c r="B26" s="150"/>
      <c r="C26" s="193"/>
      <c r="D26" s="84" t="s">
        <v>69</v>
      </c>
      <c r="E26" s="49">
        <v>0</v>
      </c>
      <c r="F26" s="49">
        <v>0</v>
      </c>
      <c r="G26" s="49">
        <v>0</v>
      </c>
      <c r="H26" s="49">
        <v>0</v>
      </c>
      <c r="I26" s="49">
        <v>0</v>
      </c>
      <c r="J26" s="86">
        <f t="shared" si="0"/>
        <v>0</v>
      </c>
      <c r="K26" s="85">
        <v>0</v>
      </c>
      <c r="L26" s="19">
        <f t="shared" si="2"/>
        <v>0</v>
      </c>
      <c r="M26" s="85">
        <v>0</v>
      </c>
    </row>
    <row r="27" spans="1:13" ht="19.5" customHeight="1">
      <c r="B27" s="153"/>
      <c r="C27" s="193"/>
      <c r="D27" s="84" t="s">
        <v>69</v>
      </c>
      <c r="E27" s="50">
        <v>0</v>
      </c>
      <c r="F27" s="50">
        <v>0</v>
      </c>
      <c r="G27" s="50">
        <v>0</v>
      </c>
      <c r="H27" s="50">
        <v>0</v>
      </c>
      <c r="I27" s="50">
        <v>0</v>
      </c>
      <c r="J27" s="86">
        <f t="shared" si="0"/>
        <v>0</v>
      </c>
      <c r="K27" s="85">
        <v>0</v>
      </c>
      <c r="L27" s="19">
        <f t="shared" si="2"/>
        <v>0</v>
      </c>
      <c r="M27" s="85">
        <v>0</v>
      </c>
    </row>
    <row r="28" spans="1:13" s="103" customFormat="1" ht="21.2" customHeight="1" thickBot="1">
      <c r="B28" s="194" t="s">
        <v>67</v>
      </c>
      <c r="C28" s="195"/>
      <c r="D28" s="196"/>
      <c r="E28" s="104">
        <v>1429401</v>
      </c>
      <c r="F28" s="104">
        <v>126602</v>
      </c>
      <c r="G28" s="104">
        <v>126602</v>
      </c>
      <c r="H28" s="104">
        <v>142514</v>
      </c>
      <c r="I28" s="104">
        <v>142514</v>
      </c>
      <c r="J28" s="105">
        <f t="shared" si="0"/>
        <v>15912</v>
      </c>
      <c r="K28" s="106">
        <f t="shared" si="1"/>
        <v>1.1256852182429977</v>
      </c>
      <c r="L28" s="107">
        <f t="shared" si="2"/>
        <v>15912</v>
      </c>
      <c r="M28" s="108">
        <f t="shared" si="3"/>
        <v>1.1256852182429977</v>
      </c>
    </row>
    <row r="29" spans="1:13" ht="12.75" customHeight="1">
      <c r="B29" s="29"/>
      <c r="C29" s="29"/>
      <c r="D29" s="29"/>
      <c r="E29" s="30"/>
      <c r="F29" s="31"/>
      <c r="G29" s="31"/>
      <c r="H29" s="31"/>
      <c r="I29" s="31"/>
      <c r="J29" s="30"/>
      <c r="K29" s="32"/>
      <c r="L29" s="33"/>
      <c r="M29" s="34"/>
    </row>
    <row r="30" spans="1:13" s="199" customFormat="1" ht="18.75" customHeight="1">
      <c r="A30" s="199" t="s">
        <v>27</v>
      </c>
    </row>
    <row r="31" spans="1:13" s="47" customFormat="1" ht="21.2" customHeight="1">
      <c r="B31" s="198" t="s">
        <v>24</v>
      </c>
      <c r="C31" s="198"/>
      <c r="D31" s="101"/>
      <c r="E31" s="101"/>
      <c r="F31" s="101"/>
      <c r="G31" s="101"/>
      <c r="H31" s="198" t="s">
        <v>25</v>
      </c>
      <c r="I31" s="198"/>
    </row>
    <row r="32" spans="1:13" s="44" customFormat="1" ht="24" customHeight="1">
      <c r="B32"/>
      <c r="C32"/>
      <c r="D32"/>
      <c r="E32"/>
      <c r="F32"/>
      <c r="G32"/>
      <c r="H32"/>
      <c r="I32"/>
      <c r="J32" s="10"/>
      <c r="K32" s="9"/>
      <c r="L32" s="11"/>
      <c r="M32" s="12"/>
    </row>
    <row r="33" spans="2:13" s="44" customFormat="1" ht="30.2" customHeight="1">
      <c r="B33"/>
      <c r="C33"/>
      <c r="D33"/>
      <c r="E33"/>
      <c r="F33"/>
      <c r="G33"/>
      <c r="H33"/>
      <c r="I33"/>
      <c r="J33" s="10"/>
      <c r="K33" s="9"/>
      <c r="L33" s="11"/>
      <c r="M33" s="12"/>
    </row>
    <row r="34" spans="2:13" s="44" customFormat="1" ht="37.15" customHeight="1">
      <c r="B34"/>
      <c r="C34"/>
      <c r="D34"/>
      <c r="E34"/>
      <c r="F34"/>
      <c r="G34"/>
      <c r="H34"/>
      <c r="I34"/>
      <c r="J34" s="10"/>
      <c r="K34" s="9"/>
      <c r="L34" s="11"/>
      <c r="M34" s="12"/>
    </row>
    <row r="35" spans="2:13" s="44" customFormat="1" ht="37.15" customHeight="1">
      <c r="B35"/>
      <c r="C35"/>
      <c r="D35"/>
      <c r="E35"/>
      <c r="F35"/>
      <c r="G35"/>
      <c r="H35"/>
      <c r="I35"/>
      <c r="J35" s="10"/>
      <c r="K35" s="9"/>
      <c r="L35" s="11"/>
      <c r="M35" s="12"/>
    </row>
    <row r="40" spans="2:13" s="197" customFormat="1" ht="24" customHeight="1"/>
    <row r="41" spans="2:13" ht="19.5" customHeight="1">
      <c r="B41" s="191"/>
      <c r="C41" s="192"/>
      <c r="D41" s="192"/>
      <c r="E41" s="192"/>
      <c r="F41" s="192"/>
      <c r="G41" s="192"/>
      <c r="H41" s="192"/>
      <c r="I41" s="192"/>
      <c r="J41" s="192"/>
      <c r="K41" s="192"/>
      <c r="L41" s="192"/>
      <c r="M41" s="192"/>
    </row>
    <row r="42" spans="2:13" ht="19.5" customHeight="1">
      <c r="B42" s="191"/>
      <c r="C42" s="192"/>
      <c r="D42" s="192"/>
      <c r="E42" s="192"/>
      <c r="F42" s="192"/>
      <c r="G42" s="192"/>
      <c r="H42" s="192"/>
      <c r="I42" s="192"/>
      <c r="J42" s="192"/>
      <c r="K42" s="192"/>
      <c r="L42" s="192"/>
      <c r="M42" s="192"/>
    </row>
  </sheetData>
  <mergeCells count="27">
    <mergeCell ref="B41:M41"/>
    <mergeCell ref="B42:M42"/>
    <mergeCell ref="C25:C27"/>
    <mergeCell ref="B28:D28"/>
    <mergeCell ref="A40:XFD40"/>
    <mergeCell ref="B31:C31"/>
    <mergeCell ref="H31:I31"/>
    <mergeCell ref="A30:XFD30"/>
    <mergeCell ref="L1:M1"/>
    <mergeCell ref="C10:D10"/>
    <mergeCell ref="C7:D7"/>
    <mergeCell ref="J5:M5"/>
    <mergeCell ref="B5:D6"/>
    <mergeCell ref="B2:M2"/>
    <mergeCell ref="B3:M3"/>
    <mergeCell ref="F5:G5"/>
    <mergeCell ref="C21:C24"/>
    <mergeCell ref="C8:D8"/>
    <mergeCell ref="C9:D9"/>
    <mergeCell ref="B4:M4"/>
    <mergeCell ref="C11:C14"/>
    <mergeCell ref="B10:B18"/>
    <mergeCell ref="C20:D20"/>
    <mergeCell ref="K19:M19"/>
    <mergeCell ref="H5:I5"/>
    <mergeCell ref="C15:C18"/>
    <mergeCell ref="B7:B9"/>
  </mergeCells>
  <phoneticPr fontId="6" type="noConversion"/>
  <printOptions horizontalCentered="1" gridLinesSet="0"/>
  <pageMargins left="0.19685039370078741" right="0.19685039370078741" top="0.15748031496062992" bottom="0.23622047244094491" header="0.19685039370078741" footer="0.23622047244094491"/>
  <pageSetup paperSize="9" scale="80" orientation="landscape" verticalDpi="597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1"/>
  <sheetViews>
    <sheetView zoomScale="85" zoomScaleNormal="85" workbookViewId="0">
      <selection activeCell="M12" sqref="M12"/>
    </sheetView>
  </sheetViews>
  <sheetFormatPr defaultRowHeight="14.25"/>
  <cols>
    <col min="1" max="1" width="11.25" customWidth="1"/>
    <col min="2" max="6" width="8.75" customWidth="1"/>
    <col min="7" max="7" width="9.5" customWidth="1"/>
    <col min="8" max="8" width="12.125" customWidth="1"/>
    <col min="9" max="13" width="8.875" customWidth="1"/>
    <col min="14" max="14" width="12.25" customWidth="1"/>
    <col min="17" max="17" width="10.75" bestFit="1" customWidth="1"/>
  </cols>
  <sheetData>
    <row r="1" spans="1:27" s="52" customFormat="1" ht="18.75">
      <c r="A1" s="51" t="s">
        <v>28</v>
      </c>
    </row>
    <row r="2" spans="1:27" s="52" customFormat="1" ht="15" thickBot="1">
      <c r="A2"/>
      <c r="B2"/>
      <c r="C2"/>
      <c r="D2" s="111"/>
      <c r="E2" s="111"/>
      <c r="F2" s="200" t="s">
        <v>70</v>
      </c>
      <c r="G2" s="200"/>
      <c r="H2"/>
      <c r="I2"/>
      <c r="J2"/>
      <c r="K2" s="111"/>
      <c r="L2" s="111"/>
      <c r="M2" s="200" t="s">
        <v>29</v>
      </c>
      <c r="N2" s="200"/>
    </row>
    <row r="3" spans="1:27" s="52" customFormat="1" ht="32.25" customHeight="1">
      <c r="A3" s="53" t="s">
        <v>30</v>
      </c>
      <c r="B3" s="54">
        <v>17</v>
      </c>
      <c r="C3" s="54">
        <v>18</v>
      </c>
      <c r="D3" s="54">
        <v>19</v>
      </c>
      <c r="E3" s="54">
        <v>20</v>
      </c>
      <c r="F3" s="54">
        <v>21</v>
      </c>
      <c r="G3" s="121">
        <v>22.01</v>
      </c>
      <c r="H3" s="55" t="s">
        <v>30</v>
      </c>
      <c r="I3" s="54">
        <v>17</v>
      </c>
      <c r="J3" s="54">
        <v>18</v>
      </c>
      <c r="K3" s="54">
        <v>19</v>
      </c>
      <c r="L3" s="54">
        <v>20</v>
      </c>
      <c r="M3" s="54">
        <v>21</v>
      </c>
      <c r="N3" s="122">
        <f>$G$3</f>
        <v>22.01</v>
      </c>
    </row>
    <row r="4" spans="1:27" s="52" customFormat="1" ht="39.200000000000003" customHeight="1" thickBot="1">
      <c r="A4" s="74" t="s">
        <v>31</v>
      </c>
      <c r="B4" s="113">
        <v>19440</v>
      </c>
      <c r="C4" s="113">
        <v>18829</v>
      </c>
      <c r="D4" s="113">
        <v>18416</v>
      </c>
      <c r="E4" s="113">
        <v>17326</v>
      </c>
      <c r="F4" s="113">
        <v>16412</v>
      </c>
      <c r="G4" s="114">
        <f>통계요약!I7</f>
        <v>1527</v>
      </c>
      <c r="H4" s="74" t="s">
        <v>32</v>
      </c>
      <c r="I4" s="113">
        <v>112491</v>
      </c>
      <c r="J4" s="113">
        <v>115147</v>
      </c>
      <c r="K4" s="113">
        <v>113201</v>
      </c>
      <c r="L4" s="113">
        <v>106845</v>
      </c>
      <c r="M4" s="113">
        <v>116298</v>
      </c>
      <c r="N4" s="154">
        <v>11059</v>
      </c>
    </row>
    <row r="5" spans="1:27" s="52" customFormat="1" ht="30.2" customHeight="1" thickBot="1">
      <c r="A5"/>
      <c r="B5"/>
      <c r="C5"/>
      <c r="D5" s="111"/>
      <c r="E5" s="111"/>
      <c r="F5" s="201" t="s">
        <v>33</v>
      </c>
      <c r="G5" s="201"/>
      <c r="H5" s="56"/>
      <c r="I5" s="57"/>
      <c r="J5" s="57"/>
      <c r="K5" s="111"/>
      <c r="L5" s="111"/>
      <c r="M5" s="201" t="s">
        <v>34</v>
      </c>
      <c r="N5" s="201"/>
    </row>
    <row r="6" spans="1:27" s="52" customFormat="1" ht="32.25" customHeight="1">
      <c r="A6" s="53" t="s">
        <v>30</v>
      </c>
      <c r="B6" s="54">
        <v>17</v>
      </c>
      <c r="C6" s="54">
        <v>18</v>
      </c>
      <c r="D6" s="54">
        <v>19</v>
      </c>
      <c r="E6" s="54">
        <v>20</v>
      </c>
      <c r="F6" s="54">
        <v>21</v>
      </c>
      <c r="G6" s="122">
        <f>$G$3</f>
        <v>22.01</v>
      </c>
      <c r="H6" s="55" t="s">
        <v>30</v>
      </c>
      <c r="I6" s="54">
        <v>17</v>
      </c>
      <c r="J6" s="54">
        <v>18</v>
      </c>
      <c r="K6" s="54">
        <v>19</v>
      </c>
      <c r="L6" s="54">
        <v>20</v>
      </c>
      <c r="M6" s="54">
        <v>21</v>
      </c>
      <c r="N6" s="122">
        <f>$G$3</f>
        <v>22.01</v>
      </c>
    </row>
    <row r="7" spans="1:27" s="52" customFormat="1" ht="37.5" customHeight="1" thickBot="1">
      <c r="A7" s="74" t="s">
        <v>35</v>
      </c>
      <c r="B7" s="115">
        <v>643233</v>
      </c>
      <c r="C7" s="115">
        <v>689852</v>
      </c>
      <c r="D7" s="115">
        <v>725047</v>
      </c>
      <c r="E7" s="115">
        <v>792643</v>
      </c>
      <c r="F7" s="115">
        <v>910941</v>
      </c>
      <c r="G7" s="116">
        <f>통계요약!I20</f>
        <v>87129</v>
      </c>
      <c r="H7" s="74" t="s">
        <v>36</v>
      </c>
      <c r="I7" s="113">
        <v>482428</v>
      </c>
      <c r="J7" s="113">
        <v>452480</v>
      </c>
      <c r="K7" s="113">
        <v>623733</v>
      </c>
      <c r="L7" s="113">
        <v>40267</v>
      </c>
      <c r="M7" s="113">
        <v>0</v>
      </c>
      <c r="N7" s="117">
        <v>0</v>
      </c>
      <c r="AA7" s="102">
        <f>(19166/188141)^(1/4)-1</f>
        <v>-0.43504740355323723</v>
      </c>
    </row>
    <row r="12" spans="1:27" s="63" customFormat="1" ht="25.5" customHeight="1">
      <c r="A12" s="63" t="s">
        <v>37</v>
      </c>
    </row>
    <row r="13" spans="1:27" s="52" customFormat="1" ht="21.2" customHeight="1">
      <c r="A13" s="100" t="s">
        <v>52</v>
      </c>
      <c r="H13" s="100" t="s">
        <v>51</v>
      </c>
      <c r="I13" s="58"/>
      <c r="J13" s="59"/>
      <c r="K13" s="60"/>
      <c r="L13" s="61"/>
      <c r="M13" s="61"/>
      <c r="N13" s="61"/>
    </row>
    <row r="14" spans="1:27" s="52" customFormat="1" ht="24" customHeight="1">
      <c r="I14" s="58"/>
      <c r="J14" s="59"/>
      <c r="K14" s="60"/>
      <c r="L14" s="61"/>
      <c r="M14" s="61"/>
      <c r="N14" s="61"/>
    </row>
    <row r="15" spans="1:27" s="52" customFormat="1" ht="24" customHeight="1">
      <c r="I15" s="58"/>
      <c r="J15" s="59"/>
      <c r="K15" s="60"/>
      <c r="L15" s="61"/>
      <c r="M15" s="61"/>
      <c r="N15" s="61"/>
    </row>
    <row r="16" spans="1:27" s="52" customFormat="1" ht="24" customHeight="1">
      <c r="I16" s="58"/>
      <c r="J16" s="59"/>
      <c r="K16" s="60"/>
      <c r="L16" s="61"/>
      <c r="M16" s="61"/>
      <c r="N16" s="61"/>
    </row>
    <row r="17" spans="1:14" s="52" customFormat="1" ht="24" customHeight="1">
      <c r="I17" s="58"/>
      <c r="J17" s="59"/>
      <c r="K17" s="60"/>
      <c r="L17" s="61"/>
      <c r="M17" s="61"/>
      <c r="N17" s="61"/>
    </row>
    <row r="18" spans="1:14" s="52" customFormat="1" ht="24" customHeight="1">
      <c r="I18" s="58"/>
      <c r="J18" s="59"/>
      <c r="K18" s="60"/>
      <c r="L18" s="61"/>
      <c r="M18" s="61"/>
      <c r="N18" s="61"/>
    </row>
    <row r="19" spans="1:14" s="52" customFormat="1" ht="24" customHeight="1">
      <c r="I19" s="58"/>
      <c r="J19" s="59"/>
      <c r="K19" s="60"/>
      <c r="L19" s="61"/>
      <c r="M19" s="61"/>
      <c r="N19" s="61"/>
    </row>
    <row r="20" spans="1:14" s="52" customFormat="1" ht="24" customHeight="1">
      <c r="I20" s="58"/>
      <c r="J20" s="59"/>
      <c r="K20" s="60"/>
      <c r="L20" s="61"/>
      <c r="M20" s="61"/>
      <c r="N20" s="61"/>
    </row>
    <row r="21" spans="1:14" s="52" customFormat="1" ht="24" customHeight="1">
      <c r="I21" s="58"/>
      <c r="J21" s="59"/>
      <c r="K21" s="60"/>
      <c r="L21" s="61"/>
      <c r="M21" s="61"/>
      <c r="N21" s="61"/>
    </row>
    <row r="22" spans="1:14" s="52" customFormat="1" ht="36" customHeight="1">
      <c r="I22" s="58"/>
      <c r="J22" s="59"/>
      <c r="K22" s="60"/>
      <c r="L22" s="61"/>
      <c r="M22" s="61"/>
      <c r="N22" s="61"/>
    </row>
    <row r="23" spans="1:14" s="52" customFormat="1" ht="27.75" customHeight="1">
      <c r="A23" s="62" t="s">
        <v>25</v>
      </c>
      <c r="H23" s="100" t="s">
        <v>50</v>
      </c>
      <c r="I23" s="58"/>
      <c r="J23" s="59"/>
      <c r="K23" s="60"/>
      <c r="L23" s="61"/>
      <c r="M23" s="61"/>
      <c r="N23" s="61"/>
    </row>
    <row r="24" spans="1:14" s="52" customFormat="1" ht="24" customHeight="1">
      <c r="I24" s="58"/>
      <c r="J24" s="59"/>
      <c r="K24" s="60"/>
      <c r="L24" s="61"/>
      <c r="M24" s="61"/>
      <c r="N24" s="61"/>
    </row>
    <row r="25" spans="1:14" s="52" customFormat="1" ht="24" customHeight="1">
      <c r="I25" s="58"/>
      <c r="J25" s="59"/>
      <c r="K25" s="60"/>
      <c r="L25" s="61"/>
      <c r="M25" s="61"/>
      <c r="N25" s="61"/>
    </row>
    <row r="26" spans="1:14" s="52" customFormat="1" ht="24" customHeight="1">
      <c r="I26" s="58"/>
      <c r="J26" s="59"/>
      <c r="K26" s="60"/>
      <c r="L26" s="61"/>
      <c r="M26" s="61"/>
      <c r="N26" s="61"/>
    </row>
    <row r="27" spans="1:14" s="52" customFormat="1" ht="24" customHeight="1">
      <c r="I27" s="58"/>
      <c r="J27" s="59"/>
      <c r="K27" s="60"/>
      <c r="L27" s="61"/>
      <c r="M27" s="61"/>
      <c r="N27" s="61"/>
    </row>
    <row r="28" spans="1:14" s="52" customFormat="1" ht="24" customHeight="1">
      <c r="I28" s="58"/>
      <c r="J28" s="59"/>
      <c r="K28" s="60"/>
      <c r="L28" s="61"/>
      <c r="M28" s="61"/>
      <c r="N28" s="61"/>
    </row>
    <row r="29" spans="1:14" s="52" customFormat="1" ht="24" customHeight="1">
      <c r="I29" s="58"/>
      <c r="J29" s="59"/>
      <c r="K29" s="60"/>
      <c r="L29" s="61"/>
      <c r="M29" s="61"/>
      <c r="N29" s="61"/>
    </row>
    <row r="30" spans="1:14" s="52" customFormat="1" ht="24" customHeight="1">
      <c r="I30" s="58"/>
      <c r="J30" s="59"/>
      <c r="K30" s="60"/>
      <c r="L30" s="61"/>
      <c r="M30" s="61"/>
      <c r="N30" s="61"/>
    </row>
    <row r="31" spans="1:14" s="52" customFormat="1" ht="24" customHeight="1">
      <c r="I31" s="58"/>
      <c r="J31" s="59"/>
      <c r="K31" s="60"/>
      <c r="L31" s="61"/>
      <c r="M31" s="61"/>
      <c r="N31" s="61"/>
    </row>
  </sheetData>
  <mergeCells count="4">
    <mergeCell ref="F2:G2"/>
    <mergeCell ref="M2:N2"/>
    <mergeCell ref="F5:G5"/>
    <mergeCell ref="M5:N5"/>
  </mergeCells>
  <phoneticPr fontId="21" type="noConversion"/>
  <pageMargins left="0.8" right="0.51181102362204722" top="1.36" bottom="0.98425196850393704" header="0.51181102362204722" footer="0.51181102362204722"/>
  <pageSetup paperSize="9" scale="61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3"/>
  <sheetViews>
    <sheetView zoomScale="90" zoomScaleNormal="90" workbookViewId="0">
      <pane xSplit="5" ySplit="5" topLeftCell="F6" activePane="bottomRight" state="frozen"/>
      <selection pane="topRight" activeCell="F1" sqref="F1"/>
      <selection pane="bottomLeft" activeCell="A6" sqref="A6"/>
      <selection pane="bottomRight" activeCell="E1" sqref="E1"/>
    </sheetView>
  </sheetViews>
  <sheetFormatPr defaultColWidth="10" defaultRowHeight="13.5"/>
  <cols>
    <col min="1" max="1" width="10" style="64" customWidth="1"/>
    <col min="2" max="2" width="5.75" style="64" customWidth="1"/>
    <col min="3" max="3" width="1" style="64" customWidth="1"/>
    <col min="4" max="4" width="8" style="64" customWidth="1"/>
    <col min="5" max="5" width="14.875" style="64" bestFit="1" customWidth="1"/>
    <col min="6" max="6" width="11" style="64" customWidth="1"/>
    <col min="7" max="7" width="13.25" style="64" customWidth="1"/>
    <col min="8" max="8" width="11" style="64" customWidth="1"/>
    <col min="9" max="9" width="13.25" style="64" customWidth="1"/>
    <col min="10" max="10" width="12.25" style="64" customWidth="1"/>
    <col min="11" max="11" width="11" style="64" customWidth="1"/>
    <col min="12" max="12" width="12.75" style="64" customWidth="1"/>
    <col min="13" max="13" width="11" style="64" customWidth="1"/>
    <col min="14" max="16384" width="10" style="64"/>
  </cols>
  <sheetData>
    <row r="1" spans="1:16" ht="50.25" customHeight="1" thickBot="1">
      <c r="A1" s="75" t="s">
        <v>38</v>
      </c>
      <c r="F1" s="120"/>
      <c r="G1" s="120"/>
      <c r="H1" s="120"/>
      <c r="I1" s="120"/>
      <c r="J1" s="65"/>
      <c r="K1" s="66"/>
      <c r="L1" s="67"/>
      <c r="M1" s="68"/>
    </row>
    <row r="2" spans="1:16" ht="21.95" customHeight="1">
      <c r="A2" s="208" t="s">
        <v>39</v>
      </c>
      <c r="B2" s="209"/>
      <c r="C2" s="209"/>
      <c r="D2" s="212" t="s">
        <v>40</v>
      </c>
      <c r="E2" s="69"/>
      <c r="F2" s="202" t="s">
        <v>72</v>
      </c>
      <c r="G2" s="202"/>
      <c r="H2" s="202" t="s">
        <v>99</v>
      </c>
      <c r="I2" s="202"/>
      <c r="J2" s="202" t="s">
        <v>41</v>
      </c>
      <c r="K2" s="202"/>
      <c r="L2" s="202"/>
      <c r="M2" s="203"/>
    </row>
    <row r="3" spans="1:16" ht="21.95" customHeight="1">
      <c r="A3" s="210"/>
      <c r="B3" s="211"/>
      <c r="C3" s="211"/>
      <c r="D3" s="213"/>
      <c r="E3" s="70" t="s">
        <v>42</v>
      </c>
      <c r="F3" s="70" t="str">
        <f>통계요약!F6</f>
        <v>1월(A)</v>
      </c>
      <c r="G3" s="70" t="str">
        <f>통계요약!G6</f>
        <v>1월누계(B)</v>
      </c>
      <c r="H3" s="112" t="str">
        <f>통계요약!H6</f>
        <v>1월(C)</v>
      </c>
      <c r="I3" s="70" t="str">
        <f>통계요약!I6</f>
        <v>1월누계(D)</v>
      </c>
      <c r="J3" s="70" t="s">
        <v>43</v>
      </c>
      <c r="K3" s="71" t="s">
        <v>44</v>
      </c>
      <c r="L3" s="72" t="s">
        <v>45</v>
      </c>
      <c r="M3" s="126" t="s">
        <v>44</v>
      </c>
    </row>
    <row r="4" spans="1:16" ht="21.95" customHeight="1">
      <c r="A4" s="204" t="s">
        <v>46</v>
      </c>
      <c r="B4" s="205"/>
      <c r="C4" s="205"/>
      <c r="D4" s="148" t="s">
        <v>47</v>
      </c>
      <c r="E4" s="99">
        <f>SUM(E6,E8,E10,E12,E14,E16,E18,E22,E20,E26,E28,E30,E32,E24,)</f>
        <v>910940.75</v>
      </c>
      <c r="F4" s="99">
        <f>SUM(F6,F8,F10,F12,F14,F16,F18,F22,F20,F26,F28,F30,F32,F24,)</f>
        <v>72896.25</v>
      </c>
      <c r="G4" s="99">
        <f>SUM(G6,G8,G10,G12,G14,G16,G18,G22,G20,G26,G28,G30,G32,G24,)</f>
        <v>72897</v>
      </c>
      <c r="H4" s="99">
        <f>SUM(H6,H8,H10,H12,H14,H16,H18,H22,H20,H26,H28,H30,H32,H24,)</f>
        <v>87129</v>
      </c>
      <c r="I4" s="99">
        <f>SUM(I6,I8,I10,I12,I14,I16,I18,I22,I20,I26,I28,I30,I32,I24,)</f>
        <v>87129</v>
      </c>
      <c r="J4" s="93">
        <f t="shared" ref="J4:J31" si="0">H4-F4</f>
        <v>14232.75</v>
      </c>
      <c r="K4" s="94">
        <f t="shared" ref="K4:K33" si="1">(H4/F4*100)-100</f>
        <v>19.524666906733884</v>
      </c>
      <c r="L4" s="95">
        <f t="shared" ref="L4:L31" si="2">I4-G4</f>
        <v>14232</v>
      </c>
      <c r="M4" s="127">
        <f t="shared" ref="M4:M33" si="3">(I4/G4*100)-100</f>
        <v>19.523437178484699</v>
      </c>
    </row>
    <row r="5" spans="1:16" ht="21.95" customHeight="1">
      <c r="A5" s="204"/>
      <c r="B5" s="205"/>
      <c r="C5" s="205"/>
      <c r="D5" s="148" t="s">
        <v>48</v>
      </c>
      <c r="E5" s="99">
        <f>SUM(E7,E9,E11,E13,E15,E17,E19,E21,E23,E27,E29,E31,E33,E25)</f>
        <v>13995669</v>
      </c>
      <c r="F5" s="99">
        <f>SUM(F7,F9,F11,F13,F15,F17,F19,F21,F23,F27,F29,F31,F33,F25)</f>
        <v>1110266</v>
      </c>
      <c r="G5" s="99">
        <f>SUM(G7,G9,G11,G13,G15,G17,G19,G21,G23,G27,G29,G31,G33,G25)</f>
        <v>1110266</v>
      </c>
      <c r="H5" s="99">
        <f>SUM(H7,H9,H11,H13,H15,H17,H19,H21,H23,H27,H29,H31,H33,H25)</f>
        <v>1355772</v>
      </c>
      <c r="I5" s="99">
        <f>SUM(I7,I9,I11,I13,I15,I17,I19,I21,I23,I27,I29,I31,I33,I25)</f>
        <v>1355772</v>
      </c>
      <c r="J5" s="93">
        <f t="shared" si="0"/>
        <v>245506</v>
      </c>
      <c r="K5" s="94">
        <f t="shared" si="1"/>
        <v>22.112358659996787</v>
      </c>
      <c r="L5" s="95">
        <f t="shared" si="2"/>
        <v>245506</v>
      </c>
      <c r="M5" s="127">
        <f t="shared" si="3"/>
        <v>22.112358659996787</v>
      </c>
    </row>
    <row r="6" spans="1:16" ht="21.2" customHeight="1">
      <c r="A6" s="206" t="s">
        <v>53</v>
      </c>
      <c r="B6" s="207"/>
      <c r="C6" s="207"/>
      <c r="D6" s="73" t="s">
        <v>47</v>
      </c>
      <c r="E6" s="124">
        <v>54806</v>
      </c>
      <c r="F6" s="124">
        <v>4063</v>
      </c>
      <c r="G6" s="124">
        <v>4063</v>
      </c>
      <c r="H6" s="124">
        <v>5295</v>
      </c>
      <c r="I6" s="124">
        <v>5295</v>
      </c>
      <c r="J6" s="96">
        <f t="shared" ref="J6:J20" si="4">H6-F6</f>
        <v>1232</v>
      </c>
      <c r="K6" s="97">
        <f t="shared" ref="K6:K19" si="5">(H6/F6*100)-100</f>
        <v>30.32242185577158</v>
      </c>
      <c r="L6" s="98">
        <f>I6-G6</f>
        <v>1232</v>
      </c>
      <c r="M6" s="128">
        <f>(I6/G6*100)-100</f>
        <v>30.32242185577158</v>
      </c>
      <c r="P6" s="64" t="s">
        <v>73</v>
      </c>
    </row>
    <row r="7" spans="1:16" ht="21.2" customHeight="1">
      <c r="A7" s="206"/>
      <c r="B7" s="207"/>
      <c r="C7" s="207"/>
      <c r="D7" s="73" t="s">
        <v>48</v>
      </c>
      <c r="E7" s="124">
        <v>1010788</v>
      </c>
      <c r="F7" s="124">
        <v>74305</v>
      </c>
      <c r="G7" s="124">
        <v>74305</v>
      </c>
      <c r="H7" s="124">
        <v>97920</v>
      </c>
      <c r="I7" s="124">
        <v>97920</v>
      </c>
      <c r="J7" s="96">
        <f t="shared" si="4"/>
        <v>23615</v>
      </c>
      <c r="K7" s="97">
        <f t="shared" si="5"/>
        <v>31.781172195679972</v>
      </c>
      <c r="L7" s="98">
        <f t="shared" si="2"/>
        <v>23615</v>
      </c>
      <c r="M7" s="128">
        <f t="shared" si="3"/>
        <v>31.781172195679972</v>
      </c>
      <c r="P7" s="64" t="s">
        <v>73</v>
      </c>
    </row>
    <row r="8" spans="1:16" ht="21.2" customHeight="1">
      <c r="A8" s="206" t="s">
        <v>54</v>
      </c>
      <c r="B8" s="207"/>
      <c r="C8" s="207"/>
      <c r="D8" s="73" t="s">
        <v>47</v>
      </c>
      <c r="E8" s="124">
        <v>73318.25</v>
      </c>
      <c r="F8" s="124">
        <v>6340.25</v>
      </c>
      <c r="G8" s="124">
        <v>6341</v>
      </c>
      <c r="H8" s="124">
        <v>7270</v>
      </c>
      <c r="I8" s="124">
        <v>7270</v>
      </c>
      <c r="J8" s="96">
        <f t="shared" si="4"/>
        <v>929.75</v>
      </c>
      <c r="K8" s="97">
        <f t="shared" si="5"/>
        <v>14.664248255194991</v>
      </c>
      <c r="L8" s="98">
        <f>I8-G8</f>
        <v>929</v>
      </c>
      <c r="M8" s="128">
        <f>(I8/G8*100)-100</f>
        <v>14.650686011670075</v>
      </c>
      <c r="P8" s="64" t="s">
        <v>74</v>
      </c>
    </row>
    <row r="9" spans="1:16" ht="21.2" customHeight="1">
      <c r="A9" s="206"/>
      <c r="B9" s="207"/>
      <c r="C9" s="207"/>
      <c r="D9" s="73" t="s">
        <v>48</v>
      </c>
      <c r="E9" s="124">
        <v>1108270</v>
      </c>
      <c r="F9" s="124">
        <v>96827</v>
      </c>
      <c r="G9" s="124">
        <v>96827</v>
      </c>
      <c r="H9" s="124">
        <v>112330</v>
      </c>
      <c r="I9" s="124">
        <v>112330</v>
      </c>
      <c r="J9" s="96">
        <f t="shared" si="4"/>
        <v>15503</v>
      </c>
      <c r="K9" s="97">
        <f t="shared" si="5"/>
        <v>16.011029981306862</v>
      </c>
      <c r="L9" s="98">
        <f t="shared" si="2"/>
        <v>15503</v>
      </c>
      <c r="M9" s="128">
        <f t="shared" si="3"/>
        <v>16.011029981306862</v>
      </c>
      <c r="P9" s="64" t="s">
        <v>74</v>
      </c>
    </row>
    <row r="10" spans="1:16" ht="21.2" customHeight="1">
      <c r="A10" s="206" t="s">
        <v>94</v>
      </c>
      <c r="B10" s="207"/>
      <c r="C10" s="207"/>
      <c r="D10" s="73" t="s">
        <v>47</v>
      </c>
      <c r="E10" s="124">
        <v>32</v>
      </c>
      <c r="F10" s="125">
        <v>0</v>
      </c>
      <c r="G10" s="125">
        <v>0</v>
      </c>
      <c r="H10" s="125">
        <v>0</v>
      </c>
      <c r="I10" s="125">
        <v>0</v>
      </c>
      <c r="J10" s="96">
        <f t="shared" si="4"/>
        <v>0</v>
      </c>
      <c r="K10" s="125">
        <v>0</v>
      </c>
      <c r="L10" s="98">
        <f t="shared" si="2"/>
        <v>0</v>
      </c>
      <c r="M10" s="147">
        <v>0</v>
      </c>
      <c r="P10" s="64" t="s">
        <v>95</v>
      </c>
    </row>
    <row r="11" spans="1:16" ht="21.2" customHeight="1">
      <c r="A11" s="206"/>
      <c r="B11" s="207"/>
      <c r="C11" s="207"/>
      <c r="D11" s="73" t="s">
        <v>48</v>
      </c>
      <c r="E11" s="124">
        <v>760</v>
      </c>
      <c r="F11" s="125">
        <v>0</v>
      </c>
      <c r="G11" s="125">
        <v>0</v>
      </c>
      <c r="H11" s="125">
        <v>0</v>
      </c>
      <c r="I11" s="125">
        <v>0</v>
      </c>
      <c r="J11" s="96">
        <f t="shared" si="4"/>
        <v>0</v>
      </c>
      <c r="K11" s="125">
        <v>0</v>
      </c>
      <c r="L11" s="98">
        <f t="shared" si="2"/>
        <v>0</v>
      </c>
      <c r="M11" s="147">
        <v>0</v>
      </c>
      <c r="P11" s="64" t="s">
        <v>95</v>
      </c>
    </row>
    <row r="12" spans="1:16" ht="21.2" customHeight="1">
      <c r="A12" s="206" t="s">
        <v>66</v>
      </c>
      <c r="B12" s="207"/>
      <c r="C12" s="207"/>
      <c r="D12" s="73" t="s">
        <v>47</v>
      </c>
      <c r="E12" s="125">
        <v>0</v>
      </c>
      <c r="F12" s="125">
        <v>0</v>
      </c>
      <c r="G12" s="125">
        <v>0</v>
      </c>
      <c r="H12" s="125">
        <v>0</v>
      </c>
      <c r="I12" s="125">
        <v>0</v>
      </c>
      <c r="J12" s="96">
        <f t="shared" si="4"/>
        <v>0</v>
      </c>
      <c r="K12" s="125">
        <v>0</v>
      </c>
      <c r="L12" s="98">
        <f t="shared" si="2"/>
        <v>0</v>
      </c>
      <c r="M12" s="147">
        <v>0</v>
      </c>
      <c r="P12" s="64" t="s">
        <v>75</v>
      </c>
    </row>
    <row r="13" spans="1:16" ht="21.2" customHeight="1">
      <c r="A13" s="206"/>
      <c r="B13" s="207"/>
      <c r="C13" s="207"/>
      <c r="D13" s="73" t="s">
        <v>65</v>
      </c>
      <c r="E13" s="125">
        <v>0</v>
      </c>
      <c r="F13" s="125">
        <v>0</v>
      </c>
      <c r="G13" s="125">
        <v>0</v>
      </c>
      <c r="H13" s="125">
        <v>0</v>
      </c>
      <c r="I13" s="125">
        <v>0</v>
      </c>
      <c r="J13" s="96">
        <f t="shared" si="4"/>
        <v>0</v>
      </c>
      <c r="K13" s="125">
        <v>0</v>
      </c>
      <c r="L13" s="98">
        <f t="shared" si="2"/>
        <v>0</v>
      </c>
      <c r="M13" s="147">
        <v>0</v>
      </c>
      <c r="P13" s="64" t="s">
        <v>75</v>
      </c>
    </row>
    <row r="14" spans="1:16" ht="21.2" customHeight="1">
      <c r="A14" s="206" t="s">
        <v>55</v>
      </c>
      <c r="B14" s="207"/>
      <c r="C14" s="207"/>
      <c r="D14" s="73" t="s">
        <v>47</v>
      </c>
      <c r="E14" s="124">
        <v>111623.25</v>
      </c>
      <c r="F14" s="124">
        <v>7575</v>
      </c>
      <c r="G14" s="124">
        <v>7575</v>
      </c>
      <c r="H14" s="124">
        <v>11078</v>
      </c>
      <c r="I14" s="124">
        <v>11078</v>
      </c>
      <c r="J14" s="96">
        <f t="shared" si="4"/>
        <v>3503</v>
      </c>
      <c r="K14" s="97">
        <f t="shared" si="5"/>
        <v>46.244224422442244</v>
      </c>
      <c r="L14" s="98">
        <f t="shared" si="2"/>
        <v>3503</v>
      </c>
      <c r="M14" s="128">
        <f>(I14/G14*100)-100</f>
        <v>46.244224422442244</v>
      </c>
      <c r="P14" s="64" t="s">
        <v>76</v>
      </c>
    </row>
    <row r="15" spans="1:16" ht="21.2" customHeight="1">
      <c r="A15" s="206"/>
      <c r="B15" s="207"/>
      <c r="C15" s="207"/>
      <c r="D15" s="73" t="s">
        <v>48</v>
      </c>
      <c r="E15" s="124">
        <v>1710730</v>
      </c>
      <c r="F15" s="124">
        <v>120872</v>
      </c>
      <c r="G15" s="124">
        <v>120872</v>
      </c>
      <c r="H15" s="124">
        <v>178409</v>
      </c>
      <c r="I15" s="124">
        <v>178409</v>
      </c>
      <c r="J15" s="96">
        <f t="shared" si="4"/>
        <v>57537</v>
      </c>
      <c r="K15" s="97">
        <f t="shared" si="5"/>
        <v>47.601595075782654</v>
      </c>
      <c r="L15" s="98">
        <f t="shared" si="2"/>
        <v>57537</v>
      </c>
      <c r="M15" s="128">
        <f t="shared" si="3"/>
        <v>47.601595075782654</v>
      </c>
      <c r="P15" s="64" t="s">
        <v>77</v>
      </c>
    </row>
    <row r="16" spans="1:16" ht="21.2" customHeight="1">
      <c r="A16" s="206" t="s">
        <v>62</v>
      </c>
      <c r="B16" s="207"/>
      <c r="C16" s="207"/>
      <c r="D16" s="73" t="s">
        <v>47</v>
      </c>
      <c r="E16" s="124">
        <v>256141.25</v>
      </c>
      <c r="F16" s="124">
        <v>21952</v>
      </c>
      <c r="G16" s="124">
        <v>21952</v>
      </c>
      <c r="H16" s="124">
        <v>19494</v>
      </c>
      <c r="I16" s="124">
        <v>19494</v>
      </c>
      <c r="J16" s="96">
        <f t="shared" si="4"/>
        <v>-2458</v>
      </c>
      <c r="K16" s="97">
        <f t="shared" si="5"/>
        <v>-11.197157434402328</v>
      </c>
      <c r="L16" s="98">
        <f t="shared" si="2"/>
        <v>-2458</v>
      </c>
      <c r="M16" s="128">
        <f t="shared" si="3"/>
        <v>-11.197157434402328</v>
      </c>
      <c r="P16" s="64" t="s">
        <v>78</v>
      </c>
    </row>
    <row r="17" spans="1:16" ht="21.2" customHeight="1">
      <c r="A17" s="206"/>
      <c r="B17" s="207"/>
      <c r="C17" s="207"/>
      <c r="D17" s="73" t="s">
        <v>48</v>
      </c>
      <c r="E17" s="124">
        <v>3560132</v>
      </c>
      <c r="F17" s="124">
        <v>297634</v>
      </c>
      <c r="G17" s="124">
        <v>297634</v>
      </c>
      <c r="H17" s="124">
        <v>278116</v>
      </c>
      <c r="I17" s="124">
        <v>278116</v>
      </c>
      <c r="J17" s="96">
        <f t="shared" si="4"/>
        <v>-19518</v>
      </c>
      <c r="K17" s="97">
        <f t="shared" si="5"/>
        <v>-6.5577185402205345</v>
      </c>
      <c r="L17" s="98">
        <f t="shared" si="2"/>
        <v>-19518</v>
      </c>
      <c r="M17" s="128">
        <f t="shared" si="3"/>
        <v>-6.5577185402205345</v>
      </c>
      <c r="P17" s="64" t="s">
        <v>79</v>
      </c>
    </row>
    <row r="18" spans="1:16" ht="21.2" customHeight="1">
      <c r="A18" s="206" t="s">
        <v>56</v>
      </c>
      <c r="B18" s="207"/>
      <c r="C18" s="207"/>
      <c r="D18" s="73" t="s">
        <v>47</v>
      </c>
      <c r="E18" s="124">
        <v>147779</v>
      </c>
      <c r="F18" s="124">
        <v>11107</v>
      </c>
      <c r="G18" s="124">
        <v>11107</v>
      </c>
      <c r="H18" s="124">
        <v>14650</v>
      </c>
      <c r="I18" s="124">
        <v>14650</v>
      </c>
      <c r="J18" s="96">
        <f t="shared" si="4"/>
        <v>3543</v>
      </c>
      <c r="K18" s="97">
        <f t="shared" si="5"/>
        <v>31.898802556946066</v>
      </c>
      <c r="L18" s="98">
        <f t="shared" si="2"/>
        <v>3543</v>
      </c>
      <c r="M18" s="129">
        <f t="shared" si="3"/>
        <v>31.898802556946066</v>
      </c>
      <c r="P18" s="64" t="s">
        <v>80</v>
      </c>
    </row>
    <row r="19" spans="1:16" ht="21.2" customHeight="1">
      <c r="A19" s="206"/>
      <c r="B19" s="207"/>
      <c r="C19" s="207"/>
      <c r="D19" s="73" t="s">
        <v>48</v>
      </c>
      <c r="E19" s="124">
        <v>2333127</v>
      </c>
      <c r="F19" s="124">
        <v>172484</v>
      </c>
      <c r="G19" s="124">
        <v>172484</v>
      </c>
      <c r="H19" s="124">
        <v>230880</v>
      </c>
      <c r="I19" s="124">
        <v>230880</v>
      </c>
      <c r="J19" s="96">
        <f t="shared" si="4"/>
        <v>58396</v>
      </c>
      <c r="K19" s="97">
        <f t="shared" si="5"/>
        <v>33.855893880012076</v>
      </c>
      <c r="L19" s="98">
        <f t="shared" si="2"/>
        <v>58396</v>
      </c>
      <c r="M19" s="129">
        <f t="shared" si="3"/>
        <v>33.855893880012076</v>
      </c>
      <c r="P19" s="64" t="s">
        <v>81</v>
      </c>
    </row>
    <row r="20" spans="1:16" ht="21.2" customHeight="1">
      <c r="A20" s="216" t="s">
        <v>68</v>
      </c>
      <c r="B20" s="217"/>
      <c r="C20" s="217"/>
      <c r="D20" s="109" t="s">
        <v>47</v>
      </c>
      <c r="E20" s="125">
        <v>0</v>
      </c>
      <c r="F20" s="125">
        <v>0</v>
      </c>
      <c r="G20" s="125">
        <v>0</v>
      </c>
      <c r="H20" s="125">
        <v>0</v>
      </c>
      <c r="I20" s="125">
        <v>0</v>
      </c>
      <c r="J20" s="110">
        <f t="shared" si="4"/>
        <v>0</v>
      </c>
      <c r="K20" s="125">
        <v>0</v>
      </c>
      <c r="L20" s="98">
        <f t="shared" si="2"/>
        <v>0</v>
      </c>
      <c r="M20" s="147">
        <v>0</v>
      </c>
      <c r="P20" s="64" t="s">
        <v>82</v>
      </c>
    </row>
    <row r="21" spans="1:16" ht="21.2" customHeight="1">
      <c r="A21" s="216"/>
      <c r="B21" s="217"/>
      <c r="C21" s="217"/>
      <c r="D21" s="109" t="s">
        <v>48</v>
      </c>
      <c r="E21" s="125">
        <v>0</v>
      </c>
      <c r="F21" s="125">
        <v>0</v>
      </c>
      <c r="G21" s="125">
        <v>0</v>
      </c>
      <c r="H21" s="125">
        <v>0</v>
      </c>
      <c r="I21" s="125">
        <v>0</v>
      </c>
      <c r="J21" s="110">
        <f t="shared" si="0"/>
        <v>0</v>
      </c>
      <c r="K21" s="125">
        <v>0</v>
      </c>
      <c r="L21" s="98">
        <f t="shared" si="2"/>
        <v>0</v>
      </c>
      <c r="M21" s="147">
        <v>0</v>
      </c>
      <c r="P21" s="64" t="s">
        <v>83</v>
      </c>
    </row>
    <row r="22" spans="1:16" ht="21.2" customHeight="1">
      <c r="A22" s="206" t="s">
        <v>93</v>
      </c>
      <c r="B22" s="207"/>
      <c r="C22" s="207"/>
      <c r="D22" s="73" t="s">
        <v>47</v>
      </c>
      <c r="E22" s="124">
        <v>8</v>
      </c>
      <c r="F22" s="125">
        <v>0</v>
      </c>
      <c r="G22" s="125">
        <v>0</v>
      </c>
      <c r="H22" s="125">
        <v>0</v>
      </c>
      <c r="I22" s="125">
        <v>0</v>
      </c>
      <c r="J22" s="110">
        <f t="shared" si="0"/>
        <v>0</v>
      </c>
      <c r="K22" s="125">
        <v>0</v>
      </c>
      <c r="L22" s="98">
        <f t="shared" si="2"/>
        <v>0</v>
      </c>
      <c r="M22" s="147">
        <v>0</v>
      </c>
      <c r="P22" s="64" t="s">
        <v>96</v>
      </c>
    </row>
    <row r="23" spans="1:16" ht="21.2" customHeight="1">
      <c r="A23" s="206"/>
      <c r="B23" s="207"/>
      <c r="C23" s="207"/>
      <c r="D23" s="73" t="s">
        <v>48</v>
      </c>
      <c r="E23" s="124">
        <v>43</v>
      </c>
      <c r="F23" s="125">
        <v>0</v>
      </c>
      <c r="G23" s="125">
        <v>0</v>
      </c>
      <c r="H23" s="125">
        <v>0</v>
      </c>
      <c r="I23" s="125">
        <v>0</v>
      </c>
      <c r="J23" s="110">
        <f t="shared" si="0"/>
        <v>0</v>
      </c>
      <c r="K23" s="125">
        <v>0</v>
      </c>
      <c r="L23" s="98">
        <f t="shared" si="2"/>
        <v>0</v>
      </c>
      <c r="M23" s="147">
        <v>0</v>
      </c>
      <c r="P23" s="64" t="s">
        <v>96</v>
      </c>
    </row>
    <row r="24" spans="1:16" ht="21.2" customHeight="1">
      <c r="A24" s="206" t="s">
        <v>63</v>
      </c>
      <c r="B24" s="207"/>
      <c r="C24" s="207"/>
      <c r="D24" s="73" t="s">
        <v>64</v>
      </c>
      <c r="E24" s="124">
        <v>43</v>
      </c>
      <c r="F24" s="125">
        <v>0</v>
      </c>
      <c r="G24" s="125">
        <v>0</v>
      </c>
      <c r="H24" s="125">
        <v>0</v>
      </c>
      <c r="I24" s="125">
        <v>0</v>
      </c>
      <c r="J24" s="110">
        <f t="shared" si="0"/>
        <v>0</v>
      </c>
      <c r="K24" s="125">
        <v>0</v>
      </c>
      <c r="L24" s="98">
        <f t="shared" si="2"/>
        <v>0</v>
      </c>
      <c r="M24" s="147">
        <v>0</v>
      </c>
      <c r="P24" s="64" t="s">
        <v>84</v>
      </c>
    </row>
    <row r="25" spans="1:16" ht="21.2" customHeight="1">
      <c r="A25" s="206"/>
      <c r="B25" s="207"/>
      <c r="C25" s="207"/>
      <c r="D25" s="73" t="s">
        <v>65</v>
      </c>
      <c r="E25" s="124">
        <v>492</v>
      </c>
      <c r="F25" s="125">
        <v>0</v>
      </c>
      <c r="G25" s="125">
        <v>0</v>
      </c>
      <c r="H25" s="125">
        <v>0</v>
      </c>
      <c r="I25" s="125">
        <v>0</v>
      </c>
      <c r="J25" s="110">
        <f t="shared" si="0"/>
        <v>0</v>
      </c>
      <c r="K25" s="125">
        <v>0</v>
      </c>
      <c r="L25" s="98">
        <f t="shared" si="2"/>
        <v>0</v>
      </c>
      <c r="M25" s="147">
        <v>0</v>
      </c>
      <c r="P25" s="64" t="s">
        <v>84</v>
      </c>
    </row>
    <row r="26" spans="1:16" ht="21.2" customHeight="1">
      <c r="A26" s="206" t="s">
        <v>58</v>
      </c>
      <c r="B26" s="207"/>
      <c r="C26" s="207"/>
      <c r="D26" s="73" t="s">
        <v>47</v>
      </c>
      <c r="E26" s="124">
        <v>478</v>
      </c>
      <c r="F26" s="125">
        <v>0</v>
      </c>
      <c r="G26" s="125">
        <v>0</v>
      </c>
      <c r="H26" s="124">
        <v>20</v>
      </c>
      <c r="I26" s="124">
        <v>20</v>
      </c>
      <c r="J26" s="110">
        <f t="shared" si="0"/>
        <v>20</v>
      </c>
      <c r="K26" s="97" t="s">
        <v>103</v>
      </c>
      <c r="L26" s="98">
        <f t="shared" si="2"/>
        <v>20</v>
      </c>
      <c r="M26" s="128" t="s">
        <v>103</v>
      </c>
      <c r="P26" s="64" t="s">
        <v>85</v>
      </c>
    </row>
    <row r="27" spans="1:16" ht="21.2" customHeight="1">
      <c r="A27" s="206"/>
      <c r="B27" s="207"/>
      <c r="C27" s="207"/>
      <c r="D27" s="73" t="s">
        <v>48</v>
      </c>
      <c r="E27" s="124">
        <v>2537</v>
      </c>
      <c r="F27" s="125">
        <v>0</v>
      </c>
      <c r="G27" s="125">
        <v>0</v>
      </c>
      <c r="H27" s="124">
        <v>173</v>
      </c>
      <c r="I27" s="124">
        <v>173</v>
      </c>
      <c r="J27" s="110">
        <f t="shared" si="0"/>
        <v>173</v>
      </c>
      <c r="K27" s="97" t="s">
        <v>103</v>
      </c>
      <c r="L27" s="98">
        <f t="shared" si="2"/>
        <v>173</v>
      </c>
      <c r="M27" s="128" t="s">
        <v>103</v>
      </c>
      <c r="P27" s="64" t="s">
        <v>86</v>
      </c>
    </row>
    <row r="28" spans="1:16" ht="21.2" customHeight="1">
      <c r="A28" s="206" t="s">
        <v>59</v>
      </c>
      <c r="B28" s="207"/>
      <c r="C28" s="207"/>
      <c r="D28" s="73" t="s">
        <v>47</v>
      </c>
      <c r="E28" s="124">
        <v>95587</v>
      </c>
      <c r="F28" s="124">
        <v>7216</v>
      </c>
      <c r="G28" s="124">
        <v>7216</v>
      </c>
      <c r="H28" s="124">
        <v>8946</v>
      </c>
      <c r="I28" s="124">
        <v>8946</v>
      </c>
      <c r="J28" s="110">
        <f t="shared" si="0"/>
        <v>1730</v>
      </c>
      <c r="K28" s="97">
        <f t="shared" si="1"/>
        <v>23.974501108647445</v>
      </c>
      <c r="L28" s="98">
        <f t="shared" si="2"/>
        <v>1730</v>
      </c>
      <c r="M28" s="128">
        <f t="shared" si="3"/>
        <v>23.974501108647445</v>
      </c>
      <c r="P28" s="64" t="s">
        <v>87</v>
      </c>
    </row>
    <row r="29" spans="1:16" ht="21.2" customHeight="1">
      <c r="A29" s="206"/>
      <c r="B29" s="207"/>
      <c r="C29" s="207"/>
      <c r="D29" s="73" t="s">
        <v>48</v>
      </c>
      <c r="E29" s="124">
        <v>1614394</v>
      </c>
      <c r="F29" s="124">
        <v>124425</v>
      </c>
      <c r="G29" s="124">
        <v>124425</v>
      </c>
      <c r="H29" s="124">
        <v>157551</v>
      </c>
      <c r="I29" s="124">
        <v>157551</v>
      </c>
      <c r="J29" s="110">
        <f t="shared" si="0"/>
        <v>33126</v>
      </c>
      <c r="K29" s="97">
        <f t="shared" si="1"/>
        <v>26.623267028330304</v>
      </c>
      <c r="L29" s="98">
        <f t="shared" si="2"/>
        <v>33126</v>
      </c>
      <c r="M29" s="128">
        <f t="shared" si="3"/>
        <v>26.623267028330304</v>
      </c>
      <c r="P29" s="64" t="s">
        <v>88</v>
      </c>
    </row>
    <row r="30" spans="1:16" ht="21.2" customHeight="1">
      <c r="A30" s="206" t="s">
        <v>60</v>
      </c>
      <c r="B30" s="207"/>
      <c r="C30" s="207"/>
      <c r="D30" s="73" t="s">
        <v>47</v>
      </c>
      <c r="E30" s="124">
        <v>118744</v>
      </c>
      <c r="F30" s="124">
        <v>8981</v>
      </c>
      <c r="G30" s="124">
        <v>8981</v>
      </c>
      <c r="H30" s="124">
        <v>15941</v>
      </c>
      <c r="I30" s="124">
        <v>15941</v>
      </c>
      <c r="J30" s="96">
        <f t="shared" si="0"/>
        <v>6960</v>
      </c>
      <c r="K30" s="97">
        <f t="shared" si="1"/>
        <v>77.496937980180377</v>
      </c>
      <c r="L30" s="98">
        <f t="shared" si="2"/>
        <v>6960</v>
      </c>
      <c r="M30" s="128">
        <f t="shared" si="3"/>
        <v>77.496937980180377</v>
      </c>
      <c r="P30" s="64" t="s">
        <v>89</v>
      </c>
    </row>
    <row r="31" spans="1:16" ht="21.2" customHeight="1">
      <c r="A31" s="206"/>
      <c r="B31" s="207"/>
      <c r="C31" s="207"/>
      <c r="D31" s="73" t="s">
        <v>48</v>
      </c>
      <c r="E31" s="124">
        <v>1798604</v>
      </c>
      <c r="F31" s="124">
        <v>135324</v>
      </c>
      <c r="G31" s="124">
        <v>135324</v>
      </c>
      <c r="H31" s="124">
        <v>224321</v>
      </c>
      <c r="I31" s="124">
        <v>224321</v>
      </c>
      <c r="J31" s="96">
        <f t="shared" si="0"/>
        <v>88997</v>
      </c>
      <c r="K31" s="97">
        <f t="shared" si="1"/>
        <v>65.765865626200821</v>
      </c>
      <c r="L31" s="98">
        <f t="shared" si="2"/>
        <v>88997</v>
      </c>
      <c r="M31" s="128">
        <f t="shared" si="3"/>
        <v>65.765865626200821</v>
      </c>
      <c r="P31" s="64" t="s">
        <v>90</v>
      </c>
    </row>
    <row r="32" spans="1:16" ht="21.2" customHeight="1">
      <c r="A32" s="206" t="s">
        <v>61</v>
      </c>
      <c r="B32" s="207"/>
      <c r="C32" s="207"/>
      <c r="D32" s="73" t="s">
        <v>47</v>
      </c>
      <c r="E32" s="124">
        <v>52381</v>
      </c>
      <c r="F32" s="124">
        <v>5662</v>
      </c>
      <c r="G32" s="124">
        <v>5662</v>
      </c>
      <c r="H32" s="124">
        <v>4435</v>
      </c>
      <c r="I32" s="124">
        <v>4435</v>
      </c>
      <c r="J32" s="96">
        <f>H32-F32</f>
        <v>-1227</v>
      </c>
      <c r="K32" s="97">
        <f t="shared" si="1"/>
        <v>-21.670787707523843</v>
      </c>
      <c r="L32" s="98">
        <f>I32-G32</f>
        <v>-1227</v>
      </c>
      <c r="M32" s="128">
        <f t="shared" si="3"/>
        <v>-21.670787707523843</v>
      </c>
      <c r="P32" s="64" t="s">
        <v>91</v>
      </c>
    </row>
    <row r="33" spans="1:16" ht="21.2" customHeight="1" thickBot="1">
      <c r="A33" s="214"/>
      <c r="B33" s="215"/>
      <c r="C33" s="215"/>
      <c r="D33" s="130" t="s">
        <v>48</v>
      </c>
      <c r="E33" s="131">
        <v>855792</v>
      </c>
      <c r="F33" s="131">
        <v>88395</v>
      </c>
      <c r="G33" s="131">
        <v>88395</v>
      </c>
      <c r="H33" s="131">
        <v>76072</v>
      </c>
      <c r="I33" s="131">
        <v>76072</v>
      </c>
      <c r="J33" s="132">
        <f>H33-F33</f>
        <v>-12323</v>
      </c>
      <c r="K33" s="133">
        <f t="shared" si="1"/>
        <v>-13.940833757565471</v>
      </c>
      <c r="L33" s="134">
        <f>I33-G33</f>
        <v>-12323</v>
      </c>
      <c r="M33" s="135">
        <f t="shared" si="3"/>
        <v>-13.940833757565471</v>
      </c>
      <c r="P33" s="64" t="s">
        <v>92</v>
      </c>
    </row>
  </sheetData>
  <mergeCells count="20">
    <mergeCell ref="A10:C11"/>
    <mergeCell ref="A12:C13"/>
    <mergeCell ref="A32:C33"/>
    <mergeCell ref="A28:C29"/>
    <mergeCell ref="A30:C31"/>
    <mergeCell ref="A20:C21"/>
    <mergeCell ref="A14:C15"/>
    <mergeCell ref="A16:C17"/>
    <mergeCell ref="A18:C19"/>
    <mergeCell ref="A26:C27"/>
    <mergeCell ref="A24:C25"/>
    <mergeCell ref="A22:C23"/>
    <mergeCell ref="J2:M2"/>
    <mergeCell ref="A4:C5"/>
    <mergeCell ref="A6:C7"/>
    <mergeCell ref="A8:C9"/>
    <mergeCell ref="A2:C3"/>
    <mergeCell ref="D2:D3"/>
    <mergeCell ref="F2:G2"/>
    <mergeCell ref="H2:I2"/>
  </mergeCells>
  <phoneticPr fontId="22" type="noConversion"/>
  <pageMargins left="0.74803149606299213" right="0.70866141732283472" top="0.98425196850393704" bottom="0.39370078740157483" header="0.27559055118110237" footer="0.27559055118110237"/>
  <pageSetup paperSize="9" scale="60" orientation="landscape" verticalDpi="597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이름이 지정된 범위</vt:lpstr>
      </vt:variant>
      <vt:variant>
        <vt:i4>2</vt:i4>
      </vt:variant>
    </vt:vector>
  </HeadingPairs>
  <TitlesOfParts>
    <vt:vector size="5" baseType="lpstr">
      <vt:lpstr>통계요약</vt:lpstr>
      <vt:lpstr>연도별 수송실적</vt:lpstr>
      <vt:lpstr>컨테이너 재게</vt:lpstr>
      <vt:lpstr>'연도별 수송실적'!Print_Area</vt:lpstr>
      <vt:lpstr>통계요약!Print_Area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항만청</dc:creator>
  <cp:lastModifiedBy>MOF</cp:lastModifiedBy>
  <cp:lastPrinted>2021-12-23T07:17:43Z</cp:lastPrinted>
  <dcterms:created xsi:type="dcterms:W3CDTF">1998-03-31T03:01:22Z</dcterms:created>
  <dcterms:modified xsi:type="dcterms:W3CDTF">2022-02-24T02:35:00Z</dcterms:modified>
</cp:coreProperties>
</file>