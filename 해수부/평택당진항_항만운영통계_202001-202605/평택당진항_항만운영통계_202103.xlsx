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G7" i="21" l="1"/>
  <c r="F3" i="32" l="1"/>
  <c r="I7" i="21" l="1"/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G4" i="33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<sst xmlns="http://schemas.openxmlformats.org/spreadsheetml/2006/main" count="126" uniqueCount="82">
  <si>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</si>
  <si>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</si>
  <si>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</si>
  <si>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</si>
  <si>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</si>
  <si>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</si>
  <si>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</si>
  <si>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</si>
  <si>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</si>
  <si>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</si>
  <si>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</si>
  <si>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</si>
  <si>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</si>
  <si>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</si>
  <si>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</si>
  <si>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</si>
  <si>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</si>
  <si>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</si>
  <si>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</si>
  <si>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</si>
  <si>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</si>
  <si>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</si>
  <si>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</si>
  <si>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</si>
  <si>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</si>
  <si>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</si>
  <si>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</si>
  <si>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</si>
  <si>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</si>
  <si>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</si>
  <si>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</si>
  <si>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</si>
  <si>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</si>
  <si>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</si>
  <si>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</si>
  <si>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</si>
  <si>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</si>
  <si>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</si>
  <si>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</si>
  <si>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</si>
  <si>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</si>
  <si>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</si>
  <si>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</si>
  <si>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</si>
  <si>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</si>
  <si>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</si>
  <si>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</si>
  <si>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</si>
  <si>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</si>
  <si>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</si>
  <si>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</si>
  <si>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</si>
  <si>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</si>
  <si>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</si>
  <si>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</si>
  <si>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</si>
  <si>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</si>
  <si>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</si>
  <si>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</si>
  <si>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</si>
  <si>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</si>
  <si>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</si>
  <si>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</si>
  <si>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</si>
  <si>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</si>
  <si>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</si>
  <si>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</si>
  <si>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</si>
  <si>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</si>
  <si>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</si>
  <si>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</si>
  <si>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</si>
  <si>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(단위 : 척)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</si>
  <si>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</si>
  <si>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2020년도</t>
    <phoneticPr fontId="5" type="noConversion"/>
  </si>
  <si>
    <t>2021년도</t>
    <phoneticPr fontId="5" type="noConversion"/>
  </si>
  <si>
    <t>2021년도</t>
    <phoneticPr fontId="5" type="noConversion"/>
  </si>
  <si>
    <t>3월(A)</t>
    <phoneticPr fontId="5" type="noConversion"/>
  </si>
  <si>
    <t>(2021. 3월분)</t>
    <phoneticPr fontId="5" type="noConversion"/>
  </si>
  <si>
    <t>3월누계(B)</t>
    <phoneticPr fontId="5" type="noConversion"/>
  </si>
  <si>
    <t>3월(C)</t>
    <phoneticPr fontId="5" type="noConversion"/>
  </si>
  <si>
    <t>3월누계(D)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</si>
</sst>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\(0.0\)"/>
    <numFmt numFmtId="187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50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horizontal="right" vertical="center"/>
    </xf>
    <xf numFmtId="183" fontId="31" fillId="0" borderId="23" xfId="0" applyNumberFormat="1" applyFont="1" applyBorder="1" applyAlignment="1">
      <alignment horizontal="right" vertical="center"/>
    </xf>
    <xf numFmtId="176" fontId="31" fillId="0" borderId="23" xfId="15" applyFont="1" applyBorder="1" applyAlignment="1">
      <alignment horizontal="right" vertical="center" shrinkToFit="1"/>
    </xf>
    <xf numFmtId="183" fontId="23" fillId="0" borderId="12" xfId="0" applyNumberFormat="1" applyFont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0" fontId="24" fillId="0" borderId="0" xfId="17" applyFont="1">
      <alignment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3월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27963432</c:v>
                </c:pt>
              </c:numCache>
            </c:numRef>
          </c:val>
        </c:ser>
        <c:ser>
          <c:idx val="1"/>
          <c:order val="1"/>
          <c:tx>
            <c:v>'21년 3월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29881906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85549184"/>
        <c:axId val="185550336"/>
        <c:axId val="0"/>
      </c:bar3DChart>
      <c:catAx>
        <c:axId val="185549184"/>
        <c:scaling>
          <c:orientation val="minMax"/>
        </c:scaling>
        <c:delete val="1"/>
        <c:axPos val="b"/>
        <c:majorTickMark val="out"/>
        <c:minorTickMark val="none"/>
        <c:tickLblPos val="none"/>
        <c:crossAx val="185550336"/>
        <c:crosses val="autoZero"/>
        <c:auto val="1"/>
        <c:lblAlgn val="ctr"/>
        <c:lblOffset val="100"/>
        <c:noMultiLvlLbl val="0"/>
      </c:catAx>
      <c:valAx>
        <c:axId val="185550336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5549184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3월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159676</c:v>
                </c:pt>
              </c:numCache>
            </c:numRef>
          </c:val>
        </c:ser>
        <c:ser>
          <c:idx val="1"/>
          <c:order val="1"/>
          <c:tx>
            <c:v>'21년 3월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200665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85581952"/>
        <c:axId val="185583488"/>
        <c:axId val="0"/>
      </c:bar3DChart>
      <c:catAx>
        <c:axId val="185581952"/>
        <c:scaling>
          <c:orientation val="minMax"/>
        </c:scaling>
        <c:delete val="1"/>
        <c:axPos val="b"/>
        <c:majorTickMark val="out"/>
        <c:minorTickMark val="none"/>
        <c:tickLblPos val="none"/>
        <c:crossAx val="185583488"/>
        <c:crosses val="autoZero"/>
        <c:auto val="1"/>
        <c:lblAlgn val="ctr"/>
        <c:lblOffset val="100"/>
        <c:noMultiLvlLbl val="0"/>
      </c:catAx>
      <c:valAx>
        <c:axId val="185583488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5581952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21.3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29881.905999999999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37120"/>
        <c:axId val="193667456"/>
      </c:lineChart>
      <c:catAx>
        <c:axId val="185637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667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6674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56371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21.3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200665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95744"/>
        <c:axId val="193697664"/>
      </c:lineChart>
      <c:catAx>
        <c:axId val="193695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697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6976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69574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21.3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00512"/>
        <c:axId val="193602688"/>
      </c:lineChart>
      <c:catAx>
        <c:axId val="19360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602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60268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6005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21.3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4101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27264"/>
        <c:axId val="193629184"/>
      </c:lineChart>
      <c:catAx>
        <c:axId val="1936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629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62918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6272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21.3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4101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93344"/>
        <c:axId val="193995520"/>
      </c:lineChart>
      <c:catAx>
        <c:axId val="19399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995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39955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399334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4" sqref="B4:M4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94"/>
      <c r="M1" s="194"/>
    </row>
    <row r="2" spans="2:13" ht="33" customHeight="1">
      <c r="B2" s="204" t="s">
        <v>49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</row>
    <row r="3" spans="2:13" ht="27.75" customHeight="1">
      <c r="B3" s="206" t="s">
        <v>78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2:13" ht="21.2" customHeight="1" thickBot="1">
      <c r="B4" s="177" t="s">
        <v>73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</row>
    <row r="5" spans="2:13" ht="21.2" customHeight="1">
      <c r="B5" s="198" t="s">
        <v>7</v>
      </c>
      <c r="C5" s="199"/>
      <c r="D5" s="200"/>
      <c r="E5" s="39"/>
      <c r="F5" s="196" t="s">
        <v>74</v>
      </c>
      <c r="G5" s="207"/>
      <c r="H5" s="190" t="s">
        <v>75</v>
      </c>
      <c r="I5" s="190"/>
      <c r="J5" s="195" t="s">
        <v>15</v>
      </c>
      <c r="K5" s="196"/>
      <c r="L5" s="196"/>
      <c r="M5" s="197"/>
    </row>
    <row r="6" spans="2:13" ht="20.25" customHeight="1">
      <c r="B6" s="201"/>
      <c r="C6" s="202"/>
      <c r="D6" s="203"/>
      <c r="E6" s="40" t="s">
        <v>11</v>
      </c>
      <c r="F6" s="245" t="s">
        <v>77</v>
      </c>
      <c r="G6" s="41" t="s">
        <v>79</v>
      </c>
      <c r="H6" s="245" t="s">
        <v>80</v>
      </c>
      <c r="I6" s="246" t="s">
        <v>81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182" t="s">
        <v>21</v>
      </c>
      <c r="C7" s="185" t="s">
        <v>12</v>
      </c>
      <c r="D7" s="186"/>
      <c r="E7" s="13">
        <f>SUM(E8:E9)</f>
        <v>17326</v>
      </c>
      <c r="F7" s="13">
        <f>SUM(F8:F9)</f>
        <v>1531</v>
      </c>
      <c r="G7" s="13">
        <f>SUM(G8:G9)</f>
        <v>4457</v>
      </c>
      <c r="H7" s="13">
        <f>SUM(H8:H9)</f>
        <v>1430</v>
      </c>
      <c r="I7" s="13">
        <f>SUM(I8:I9)</f>
        <v>4101</v>
      </c>
      <c r="J7" s="13">
        <f>H7-F7</f>
        <v>-101</v>
      </c>
      <c r="K7" s="16">
        <f>H7/F7</f>
        <v>0.93403004572175052</v>
      </c>
      <c r="L7" s="14">
        <f>I7-G7</f>
        <v>-356</v>
      </c>
      <c r="M7" s="24">
        <f>I7/G7</f>
        <v>0.92012564505272609</v>
      </c>
    </row>
    <row r="8" spans="2:13" ht="19.5" customHeight="1">
      <c r="B8" s="183"/>
      <c r="C8" s="173" t="s">
        <v>9</v>
      </c>
      <c r="D8" s="174"/>
      <c r="E8" s="20">
        <v>10177</v>
      </c>
      <c r="F8" s="20">
        <v>951</v>
      </c>
      <c r="G8" s="21">
        <v>2697</v>
      </c>
      <c r="H8" s="20">
        <v>873</v>
      </c>
      <c r="I8" s="20">
        <v>2500</v>
      </c>
      <c r="J8" s="4">
        <f t="shared" ref="J8:J28" si="0">H8-F8</f>
        <v>-78</v>
      </c>
      <c r="K8" s="18">
        <f t="shared" ref="K8:K28" si="1">H8/F8</f>
        <v>0.917981072555205</v>
      </c>
      <c r="L8" s="19">
        <f t="shared" ref="L8:L28" si="2">I8-G8</f>
        <v>-197</v>
      </c>
      <c r="M8" s="26">
        <f t="shared" ref="M8:M28" si="3">I8/G8</f>
        <v>0.9269558769002596</v>
      </c>
    </row>
    <row r="9" spans="2:13" ht="19.5" customHeight="1">
      <c r="B9" s="184"/>
      <c r="C9" s="175" t="s">
        <v>10</v>
      </c>
      <c r="D9" s="176"/>
      <c r="E9" s="21">
        <v>7149</v>
      </c>
      <c r="F9" s="21">
        <v>580</v>
      </c>
      <c r="G9" s="21">
        <v>1760</v>
      </c>
      <c r="H9" s="21">
        <v>557</v>
      </c>
      <c r="I9" s="21">
        <v>1601</v>
      </c>
      <c r="J9" s="21">
        <f t="shared" si="0"/>
        <v>-23</v>
      </c>
      <c r="K9" s="22">
        <f t="shared" si="1"/>
        <v>0.96034482758620687</v>
      </c>
      <c r="L9" s="23">
        <f t="shared" si="2"/>
        <v>-159</v>
      </c>
      <c r="M9" s="27">
        <f t="shared" si="3"/>
        <v>0.90965909090909092</v>
      </c>
    </row>
    <row r="10" spans="2:13" ht="21.2" customHeight="1">
      <c r="B10" s="182" t="s">
        <v>22</v>
      </c>
      <c r="C10" s="185" t="s">
        <v>8</v>
      </c>
      <c r="D10" s="186"/>
      <c r="E10" s="45">
        <f>E11+E15</f>
        <v>106845294</v>
      </c>
      <c r="F10" s="45">
        <f>F11+F15</f>
        <v>9093754</v>
      </c>
      <c r="G10" s="45">
        <f>G11+G15</f>
        <v>27963432</v>
      </c>
      <c r="H10" s="45">
        <f>H11+H15</f>
        <v>10318712</v>
      </c>
      <c r="I10" s="45">
        <f>I11+I15</f>
        <v>29881906</v>
      </c>
      <c r="J10" s="45">
        <f t="shared" si="0"/>
        <v>1224958</v>
      </c>
      <c r="K10" s="16">
        <f t="shared" si="1"/>
        <v>1.1347032259724641</v>
      </c>
      <c r="L10" s="49">
        <f>I10-G10</f>
        <v>1918474</v>
      </c>
      <c r="M10" s="24">
        <f t="shared" si="3"/>
        <v>1.0686065286979081</v>
      </c>
    </row>
    <row r="11" spans="2:13" ht="19.5" customHeight="1">
      <c r="B11" s="183"/>
      <c r="C11" s="179" t="s">
        <v>1</v>
      </c>
      <c r="D11" s="98" t="s">
        <v>0</v>
      </c>
      <c r="E11" s="92">
        <f>SUM(E12:E14)</f>
        <v>95663945</v>
      </c>
      <c r="F11" s="92">
        <f>SUM(F12:F14)</f>
        <v>8094612</v>
      </c>
      <c r="G11" s="92">
        <f>SUM(G12:G14)</f>
        <v>25134690</v>
      </c>
      <c r="H11" s="92">
        <f>SUM(H12:H14)</f>
        <v>9216417</v>
      </c>
      <c r="I11" s="92">
        <f>SUM(I12:I14)</f>
        <v>26876398</v>
      </c>
      <c r="J11" s="93">
        <f t="shared" si="0"/>
        <v>1121805</v>
      </c>
      <c r="K11" s="94">
        <f t="shared" si="1"/>
        <v>1.1385866302177301</v>
      </c>
      <c r="L11" s="95">
        <f t="shared" si="2"/>
        <v>1741708</v>
      </c>
      <c r="M11" s="96">
        <f t="shared" si="3"/>
        <v>1.0692949863316397</v>
      </c>
    </row>
    <row r="12" spans="2:13" ht="19.5" customHeight="1">
      <c r="B12" s="183"/>
      <c r="C12" s="180"/>
      <c r="D12" s="5" t="s">
        <v>5</v>
      </c>
      <c r="E12" s="46">
        <v>76439827</v>
      </c>
      <c r="F12" s="46">
        <v>6472316</v>
      </c>
      <c r="G12" s="46">
        <v>20269911</v>
      </c>
      <c r="H12" s="46">
        <v>7327777</v>
      </c>
      <c r="I12" s="46">
        <v>21597217</v>
      </c>
      <c r="J12" s="93">
        <f t="shared" si="0"/>
        <v>855461</v>
      </c>
      <c r="K12" s="18">
        <f t="shared" si="1"/>
        <v>1.1321723166792228</v>
      </c>
      <c r="L12" s="48">
        <f t="shared" si="2"/>
        <v>1327306</v>
      </c>
      <c r="M12" s="26">
        <f t="shared" si="3"/>
        <v>1.0654815899290333</v>
      </c>
    </row>
    <row r="13" spans="2:13" ht="19.5" customHeight="1">
      <c r="B13" s="183"/>
      <c r="C13" s="180"/>
      <c r="D13" s="5" t="s">
        <v>6</v>
      </c>
      <c r="E13" s="46">
        <v>13946411</v>
      </c>
      <c r="F13" s="46">
        <v>1192144</v>
      </c>
      <c r="G13" s="46">
        <v>3485077</v>
      </c>
      <c r="H13" s="46">
        <v>1426815</v>
      </c>
      <c r="I13" s="46">
        <v>3962376</v>
      </c>
      <c r="J13" s="93">
        <f t="shared" si="0"/>
        <v>234671</v>
      </c>
      <c r="K13" s="18">
        <f t="shared" si="1"/>
        <v>1.1968478640164275</v>
      </c>
      <c r="L13" s="48">
        <f t="shared" si="2"/>
        <v>477299</v>
      </c>
      <c r="M13" s="26">
        <f t="shared" si="3"/>
        <v>1.136955080189046</v>
      </c>
    </row>
    <row r="14" spans="2:13" ht="19.5" customHeight="1">
      <c r="B14" s="183"/>
      <c r="C14" s="181"/>
      <c r="D14" s="5" t="s">
        <v>13</v>
      </c>
      <c r="E14" s="46">
        <v>5277707</v>
      </c>
      <c r="F14" s="46">
        <v>430152</v>
      </c>
      <c r="G14" s="46">
        <v>1379702</v>
      </c>
      <c r="H14" s="46">
        <v>461825</v>
      </c>
      <c r="I14" s="46">
        <v>1316805</v>
      </c>
      <c r="J14" s="93">
        <f t="shared" si="0"/>
        <v>31673</v>
      </c>
      <c r="K14" s="18">
        <f>H14/F14</f>
        <v>1.0736321114396772</v>
      </c>
      <c r="L14" s="48">
        <f t="shared" si="2"/>
        <v>-62897</v>
      </c>
      <c r="M14" s="26">
        <f t="shared" si="3"/>
        <v>0.95441261953668255</v>
      </c>
    </row>
    <row r="15" spans="2:13" ht="19.5" customHeight="1">
      <c r="B15" s="183"/>
      <c r="C15" s="191" t="s">
        <v>2</v>
      </c>
      <c r="D15" s="97" t="s">
        <v>0</v>
      </c>
      <c r="E15" s="87">
        <f>SUM(E16:E18)</f>
        <v>11181349</v>
      </c>
      <c r="F15" s="87">
        <f>SUM(F16:F18)</f>
        <v>999142</v>
      </c>
      <c r="G15" s="87">
        <f>SUM(G16:G18)</f>
        <v>2828742</v>
      </c>
      <c r="H15" s="87">
        <f>SUM(H16:H18)</f>
        <v>1102295</v>
      </c>
      <c r="I15" s="87">
        <f>SUM(I16:I18)</f>
        <v>3005508</v>
      </c>
      <c r="J15" s="88">
        <f t="shared" si="0"/>
        <v>103153</v>
      </c>
      <c r="K15" s="89">
        <f t="shared" si="1"/>
        <v>1.1032415812767353</v>
      </c>
      <c r="L15" s="90">
        <f t="shared" si="2"/>
        <v>176766</v>
      </c>
      <c r="M15" s="91">
        <f t="shared" si="3"/>
        <v>1.0624892620111697</v>
      </c>
    </row>
    <row r="16" spans="2:13" ht="19.5" customHeight="1">
      <c r="B16" s="183"/>
      <c r="C16" s="192"/>
      <c r="D16" s="5" t="s">
        <v>3</v>
      </c>
      <c r="E16" s="46">
        <v>8023567</v>
      </c>
      <c r="F16" s="46">
        <v>732314</v>
      </c>
      <c r="G16" s="46">
        <v>2014558</v>
      </c>
      <c r="H16" s="46">
        <v>821941</v>
      </c>
      <c r="I16" s="46">
        <v>2150196</v>
      </c>
      <c r="J16" s="88">
        <f t="shared" si="0"/>
        <v>89627</v>
      </c>
      <c r="K16" s="18">
        <f t="shared" si="1"/>
        <v>1.1223887567354986</v>
      </c>
      <c r="L16" s="48">
        <f t="shared" si="2"/>
        <v>135638</v>
      </c>
      <c r="M16" s="26">
        <f t="shared" si="3"/>
        <v>1.0673289128434127</v>
      </c>
    </row>
    <row r="17" spans="1:13" ht="19.5" customHeight="1">
      <c r="B17" s="183"/>
      <c r="C17" s="192"/>
      <c r="D17" s="6" t="s">
        <v>4</v>
      </c>
      <c r="E17" s="47">
        <v>3148861</v>
      </c>
      <c r="F17" s="47">
        <v>263000</v>
      </c>
      <c r="G17" s="47">
        <v>810015</v>
      </c>
      <c r="H17" s="47">
        <v>280354</v>
      </c>
      <c r="I17" s="47">
        <v>855312</v>
      </c>
      <c r="J17" s="162">
        <v>0</v>
      </c>
      <c r="K17" s="18">
        <f t="shared" si="1"/>
        <v>1.0659847908745248</v>
      </c>
      <c r="L17" s="48">
        <f t="shared" si="2"/>
        <v>45297</v>
      </c>
      <c r="M17" s="26">
        <f t="shared" si="3"/>
        <v>1.0559211866446918</v>
      </c>
    </row>
    <row r="18" spans="1:13" ht="19.5" customHeight="1">
      <c r="B18" s="184"/>
      <c r="C18" s="193"/>
      <c r="D18" s="6" t="s">
        <v>17</v>
      </c>
      <c r="E18" s="47">
        <v>8921</v>
      </c>
      <c r="F18" s="47">
        <v>3828</v>
      </c>
      <c r="G18" s="47">
        <v>4169</v>
      </c>
      <c r="H18" s="159">
        <v>0</v>
      </c>
      <c r="I18" s="159">
        <v>0</v>
      </c>
      <c r="J18" s="88">
        <f t="shared" si="0"/>
        <v>-3828</v>
      </c>
      <c r="K18" s="18">
        <f t="shared" si="1"/>
        <v>0</v>
      </c>
      <c r="L18" s="48">
        <f t="shared" si="2"/>
        <v>-4169</v>
      </c>
      <c r="M18" s="26">
        <f t="shared" si="3"/>
        <v>0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187" t="s">
        <v>23</v>
      </c>
      <c r="L19" s="188"/>
      <c r="M19" s="189"/>
    </row>
    <row r="20" spans="1:13" ht="21.2" customHeight="1">
      <c r="B20" s="28"/>
      <c r="C20" s="185" t="s">
        <v>8</v>
      </c>
      <c r="D20" s="186"/>
      <c r="E20" s="104">
        <f>SUM(E21,E25)</f>
        <v>792643</v>
      </c>
      <c r="F20" s="3">
        <f>SUM(F21,F25)</f>
        <v>64714</v>
      </c>
      <c r="G20" s="3">
        <f>SUM(G21,G25)</f>
        <v>159676</v>
      </c>
      <c r="H20" s="104">
        <f>SUM(H21,H25)</f>
        <v>72747</v>
      </c>
      <c r="I20" s="104">
        <f>SUM(I21,I25)</f>
        <v>200665</v>
      </c>
      <c r="J20" s="105">
        <f t="shared" si="0"/>
        <v>8033</v>
      </c>
      <c r="K20" s="106">
        <f t="shared" si="1"/>
        <v>1.1241307908644189</v>
      </c>
      <c r="L20" s="107">
        <f t="shared" si="2"/>
        <v>40989</v>
      </c>
      <c r="M20" s="24">
        <f>I20/G20</f>
        <v>1.2567010696660739</v>
      </c>
    </row>
    <row r="21" spans="1:13" ht="19.5" customHeight="1">
      <c r="B21" s="25"/>
      <c r="C21" s="172" t="s">
        <v>1</v>
      </c>
      <c r="D21" s="99" t="s">
        <v>0</v>
      </c>
      <c r="E21" s="100">
        <f>SUM(E22:E24)</f>
        <v>792643</v>
      </c>
      <c r="F21" s="100">
        <f>SUM(F22:F24)</f>
        <v>64714</v>
      </c>
      <c r="G21" s="100">
        <f>SUM(G22:G24)</f>
        <v>159676</v>
      </c>
      <c r="H21" s="100">
        <f>SUM(H22:H24)</f>
        <v>72747</v>
      </c>
      <c r="I21" s="100">
        <f>SUM(I22:I24)</f>
        <v>200665</v>
      </c>
      <c r="J21" s="101">
        <f t="shared" si="0"/>
        <v>8033</v>
      </c>
      <c r="K21" s="102">
        <f t="shared" si="1"/>
        <v>1.1241307908644189</v>
      </c>
      <c r="L21" s="103">
        <f t="shared" si="2"/>
        <v>40989</v>
      </c>
      <c r="M21" s="96">
        <f t="shared" si="3"/>
        <v>1.2567010696660739</v>
      </c>
    </row>
    <row r="22" spans="1:13" ht="19.5" customHeight="1">
      <c r="B22" s="161" t="s">
        <v>19</v>
      </c>
      <c r="C22" s="172"/>
      <c r="D22" s="52" t="s">
        <v>5</v>
      </c>
      <c r="E22" s="54">
        <v>391129</v>
      </c>
      <c r="F22" s="54">
        <v>32380</v>
      </c>
      <c r="G22" s="54">
        <v>78504</v>
      </c>
      <c r="H22" s="54">
        <v>35790</v>
      </c>
      <c r="I22" s="54">
        <v>98374</v>
      </c>
      <c r="J22" s="101">
        <f t="shared" si="0"/>
        <v>3410</v>
      </c>
      <c r="K22" s="51">
        <f t="shared" si="1"/>
        <v>1.1053119209388511</v>
      </c>
      <c r="L22" s="23">
        <f t="shared" si="2"/>
        <v>19870</v>
      </c>
      <c r="M22" s="26">
        <f t="shared" si="3"/>
        <v>1.25310812187914</v>
      </c>
    </row>
    <row r="23" spans="1:13" ht="19.5" customHeight="1">
      <c r="B23" s="161" t="s">
        <v>20</v>
      </c>
      <c r="C23" s="172"/>
      <c r="D23" s="2" t="s">
        <v>14</v>
      </c>
      <c r="E23" s="54">
        <v>389634</v>
      </c>
      <c r="F23" s="54">
        <v>30687</v>
      </c>
      <c r="G23" s="54">
        <v>77810</v>
      </c>
      <c r="H23" s="54">
        <v>35980</v>
      </c>
      <c r="I23" s="54">
        <v>98554</v>
      </c>
      <c r="J23" s="101">
        <f t="shared" si="0"/>
        <v>5293</v>
      </c>
      <c r="K23" s="51">
        <f t="shared" si="1"/>
        <v>1.1724834620523348</v>
      </c>
      <c r="L23" s="19">
        <f t="shared" si="2"/>
        <v>20744</v>
      </c>
      <c r="M23" s="26">
        <f t="shared" si="3"/>
        <v>1.2665981236344943</v>
      </c>
    </row>
    <row r="24" spans="1:13" ht="19.5" customHeight="1">
      <c r="B24" s="31"/>
      <c r="C24" s="172"/>
      <c r="D24" s="2" t="s">
        <v>13</v>
      </c>
      <c r="E24" s="54">
        <v>11880</v>
      </c>
      <c r="F24" s="54">
        <v>1647</v>
      </c>
      <c r="G24" s="54">
        <v>3362</v>
      </c>
      <c r="H24" s="54">
        <v>977</v>
      </c>
      <c r="I24" s="54">
        <v>3737</v>
      </c>
      <c r="J24" s="101">
        <f t="shared" si="0"/>
        <v>-670</v>
      </c>
      <c r="K24" s="51">
        <f t="shared" si="1"/>
        <v>0.59319975713418338</v>
      </c>
      <c r="L24" s="19">
        <f t="shared" si="2"/>
        <v>375</v>
      </c>
      <c r="M24" s="26">
        <f t="shared" si="3"/>
        <v>1.111540749553837</v>
      </c>
    </row>
    <row r="25" spans="1:13" ht="19.5" customHeight="1">
      <c r="B25" s="25"/>
      <c r="C25" s="210" t="s">
        <v>2</v>
      </c>
      <c r="D25" s="99" t="s">
        <v>71</v>
      </c>
      <c r="E25" s="100">
        <f>SUM(E26:E27)</f>
        <v>0</v>
      </c>
      <c r="F25" s="100">
        <f>SUM(F26:F27)</f>
        <v>0</v>
      </c>
      <c r="G25" s="100">
        <f>SUM(G26:G27)</f>
        <v>0</v>
      </c>
      <c r="H25" s="100">
        <f>SUM(H26:H27)</f>
        <v>0</v>
      </c>
      <c r="I25" s="100">
        <f>SUM(I26:I27)</f>
        <v>0</v>
      </c>
      <c r="J25" s="101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210"/>
      <c r="D26" s="99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1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210"/>
      <c r="D27" s="99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1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1" customFormat="1" ht="21.2" customHeight="1" thickBot="1">
      <c r="B28" s="211" t="s">
        <v>69</v>
      </c>
      <c r="C28" s="212"/>
      <c r="D28" s="213"/>
      <c r="E28" s="142">
        <v>1260128</v>
      </c>
      <c r="F28" s="142">
        <v>121045</v>
      </c>
      <c r="G28" s="142">
        <v>316600</v>
      </c>
      <c r="H28" s="142">
        <v>122901</v>
      </c>
      <c r="I28" s="142">
        <v>352795</v>
      </c>
      <c r="J28" s="143">
        <f t="shared" si="0"/>
        <v>1856</v>
      </c>
      <c r="K28" s="144">
        <f t="shared" si="1"/>
        <v>1.0153331405675574</v>
      </c>
      <c r="L28" s="145">
        <f t="shared" si="2"/>
        <v>36195</v>
      </c>
      <c r="M28" s="146">
        <f t="shared" si="3"/>
        <v>1.1143240682248894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216" customFormat="1" ht="18.75" customHeight="1">
      <c r="A30" s="216" t="s">
        <v>27</v>
      </c>
    </row>
    <row r="31" spans="1:13" s="53" customFormat="1" ht="21.2" customHeight="1">
      <c r="B31" s="215" t="s">
        <v>24</v>
      </c>
      <c r="C31" s="215"/>
      <c r="D31" s="128"/>
      <c r="E31" s="128"/>
      <c r="F31" s="128"/>
      <c r="G31" s="128"/>
      <c r="H31" s="215" t="s">
        <v>25</v>
      </c>
      <c r="I31" s="215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14" customFormat="1" ht="24" customHeight="1"/>
    <row r="41" spans="2:13" ht="19.5" customHeight="1">
      <c r="B41" s="208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</row>
    <row r="42" spans="2:13" ht="19.5" customHeight="1">
      <c r="B42" s="208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G6" sqref="G6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0"/>
      <c r="E2" s="160"/>
      <c r="F2" s="217" t="s">
        <v>72</v>
      </c>
      <c r="G2" s="217"/>
      <c r="H2"/>
      <c r="I2"/>
      <c r="J2"/>
      <c r="K2" s="160"/>
      <c r="L2" s="160"/>
      <c r="M2" s="217" t="s">
        <v>29</v>
      </c>
      <c r="N2" s="217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4">
        <v>21.3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5">
        <f>$G$3</f>
        <v>21.3</v>
      </c>
    </row>
    <row r="4" spans="1:27" s="58" customFormat="1" ht="39.200000000000003" customHeight="1" thickBot="1">
      <c r="A4" s="84" t="s">
        <v>31</v>
      </c>
      <c r="B4" s="166">
        <v>19166</v>
      </c>
      <c r="C4" s="166">
        <v>19916</v>
      </c>
      <c r="D4" s="166">
        <v>19440</v>
      </c>
      <c r="E4" s="166">
        <v>18829</v>
      </c>
      <c r="F4" s="166">
        <v>18385</v>
      </c>
      <c r="G4" s="167">
        <f>통계요약!I7</f>
        <v>4101</v>
      </c>
      <c r="H4" s="84" t="s">
        <v>32</v>
      </c>
      <c r="I4" s="166">
        <v>102121</v>
      </c>
      <c r="J4" s="166">
        <v>112948</v>
      </c>
      <c r="K4" s="166">
        <v>112491</v>
      </c>
      <c r="L4" s="166">
        <v>115147</v>
      </c>
      <c r="M4" s="166">
        <v>112966</v>
      </c>
      <c r="N4" s="168">
        <f>통계요약!I10/1000</f>
        <v>29881.905999999999</v>
      </c>
    </row>
    <row r="5" spans="1:27" s="58" customFormat="1" ht="30.2" customHeight="1" thickBot="1">
      <c r="A5"/>
      <c r="B5"/>
      <c r="C5"/>
      <c r="D5" s="160"/>
      <c r="E5" s="160"/>
      <c r="F5" s="218" t="s">
        <v>33</v>
      </c>
      <c r="G5" s="218"/>
      <c r="H5" s="62"/>
      <c r="I5" s="63"/>
      <c r="J5" s="63"/>
      <c r="K5" s="160"/>
      <c r="L5" s="160"/>
      <c r="M5" s="218" t="s">
        <v>34</v>
      </c>
      <c r="N5" s="218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5">
        <f>$G$3</f>
        <v>21.3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5">
        <f>$G$3</f>
        <v>21.3</v>
      </c>
    </row>
    <row r="7" spans="1:27" s="58" customFormat="1" ht="37.5" customHeight="1" thickBot="1">
      <c r="A7" s="84" t="s">
        <v>35</v>
      </c>
      <c r="B7" s="169">
        <v>565661</v>
      </c>
      <c r="C7" s="169">
        <v>623339</v>
      </c>
      <c r="D7" s="169">
        <v>643233</v>
      </c>
      <c r="E7" s="169">
        <v>689852</v>
      </c>
      <c r="F7" s="169">
        <v>723427</v>
      </c>
      <c r="G7" s="170">
        <f>통계요약!I20</f>
        <v>200665</v>
      </c>
      <c r="H7" s="84" t="s">
        <v>36</v>
      </c>
      <c r="I7" s="166">
        <v>494740</v>
      </c>
      <c r="J7" s="166">
        <v>435104</v>
      </c>
      <c r="K7" s="166">
        <v>482428</v>
      </c>
      <c r="L7" s="166">
        <v>452480</v>
      </c>
      <c r="M7" s="166">
        <v>623733</v>
      </c>
      <c r="N7" s="171">
        <v>40267</v>
      </c>
      <c r="AA7" s="135">
        <f>(19166/188141)^(1/4)-1</f>
        <v>-0.43504740355323723</v>
      </c>
    </row>
    <row r="12" spans="1:27" s="69" customFormat="1" ht="25.5" customHeight="1">
      <c r="A12" s="69" t="s">
        <v>37</v>
      </c>
    </row>
    <row r="13" spans="1:27" s="58" customFormat="1" ht="21.2" customHeight="1">
      <c r="A13" s="127" t="s">
        <v>52</v>
      </c>
      <c r="H13" s="127" t="s">
        <v>51</v>
      </c>
      <c r="I13" s="64"/>
      <c r="J13" s="65"/>
      <c r="K13" s="66"/>
      <c r="L13" s="67"/>
      <c r="M13" s="67"/>
      <c r="N13" s="67"/>
    </row>
    <row r="14" spans="1:27" s="58" customFormat="1" ht="24" customHeight="1">
      <c r="I14" s="64"/>
      <c r="J14" s="65"/>
      <c r="K14" s="66"/>
      <c r="L14" s="67"/>
      <c r="M14" s="67"/>
      <c r="N14" s="67"/>
    </row>
    <row r="15" spans="1:27" s="58" customFormat="1" ht="24" customHeight="1">
      <c r="I15" s="64"/>
      <c r="J15" s="65"/>
      <c r="K15" s="66"/>
      <c r="L15" s="67"/>
      <c r="M15" s="67"/>
      <c r="N15" s="67"/>
    </row>
    <row r="16" spans="1:27" s="58" customFormat="1" ht="24" customHeight="1">
      <c r="I16" s="64"/>
      <c r="J16" s="65"/>
      <c r="K16" s="66"/>
      <c r="L16" s="67"/>
      <c r="M16" s="67"/>
      <c r="N16" s="67"/>
    </row>
    <row r="17" spans="1:14" s="58" customFormat="1" ht="24" customHeight="1">
      <c r="I17" s="64"/>
      <c r="J17" s="65"/>
      <c r="K17" s="66"/>
      <c r="L17" s="67"/>
      <c r="M17" s="67"/>
      <c r="N17" s="67"/>
    </row>
    <row r="18" spans="1:14" s="58" customFormat="1" ht="24" customHeight="1">
      <c r="I18" s="64"/>
      <c r="J18" s="65"/>
      <c r="K18" s="66"/>
      <c r="L18" s="67"/>
      <c r="M18" s="67"/>
      <c r="N18" s="67"/>
    </row>
    <row r="19" spans="1:14" s="58" customFormat="1" ht="24" customHeight="1">
      <c r="I19" s="64"/>
      <c r="J19" s="65"/>
      <c r="K19" s="66"/>
      <c r="L19" s="67"/>
      <c r="M19" s="67"/>
      <c r="N19" s="67"/>
    </row>
    <row r="20" spans="1:14" s="58" customFormat="1" ht="24" customHeight="1">
      <c r="I20" s="64"/>
      <c r="J20" s="65"/>
      <c r="K20" s="66"/>
      <c r="L20" s="67"/>
      <c r="M20" s="67"/>
      <c r="N20" s="67"/>
    </row>
    <row r="21" spans="1:14" s="58" customFormat="1" ht="24" customHeight="1">
      <c r="I21" s="64"/>
      <c r="J21" s="65"/>
      <c r="K21" s="66"/>
      <c r="L21" s="67"/>
      <c r="M21" s="67"/>
      <c r="N21" s="67"/>
    </row>
    <row r="22" spans="1:14" s="58" customFormat="1" ht="36" customHeight="1">
      <c r="I22" s="64"/>
      <c r="J22" s="65"/>
      <c r="K22" s="66"/>
      <c r="L22" s="67"/>
      <c r="M22" s="67"/>
      <c r="N22" s="67"/>
    </row>
    <row r="23" spans="1:14" s="58" customFormat="1" ht="27.75" customHeight="1">
      <c r="A23" s="68" t="s">
        <v>25</v>
      </c>
      <c r="H23" s="127" t="s">
        <v>50</v>
      </c>
      <c r="I23" s="64"/>
      <c r="J23" s="65"/>
      <c r="K23" s="66"/>
      <c r="L23" s="67"/>
      <c r="M23" s="67"/>
      <c r="N23" s="67"/>
    </row>
    <row r="24" spans="1:14" s="58" customFormat="1" ht="24" customHeight="1">
      <c r="I24" s="64"/>
      <c r="J24" s="65"/>
      <c r="K24" s="66"/>
      <c r="L24" s="67"/>
      <c r="M24" s="67"/>
      <c r="N24" s="67"/>
    </row>
    <row r="25" spans="1:14" s="58" customFormat="1" ht="24" customHeight="1">
      <c r="I25" s="64"/>
      <c r="J25" s="65"/>
      <c r="K25" s="66"/>
      <c r="L25" s="67"/>
      <c r="M25" s="67"/>
      <c r="N25" s="67"/>
    </row>
    <row r="26" spans="1:14" s="58" customFormat="1" ht="24" customHeight="1">
      <c r="I26" s="64"/>
      <c r="J26" s="65"/>
      <c r="K26" s="66"/>
      <c r="L26" s="67"/>
      <c r="M26" s="67"/>
      <c r="N26" s="67"/>
    </row>
    <row r="27" spans="1:14" s="58" customFormat="1" ht="24" customHeight="1">
      <c r="I27" s="64"/>
      <c r="J27" s="65"/>
      <c r="K27" s="66"/>
      <c r="L27" s="67"/>
      <c r="M27" s="67"/>
      <c r="N27" s="67"/>
    </row>
    <row r="28" spans="1:14" s="58" customFormat="1" ht="24" customHeight="1">
      <c r="I28" s="64"/>
      <c r="J28" s="65"/>
      <c r="K28" s="66"/>
      <c r="L28" s="67"/>
      <c r="M28" s="67"/>
      <c r="N28" s="67"/>
    </row>
    <row r="29" spans="1:14" s="58" customFormat="1" ht="24" customHeight="1">
      <c r="I29" s="64"/>
      <c r="J29" s="65"/>
      <c r="K29" s="66"/>
      <c r="L29" s="67"/>
      <c r="M29" s="67"/>
      <c r="N29" s="67"/>
    </row>
    <row r="30" spans="1:14" s="58" customFormat="1" ht="24" customHeight="1">
      <c r="I30" s="64"/>
      <c r="J30" s="65"/>
      <c r="K30" s="66"/>
      <c r="L30" s="67"/>
      <c r="M30" s="67"/>
      <c r="N30" s="67"/>
    </row>
    <row r="31" spans="1:14" s="58" customFormat="1" ht="24" customHeight="1">
      <c r="I31" s="64"/>
      <c r="J31" s="65"/>
      <c r="K31" s="66"/>
      <c r="L31" s="67"/>
      <c r="M31" s="67"/>
      <c r="N31" s="67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2" sqref="F1:I2"/>
    </sheetView>
  </sheetViews>
  <sheetFormatPr defaultColWidth="10" defaultRowHeight="13.5"/>
  <cols>
    <col min="1" max="1" width="10" style="70" customWidth="1"/>
    <col min="2" max="2" width="5.75" style="70" customWidth="1"/>
    <col min="3" max="3" width="1" style="70" customWidth="1"/>
    <col min="4" max="4" width="8" style="70" customWidth="1"/>
    <col min="5" max="5" width="14.875" style="70" bestFit="1" customWidth="1"/>
    <col min="6" max="6" width="11" style="70" customWidth="1"/>
    <col min="7" max="7" width="13.25" style="70" customWidth="1"/>
    <col min="8" max="8" width="11" style="70" customWidth="1"/>
    <col min="9" max="9" width="13.25" style="70" customWidth="1"/>
    <col min="10" max="10" width="12.25" style="70" customWidth="1"/>
    <col min="11" max="13" width="11" style="70" customWidth="1"/>
    <col min="14" max="16384" width="10" style="70"/>
  </cols>
  <sheetData>
    <row r="1" spans="1:13" ht="50.25" customHeight="1" thickBot="1">
      <c r="A1" s="86" t="s">
        <v>38</v>
      </c>
      <c r="F1" s="247"/>
      <c r="G1" s="247"/>
      <c r="H1" s="247"/>
      <c r="I1" s="247"/>
      <c r="J1" s="71"/>
      <c r="K1" s="72"/>
      <c r="L1" s="73"/>
      <c r="M1" s="74"/>
    </row>
    <row r="2" spans="1:13" ht="21.95" customHeight="1">
      <c r="A2" s="225" t="s">
        <v>39</v>
      </c>
      <c r="B2" s="226"/>
      <c r="C2" s="226"/>
      <c r="D2" s="229" t="s">
        <v>40</v>
      </c>
      <c r="E2" s="75"/>
      <c r="F2" s="248" t="s">
        <v>74</v>
      </c>
      <c r="G2" s="249"/>
      <c r="H2" s="219" t="s">
        <v>76</v>
      </c>
      <c r="I2" s="219"/>
      <c r="J2" s="219" t="s">
        <v>41</v>
      </c>
      <c r="K2" s="219"/>
      <c r="L2" s="219"/>
      <c r="M2" s="220"/>
    </row>
    <row r="3" spans="1:13" ht="21.95" customHeight="1">
      <c r="A3" s="227"/>
      <c r="B3" s="228"/>
      <c r="C3" s="228"/>
      <c r="D3" s="230"/>
      <c r="E3" s="76" t="s">
        <v>42</v>
      </c>
      <c r="F3" s="76" t="str">
        <f>통계요약!F6</f>
        <v>3월(A)</v>
      </c>
      <c r="G3" s="76" t="str">
        <f>통계요약!G6</f>
        <v>3월누계(B)</v>
      </c>
      <c r="H3" s="163" t="str">
        <f>통계요약!H6</f>
        <v>3월(C)</v>
      </c>
      <c r="I3" s="76" t="str">
        <f>통계요약!I6</f>
        <v>3월누계(D)</v>
      </c>
      <c r="J3" s="76" t="s">
        <v>43</v>
      </c>
      <c r="K3" s="77" t="s">
        <v>44</v>
      </c>
      <c r="L3" s="78" t="s">
        <v>45</v>
      </c>
      <c r="M3" s="121" t="s">
        <v>44</v>
      </c>
    </row>
    <row r="4" spans="1:13" ht="21.95" customHeight="1">
      <c r="A4" s="221" t="s">
        <v>46</v>
      </c>
      <c r="B4" s="222"/>
      <c r="C4" s="222"/>
      <c r="D4" s="79" t="s">
        <v>47</v>
      </c>
      <c r="E4" s="118">
        <f>SUM(E6,E8,E10,E12,E14,E16,E18,E22,E24,E26,E28,E20,)</f>
        <v>792643</v>
      </c>
      <c r="F4" s="118">
        <f>SUM(F6,F8,F10,F12,F14,F16,F18,F22,F24,F26,F28,F20)</f>
        <v>64714</v>
      </c>
      <c r="G4" s="118">
        <f>SUM(G6,G8,G10,G12,G14,G16,G18,G22,G24,G26,G28,G20)</f>
        <v>159676</v>
      </c>
      <c r="H4" s="118">
        <f>SUM(H6,H8,H12,H14,H16,H18,H22,H24,H26,H28,H20,H10)</f>
        <v>72734</v>
      </c>
      <c r="I4" s="118">
        <f>SUM(I6,I8,I12,I14,I16,I18,I22,I24,I26,I28,I20,I10)</f>
        <v>200653</v>
      </c>
      <c r="J4" s="108">
        <f t="shared" ref="J4:J27" si="0">H4-F4</f>
        <v>8020</v>
      </c>
      <c r="K4" s="109">
        <f t="shared" ref="K4:K27" si="1">(H4/F4*100)-100</f>
        <v>12.392990697530678</v>
      </c>
      <c r="L4" s="110">
        <f t="shared" ref="L4:L27" si="2">I4-G4</f>
        <v>40977</v>
      </c>
      <c r="M4" s="122">
        <f t="shared" ref="M4:M27" si="3">(I4/G4*100)-100</f>
        <v>25.662591748290282</v>
      </c>
    </row>
    <row r="5" spans="1:13" ht="21.95" customHeight="1">
      <c r="A5" s="221"/>
      <c r="B5" s="222"/>
      <c r="C5" s="222"/>
      <c r="D5" s="79" t="s">
        <v>48</v>
      </c>
      <c r="E5" s="118">
        <f>SUM(E7,E9,E11,E13,E15,E17,E19,E23,E25,E27,E29,E21)</f>
        <v>11993976</v>
      </c>
      <c r="F5" s="118">
        <f>SUM(F7,F9,F11,F13,F15,F17,F19,F23,F25,F27,F29,F21)</f>
        <v>947684</v>
      </c>
      <c r="G5" s="118">
        <f>SUM(G7,G9,G11,G13,G15,G17,G19,G23,G25,G27,G29,G21)</f>
        <v>2283791</v>
      </c>
      <c r="H5" s="118">
        <f>SUM(H7,H9,H13,H15,H17,H19,H23,H25,H27,H29,H21,H11)</f>
        <v>1085582</v>
      </c>
      <c r="I5" s="118">
        <f>SUM(I7,I9,I13,I15,I17,I19,I23,I25,I27,I29,I21,I11)</f>
        <v>3042481</v>
      </c>
      <c r="J5" s="108">
        <f t="shared" si="0"/>
        <v>137898</v>
      </c>
      <c r="K5" s="109">
        <f t="shared" si="1"/>
        <v>14.551052882606427</v>
      </c>
      <c r="L5" s="110">
        <f t="shared" si="2"/>
        <v>758690</v>
      </c>
      <c r="M5" s="122">
        <f t="shared" si="3"/>
        <v>33.220640592768774</v>
      </c>
    </row>
    <row r="6" spans="1:13" ht="21.2" customHeight="1">
      <c r="A6" s="223" t="s">
        <v>53</v>
      </c>
      <c r="B6" s="224"/>
      <c r="C6" s="224"/>
      <c r="D6" s="80" t="s">
        <v>47</v>
      </c>
      <c r="E6" s="119">
        <v>40012</v>
      </c>
      <c r="F6" s="119">
        <v>3065</v>
      </c>
      <c r="G6" s="119">
        <v>7612</v>
      </c>
      <c r="H6" s="119">
        <v>4583</v>
      </c>
      <c r="I6" s="119">
        <v>11711</v>
      </c>
      <c r="J6" s="111">
        <f t="shared" ref="J6:J18" si="4">H6-F6</f>
        <v>1518</v>
      </c>
      <c r="K6" s="112">
        <f t="shared" ref="K6:K17" si="5">(H6/F6*100)-100</f>
        <v>49.526916802610117</v>
      </c>
      <c r="L6" s="113">
        <f t="shared" si="2"/>
        <v>4099</v>
      </c>
      <c r="M6" s="123">
        <f t="shared" si="3"/>
        <v>53.84918549658434</v>
      </c>
    </row>
    <row r="7" spans="1:13" ht="21.2" customHeight="1">
      <c r="A7" s="223"/>
      <c r="B7" s="224"/>
      <c r="C7" s="224"/>
      <c r="D7" s="80" t="s">
        <v>48</v>
      </c>
      <c r="E7" s="119">
        <v>733864</v>
      </c>
      <c r="F7" s="119">
        <v>58676</v>
      </c>
      <c r="G7" s="119">
        <v>140818</v>
      </c>
      <c r="H7" s="119">
        <v>81645</v>
      </c>
      <c r="I7" s="119">
        <v>210881</v>
      </c>
      <c r="J7" s="111">
        <f t="shared" si="4"/>
        <v>22969</v>
      </c>
      <c r="K7" s="112">
        <f t="shared" si="5"/>
        <v>39.14547685595474</v>
      </c>
      <c r="L7" s="113">
        <f t="shared" si="2"/>
        <v>70063</v>
      </c>
      <c r="M7" s="123">
        <f t="shared" si="3"/>
        <v>49.754292775071377</v>
      </c>
    </row>
    <row r="8" spans="1:13" ht="21.2" customHeight="1">
      <c r="A8" s="223" t="s">
        <v>54</v>
      </c>
      <c r="B8" s="224"/>
      <c r="C8" s="224"/>
      <c r="D8" s="80" t="s">
        <v>47</v>
      </c>
      <c r="E8" s="119">
        <v>64529</v>
      </c>
      <c r="F8" s="119">
        <v>5639</v>
      </c>
      <c r="G8" s="119">
        <v>12178</v>
      </c>
      <c r="H8" s="119">
        <v>6999</v>
      </c>
      <c r="I8" s="119">
        <v>18192</v>
      </c>
      <c r="J8" s="111">
        <f t="shared" si="4"/>
        <v>1360</v>
      </c>
      <c r="K8" s="112">
        <f t="shared" si="5"/>
        <v>24.117751374357169</v>
      </c>
      <c r="L8" s="113">
        <f t="shared" si="2"/>
        <v>6014</v>
      </c>
      <c r="M8" s="123">
        <f t="shared" si="3"/>
        <v>49.384135325997704</v>
      </c>
    </row>
    <row r="9" spans="1:13" ht="21.2" customHeight="1">
      <c r="A9" s="223"/>
      <c r="B9" s="224"/>
      <c r="C9" s="224"/>
      <c r="D9" s="80" t="s">
        <v>48</v>
      </c>
      <c r="E9" s="119">
        <v>1014764</v>
      </c>
      <c r="F9" s="119">
        <v>92292</v>
      </c>
      <c r="G9" s="119">
        <v>199354</v>
      </c>
      <c r="H9" s="119">
        <v>110613</v>
      </c>
      <c r="I9" s="119">
        <v>285682</v>
      </c>
      <c r="J9" s="111">
        <f t="shared" si="4"/>
        <v>18321</v>
      </c>
      <c r="K9" s="112">
        <f t="shared" si="5"/>
        <v>19.851124691197498</v>
      </c>
      <c r="L9" s="113">
        <f t="shared" si="2"/>
        <v>86328</v>
      </c>
      <c r="M9" s="123">
        <f t="shared" si="3"/>
        <v>43.303871504961023</v>
      </c>
    </row>
    <row r="10" spans="1:13" ht="21.2" customHeight="1">
      <c r="A10" s="231" t="s">
        <v>66</v>
      </c>
      <c r="B10" s="232"/>
      <c r="C10" s="233"/>
      <c r="D10" s="80" t="s">
        <v>47</v>
      </c>
      <c r="E10" s="119">
        <v>11</v>
      </c>
      <c r="F10" s="158">
        <v>0</v>
      </c>
      <c r="G10" s="158">
        <v>0</v>
      </c>
      <c r="H10" s="158">
        <v>0</v>
      </c>
      <c r="I10" s="158">
        <v>0</v>
      </c>
      <c r="J10" s="111">
        <f t="shared" si="4"/>
        <v>0</v>
      </c>
      <c r="K10" s="112" t="e">
        <f t="shared" si="5"/>
        <v>#DIV/0!</v>
      </c>
      <c r="L10" s="113">
        <f t="shared" si="2"/>
        <v>0</v>
      </c>
      <c r="M10" s="123" t="e">
        <f t="shared" si="3"/>
        <v>#DIV/0!</v>
      </c>
    </row>
    <row r="11" spans="1:13" ht="21.2" customHeight="1">
      <c r="A11" s="234"/>
      <c r="B11" s="235"/>
      <c r="C11" s="236"/>
      <c r="D11" s="80" t="s">
        <v>65</v>
      </c>
      <c r="E11" s="158">
        <v>0</v>
      </c>
      <c r="F11" s="158">
        <v>0</v>
      </c>
      <c r="G11" s="158">
        <v>0</v>
      </c>
      <c r="H11" s="158">
        <v>0</v>
      </c>
      <c r="I11" s="158">
        <v>0</v>
      </c>
      <c r="J11" s="111">
        <f t="shared" si="4"/>
        <v>0</v>
      </c>
      <c r="K11" s="112" t="e">
        <f t="shared" si="5"/>
        <v>#DIV/0!</v>
      </c>
      <c r="L11" s="113">
        <f t="shared" si="2"/>
        <v>0</v>
      </c>
      <c r="M11" s="123" t="e">
        <f t="shared" si="3"/>
        <v>#DIV/0!</v>
      </c>
    </row>
    <row r="12" spans="1:13" ht="21.2" customHeight="1">
      <c r="A12" s="223" t="s">
        <v>55</v>
      </c>
      <c r="B12" s="224"/>
      <c r="C12" s="224"/>
      <c r="D12" s="80" t="s">
        <v>47</v>
      </c>
      <c r="E12" s="119">
        <v>94591</v>
      </c>
      <c r="F12" s="119">
        <v>6081</v>
      </c>
      <c r="G12" s="119">
        <v>15842</v>
      </c>
      <c r="H12" s="119">
        <v>8115</v>
      </c>
      <c r="I12" s="119">
        <v>22136</v>
      </c>
      <c r="J12" s="111">
        <f t="shared" si="4"/>
        <v>2034</v>
      </c>
      <c r="K12" s="112">
        <f t="shared" si="5"/>
        <v>33.448445979279711</v>
      </c>
      <c r="L12" s="113">
        <f t="shared" si="2"/>
        <v>6294</v>
      </c>
      <c r="M12" s="123">
        <f t="shared" si="3"/>
        <v>39.729832091907582</v>
      </c>
    </row>
    <row r="13" spans="1:13" ht="21.2" customHeight="1">
      <c r="A13" s="223"/>
      <c r="B13" s="224"/>
      <c r="C13" s="224"/>
      <c r="D13" s="80" t="s">
        <v>48</v>
      </c>
      <c r="E13" s="119">
        <v>1458673</v>
      </c>
      <c r="F13" s="119">
        <v>73566</v>
      </c>
      <c r="G13" s="119">
        <v>209448</v>
      </c>
      <c r="H13" s="119">
        <v>127332</v>
      </c>
      <c r="I13" s="119">
        <v>336358</v>
      </c>
      <c r="J13" s="111">
        <f t="shared" si="4"/>
        <v>53766</v>
      </c>
      <c r="K13" s="112">
        <f t="shared" si="5"/>
        <v>73.085392708588216</v>
      </c>
      <c r="L13" s="113">
        <f t="shared" si="2"/>
        <v>126910</v>
      </c>
      <c r="M13" s="123">
        <f t="shared" si="3"/>
        <v>60.592605324471947</v>
      </c>
    </row>
    <row r="14" spans="1:13" ht="21.2" customHeight="1">
      <c r="A14" s="223" t="s">
        <v>62</v>
      </c>
      <c r="B14" s="224"/>
      <c r="C14" s="224"/>
      <c r="D14" s="80" t="s">
        <v>47</v>
      </c>
      <c r="E14" s="119">
        <v>230422</v>
      </c>
      <c r="F14" s="119">
        <v>15732</v>
      </c>
      <c r="G14" s="119">
        <v>43643</v>
      </c>
      <c r="H14" s="119">
        <v>22782</v>
      </c>
      <c r="I14" s="119">
        <v>62753</v>
      </c>
      <c r="J14" s="111">
        <f t="shared" si="4"/>
        <v>7050</v>
      </c>
      <c r="K14" s="112">
        <f t="shared" si="5"/>
        <v>44.813119755911515</v>
      </c>
      <c r="L14" s="113">
        <f t="shared" si="2"/>
        <v>19110</v>
      </c>
      <c r="M14" s="123">
        <f t="shared" si="3"/>
        <v>43.787090713287341</v>
      </c>
    </row>
    <row r="15" spans="1:13" ht="21.2" customHeight="1">
      <c r="A15" s="223"/>
      <c r="B15" s="224"/>
      <c r="C15" s="224"/>
      <c r="D15" s="80" t="s">
        <v>48</v>
      </c>
      <c r="E15" s="119">
        <v>3151058</v>
      </c>
      <c r="F15" s="119">
        <v>181489</v>
      </c>
      <c r="G15" s="119">
        <v>521872</v>
      </c>
      <c r="H15" s="119">
        <v>303309</v>
      </c>
      <c r="I15" s="119">
        <v>863872</v>
      </c>
      <c r="J15" s="111">
        <f t="shared" si="4"/>
        <v>121820</v>
      </c>
      <c r="K15" s="112">
        <f t="shared" si="5"/>
        <v>67.12252533211381</v>
      </c>
      <c r="L15" s="113">
        <f t="shared" si="2"/>
        <v>342000</v>
      </c>
      <c r="M15" s="123">
        <f t="shared" si="3"/>
        <v>65.533310850170153</v>
      </c>
    </row>
    <row r="16" spans="1:13" ht="21.2" customHeight="1">
      <c r="A16" s="223" t="s">
        <v>56</v>
      </c>
      <c r="B16" s="224"/>
      <c r="C16" s="224"/>
      <c r="D16" s="80" t="s">
        <v>47</v>
      </c>
      <c r="E16" s="119">
        <v>142475</v>
      </c>
      <c r="F16" s="119">
        <v>16512</v>
      </c>
      <c r="G16" s="119">
        <v>37757</v>
      </c>
      <c r="H16" s="119">
        <v>13728</v>
      </c>
      <c r="I16" s="119">
        <v>33272</v>
      </c>
      <c r="J16" s="111">
        <f t="shared" si="4"/>
        <v>-2784</v>
      </c>
      <c r="K16" s="81">
        <f t="shared" si="5"/>
        <v>-16.860465116279073</v>
      </c>
      <c r="L16" s="82">
        <f t="shared" si="2"/>
        <v>-4485</v>
      </c>
      <c r="M16" s="124">
        <f t="shared" si="3"/>
        <v>-11.878592049156438</v>
      </c>
    </row>
    <row r="17" spans="1:13" ht="21.2" customHeight="1">
      <c r="A17" s="223"/>
      <c r="B17" s="224"/>
      <c r="C17" s="224"/>
      <c r="D17" s="80" t="s">
        <v>48</v>
      </c>
      <c r="E17" s="119">
        <v>2264820</v>
      </c>
      <c r="F17" s="119">
        <v>274085</v>
      </c>
      <c r="G17" s="119">
        <v>591529</v>
      </c>
      <c r="H17" s="119">
        <v>213577</v>
      </c>
      <c r="I17" s="119">
        <v>533272</v>
      </c>
      <c r="J17" s="111">
        <f t="shared" si="4"/>
        <v>-60508</v>
      </c>
      <c r="K17" s="81">
        <f t="shared" si="5"/>
        <v>-22.076363172008683</v>
      </c>
      <c r="L17" s="82">
        <f t="shared" si="2"/>
        <v>-58257</v>
      </c>
      <c r="M17" s="124">
        <f t="shared" si="3"/>
        <v>-9.8485450417477409</v>
      </c>
    </row>
    <row r="18" spans="1:13" ht="21.2" customHeight="1">
      <c r="A18" s="239" t="s">
        <v>70</v>
      </c>
      <c r="B18" s="240"/>
      <c r="C18" s="240"/>
      <c r="D18" s="148" t="s">
        <v>47</v>
      </c>
      <c r="E18" s="147">
        <v>670</v>
      </c>
      <c r="F18" s="157">
        <v>0</v>
      </c>
      <c r="G18" s="157">
        <v>0</v>
      </c>
      <c r="H18" s="157">
        <v>0</v>
      </c>
      <c r="I18" s="157">
        <v>0</v>
      </c>
      <c r="J18" s="149">
        <f t="shared" si="4"/>
        <v>0</v>
      </c>
      <c r="K18" s="150" t="s">
        <v>68</v>
      </c>
      <c r="L18" s="151">
        <f t="shared" si="2"/>
        <v>0</v>
      </c>
      <c r="M18" s="152">
        <v>0</v>
      </c>
    </row>
    <row r="19" spans="1:13" ht="21.2" customHeight="1">
      <c r="A19" s="241"/>
      <c r="B19" s="242"/>
      <c r="C19" s="242"/>
      <c r="D19" s="153" t="s">
        <v>48</v>
      </c>
      <c r="E19" s="147">
        <v>6371</v>
      </c>
      <c r="F19" s="157">
        <v>0</v>
      </c>
      <c r="G19" s="157">
        <v>0</v>
      </c>
      <c r="H19" s="157">
        <v>0</v>
      </c>
      <c r="I19" s="157">
        <v>0</v>
      </c>
      <c r="J19" s="149">
        <f t="shared" si="0"/>
        <v>0</v>
      </c>
      <c r="K19" s="154" t="s">
        <v>68</v>
      </c>
      <c r="L19" s="155">
        <f t="shared" si="2"/>
        <v>0</v>
      </c>
      <c r="M19" s="156">
        <v>0</v>
      </c>
    </row>
    <row r="20" spans="1:13" ht="21.2" customHeight="1">
      <c r="A20" s="231" t="s">
        <v>63</v>
      </c>
      <c r="B20" s="232"/>
      <c r="C20" s="233"/>
      <c r="D20" s="83" t="s">
        <v>64</v>
      </c>
      <c r="E20" s="119">
        <v>112</v>
      </c>
      <c r="F20" s="157">
        <v>28</v>
      </c>
      <c r="G20" s="157">
        <v>28</v>
      </c>
      <c r="H20" s="157">
        <v>16</v>
      </c>
      <c r="I20" s="157">
        <v>16</v>
      </c>
      <c r="J20" s="111">
        <f t="shared" si="0"/>
        <v>-12</v>
      </c>
      <c r="K20" s="140" t="s">
        <v>68</v>
      </c>
      <c r="L20" s="115">
        <f t="shared" si="2"/>
        <v>-12</v>
      </c>
      <c r="M20" s="125">
        <f t="shared" si="3"/>
        <v>-42.857142857142861</v>
      </c>
    </row>
    <row r="21" spans="1:13" ht="21.2" customHeight="1">
      <c r="A21" s="234"/>
      <c r="B21" s="235"/>
      <c r="C21" s="236"/>
      <c r="D21" s="83" t="s">
        <v>65</v>
      </c>
      <c r="E21" s="119">
        <v>776</v>
      </c>
      <c r="F21" s="157">
        <v>216</v>
      </c>
      <c r="G21" s="157">
        <v>216</v>
      </c>
      <c r="H21" s="157">
        <v>129</v>
      </c>
      <c r="I21" s="157">
        <v>129</v>
      </c>
      <c r="J21" s="111">
        <f t="shared" si="0"/>
        <v>-87</v>
      </c>
      <c r="K21" s="140" t="s">
        <v>68</v>
      </c>
      <c r="L21" s="115">
        <f t="shared" si="2"/>
        <v>-87</v>
      </c>
      <c r="M21" s="125">
        <f t="shared" si="3"/>
        <v>-40.277777777777779</v>
      </c>
    </row>
    <row r="22" spans="1:13" ht="21.2" customHeight="1">
      <c r="A22" s="223" t="s">
        <v>58</v>
      </c>
      <c r="B22" s="224"/>
      <c r="C22" s="224"/>
      <c r="D22" s="80" t="s">
        <v>47</v>
      </c>
      <c r="E22" s="119">
        <v>544</v>
      </c>
      <c r="F22" s="158">
        <v>8</v>
      </c>
      <c r="G22" s="119">
        <v>140</v>
      </c>
      <c r="H22" s="158">
        <v>56</v>
      </c>
      <c r="I22" s="158">
        <v>56</v>
      </c>
      <c r="J22" s="111">
        <f t="shared" si="0"/>
        <v>48</v>
      </c>
      <c r="K22" s="112">
        <f t="shared" si="1"/>
        <v>600</v>
      </c>
      <c r="L22" s="113">
        <f t="shared" si="2"/>
        <v>-84</v>
      </c>
      <c r="M22" s="123">
        <f t="shared" si="3"/>
        <v>-60</v>
      </c>
    </row>
    <row r="23" spans="1:13" ht="21.2" customHeight="1">
      <c r="A23" s="243"/>
      <c r="B23" s="244"/>
      <c r="C23" s="244"/>
      <c r="D23" s="83" t="s">
        <v>48</v>
      </c>
      <c r="E23" s="119">
        <v>4339</v>
      </c>
      <c r="F23" s="158">
        <v>78</v>
      </c>
      <c r="G23" s="119">
        <v>1242</v>
      </c>
      <c r="H23" s="158">
        <v>501</v>
      </c>
      <c r="I23" s="158">
        <v>501</v>
      </c>
      <c r="J23" s="111">
        <f t="shared" si="0"/>
        <v>423</v>
      </c>
      <c r="K23" s="114">
        <f t="shared" si="1"/>
        <v>542.30769230769238</v>
      </c>
      <c r="L23" s="115">
        <f t="shared" si="2"/>
        <v>-741</v>
      </c>
      <c r="M23" s="125">
        <f t="shared" si="3"/>
        <v>-59.661835748792271</v>
      </c>
    </row>
    <row r="24" spans="1:13" ht="21.2" customHeight="1">
      <c r="A24" s="223" t="s">
        <v>59</v>
      </c>
      <c r="B24" s="224"/>
      <c r="C24" s="224"/>
      <c r="D24" s="80" t="s">
        <v>47</v>
      </c>
      <c r="E24" s="119">
        <v>75409</v>
      </c>
      <c r="F24" s="119">
        <v>5074</v>
      </c>
      <c r="G24" s="119">
        <v>13134</v>
      </c>
      <c r="H24" s="119">
        <v>7766</v>
      </c>
      <c r="I24" s="119">
        <v>19122</v>
      </c>
      <c r="J24" s="111">
        <f t="shared" si="0"/>
        <v>2692</v>
      </c>
      <c r="K24" s="112">
        <f t="shared" si="1"/>
        <v>53.054789121009065</v>
      </c>
      <c r="L24" s="113">
        <f t="shared" si="2"/>
        <v>5988</v>
      </c>
      <c r="M24" s="123">
        <f t="shared" si="3"/>
        <v>45.591594335312919</v>
      </c>
    </row>
    <row r="25" spans="1:13" ht="21.2" customHeight="1">
      <c r="A25" s="223"/>
      <c r="B25" s="224"/>
      <c r="C25" s="224"/>
      <c r="D25" s="80" t="s">
        <v>48</v>
      </c>
      <c r="E25" s="119">
        <v>1215186</v>
      </c>
      <c r="F25" s="119">
        <v>78954</v>
      </c>
      <c r="G25" s="119">
        <v>198546</v>
      </c>
      <c r="H25" s="119">
        <v>109501</v>
      </c>
      <c r="I25" s="119">
        <v>302464</v>
      </c>
      <c r="J25" s="111">
        <f t="shared" si="0"/>
        <v>30547</v>
      </c>
      <c r="K25" s="112">
        <f t="shared" si="1"/>
        <v>38.689616738860593</v>
      </c>
      <c r="L25" s="113">
        <f t="shared" si="2"/>
        <v>103918</v>
      </c>
      <c r="M25" s="123">
        <f t="shared" si="3"/>
        <v>52.339508224794258</v>
      </c>
    </row>
    <row r="26" spans="1:13" ht="21.2" customHeight="1">
      <c r="A26" s="223" t="s">
        <v>60</v>
      </c>
      <c r="B26" s="224"/>
      <c r="C26" s="224"/>
      <c r="D26" s="85" t="s">
        <v>47</v>
      </c>
      <c r="E26" s="120">
        <v>105261</v>
      </c>
      <c r="F26" s="120">
        <v>8663</v>
      </c>
      <c r="G26" s="120">
        <v>21686</v>
      </c>
      <c r="H26" s="120">
        <v>4185</v>
      </c>
      <c r="I26" s="120">
        <v>19738</v>
      </c>
      <c r="J26" s="111">
        <f t="shared" si="0"/>
        <v>-4478</v>
      </c>
      <c r="K26" s="116">
        <f t="shared" si="1"/>
        <v>-51.691100080803416</v>
      </c>
      <c r="L26" s="117">
        <f t="shared" si="2"/>
        <v>-1948</v>
      </c>
      <c r="M26" s="126">
        <f t="shared" si="3"/>
        <v>-8.9827538504104041</v>
      </c>
    </row>
    <row r="27" spans="1:13" ht="21.2" customHeight="1">
      <c r="A27" s="223"/>
      <c r="B27" s="224"/>
      <c r="C27" s="224"/>
      <c r="D27" s="83" t="s">
        <v>48</v>
      </c>
      <c r="E27" s="129">
        <v>1550056</v>
      </c>
      <c r="F27" s="129">
        <v>128255</v>
      </c>
      <c r="G27" s="129">
        <v>300143</v>
      </c>
      <c r="H27" s="129">
        <v>66081</v>
      </c>
      <c r="I27" s="129">
        <v>293961</v>
      </c>
      <c r="J27" s="130">
        <f t="shared" si="0"/>
        <v>-62174</v>
      </c>
      <c r="K27" s="114">
        <f t="shared" si="1"/>
        <v>-48.476862500487307</v>
      </c>
      <c r="L27" s="115">
        <f t="shared" si="2"/>
        <v>-6182</v>
      </c>
      <c r="M27" s="125">
        <f t="shared" si="3"/>
        <v>-2.0596848835388499</v>
      </c>
    </row>
    <row r="28" spans="1:13" ht="21.2" customHeight="1">
      <c r="A28" s="223" t="s">
        <v>61</v>
      </c>
      <c r="B28" s="224"/>
      <c r="C28" s="224"/>
      <c r="D28" s="80" t="s">
        <v>47</v>
      </c>
      <c r="E28" s="119">
        <v>38607</v>
      </c>
      <c r="F28" s="119">
        <v>3912</v>
      </c>
      <c r="G28" s="119">
        <v>7656</v>
      </c>
      <c r="H28" s="119">
        <v>4504</v>
      </c>
      <c r="I28" s="119">
        <v>13657</v>
      </c>
      <c r="J28" s="111">
        <f>H28-F28</f>
        <v>592</v>
      </c>
      <c r="K28" s="136" t="s">
        <v>67</v>
      </c>
      <c r="L28" s="113">
        <f>I28-G28</f>
        <v>6001</v>
      </c>
      <c r="M28" s="138" t="s">
        <v>67</v>
      </c>
    </row>
    <row r="29" spans="1:13" ht="21.2" customHeight="1" thickBot="1">
      <c r="A29" s="237"/>
      <c r="B29" s="238"/>
      <c r="C29" s="238"/>
      <c r="D29" s="131" t="s">
        <v>48</v>
      </c>
      <c r="E29" s="132">
        <v>594069</v>
      </c>
      <c r="F29" s="132">
        <v>60073</v>
      </c>
      <c r="G29" s="132">
        <v>120623</v>
      </c>
      <c r="H29" s="132">
        <v>72894</v>
      </c>
      <c r="I29" s="132">
        <v>215361</v>
      </c>
      <c r="J29" s="133">
        <f>H29-F29</f>
        <v>12821</v>
      </c>
      <c r="K29" s="137" t="s">
        <v>67</v>
      </c>
      <c r="L29" s="134">
        <f>I29-G29</f>
        <v>94738</v>
      </c>
      <c r="M29" s="139" t="s">
        <v>67</v>
      </c>
    </row>
    <row r="30" spans="1:13" ht="14.25" thickTop="1"/>
  </sheetData>
  <mergeCells count="18"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  <mergeCell ref="J2:M2"/>
    <mergeCell ref="A4:C5"/>
    <mergeCell ref="A6:C7"/>
    <mergeCell ref="A8:C9"/>
    <mergeCell ref="A2:C3"/>
    <mergeCell ref="D2:D3"/>
    <mergeCell ref="F2:G2"/>
    <mergeCell ref="H2:I2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2021-04-23T04:35:39Z</dcterms:modified>
</cp:coreProperties>
</file>