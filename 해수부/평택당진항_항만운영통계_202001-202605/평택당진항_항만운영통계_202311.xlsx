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38" i="32"/>
  <c r="K39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38" i="32"/>
  <c r="J39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E9" i="32"/>
  <c r="E8" i="32"/>
  <c r="F9" i="32"/>
  <c r="F8" i="32"/>
  <c r="D9" i="32"/>
  <c r="D8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<sst xmlns="http://schemas.openxmlformats.org/spreadsheetml/2006/main" count="161" uniqueCount="112">
  <si>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</si>
  <si>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</si>
  <si>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</si>
  <si>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</si>
  <si>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</si>
  <si>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</si>
  <si>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</si>
  <si>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8" type="noConversion"/>
  </si>
  <si>
    <t xml:space="preserve"> 합  계</t>
    <phoneticPr fontId="8" type="noConversion"/>
  </si>
  <si>
    <t xml:space="preserve"> 외  항</t>
    <phoneticPr fontId="8" type="noConversion"/>
  </si>
  <si>
    <t xml:space="preserve"> 내  항</t>
    <phoneticPr fontId="8" type="noConversion"/>
  </si>
  <si>
    <t>연간누계</t>
    <phoneticPr fontId="8" type="noConversion"/>
  </si>
  <si>
    <t>계</t>
    <phoneticPr fontId="8" type="noConversion"/>
  </si>
  <si>
    <t>환적</t>
    <phoneticPr fontId="8" type="noConversion"/>
  </si>
  <si>
    <t>수출</t>
    <phoneticPr fontId="8" type="noConversion"/>
  </si>
  <si>
    <t>전년동기대비</t>
    <phoneticPr fontId="8" type="noConversion"/>
  </si>
  <si>
    <t>(%)</t>
    <phoneticPr fontId="8" type="noConversion"/>
  </si>
  <si>
    <t>환적</t>
    <phoneticPr fontId="8" type="noConversion"/>
  </si>
  <si>
    <t>D-B</t>
    <phoneticPr fontId="8" type="noConversion"/>
  </si>
  <si>
    <t>선박</t>
    <phoneticPr fontId="8" type="noConversion"/>
  </si>
  <si>
    <t>화물</t>
    <phoneticPr fontId="8" type="noConversion"/>
  </si>
  <si>
    <t>(단위:TEU, 100% 기준)</t>
    <phoneticPr fontId="8" type="noConversion"/>
  </si>
  <si>
    <t>컨테이너</t>
    <phoneticPr fontId="8" type="noConversion"/>
  </si>
  <si>
    <t>구     분</t>
    <phoneticPr fontId="8" type="noConversion"/>
  </si>
  <si>
    <t>단위</t>
    <phoneticPr fontId="20" type="noConversion"/>
  </si>
  <si>
    <t>전년동기대비</t>
    <phoneticPr fontId="8" type="noConversion"/>
  </si>
  <si>
    <t>연간누계</t>
    <phoneticPr fontId="8" type="noConversion"/>
  </si>
  <si>
    <t>C-A</t>
    <phoneticPr fontId="8" type="noConversion"/>
  </si>
  <si>
    <t>(%)</t>
    <phoneticPr fontId="8" type="noConversion"/>
  </si>
  <si>
    <t>D-B</t>
    <phoneticPr fontId="8" type="noConversion"/>
  </si>
  <si>
    <t>합  계</t>
    <phoneticPr fontId="8" type="noConversion"/>
  </si>
  <si>
    <t>TEU</t>
    <phoneticPr fontId="20" type="noConversion"/>
  </si>
  <si>
    <t>톤</t>
    <phoneticPr fontId="20" type="noConversion"/>
  </si>
  <si>
    <t>국제여객부두1번</t>
  </si>
  <si>
    <t>국제여객부두2번</t>
  </si>
  <si>
    <t>동부두 6</t>
    <phoneticPr fontId="20" type="noConversion"/>
  </si>
  <si>
    <t>동부두 8</t>
    <phoneticPr fontId="20" type="noConversion"/>
  </si>
  <si>
    <t>C-A</t>
    <phoneticPr fontId="8" type="noConversion"/>
  </si>
  <si>
    <t>동부두 12</t>
    <phoneticPr fontId="20" type="noConversion"/>
  </si>
  <si>
    <t>동부두 14</t>
    <phoneticPr fontId="20" type="noConversion"/>
  </si>
  <si>
    <t>동부두 15</t>
    <phoneticPr fontId="20" type="noConversion"/>
  </si>
  <si>
    <t>동부두 16</t>
    <phoneticPr fontId="20" type="noConversion"/>
  </si>
  <si>
    <t>동부두 7</t>
    <phoneticPr fontId="20" type="noConversion"/>
  </si>
  <si>
    <t>동부두 11</t>
    <phoneticPr fontId="20" type="noConversion"/>
  </si>
  <si>
    <t>TEU</t>
    <phoneticPr fontId="20" type="noConversion"/>
  </si>
  <si>
    <t>톤</t>
    <phoneticPr fontId="20" type="noConversion"/>
  </si>
  <si>
    <t>동부두 5</t>
    <phoneticPr fontId="20" type="noConversion"/>
  </si>
  <si>
    <t>자동차(대)</t>
    <phoneticPr fontId="8" type="noConversion"/>
  </si>
  <si>
    <t>동부두 9</t>
    <phoneticPr fontId="20" type="noConversion"/>
  </si>
  <si>
    <t>소계</t>
    <phoneticPr fontId="8" type="noConversion"/>
  </si>
  <si>
    <t>(단위 : 척)</t>
    <phoneticPr fontId="8" type="noConversion"/>
  </si>
  <si>
    <t>국제여객부두 1번선석</t>
  </si>
  <si>
    <t>국제여객부두 2번선석</t>
    <phoneticPr fontId="20" type="noConversion"/>
  </si>
  <si>
    <t>동부두 5번선석</t>
    <phoneticPr fontId="20" type="noConversion"/>
  </si>
  <si>
    <t>동부두 6번선석</t>
    <phoneticPr fontId="20" type="noConversion"/>
  </si>
  <si>
    <t>동부두 6번선석</t>
    <phoneticPr fontId="20" type="noConversion"/>
  </si>
  <si>
    <t>동부두 7번선석</t>
    <phoneticPr fontId="20" type="noConversion"/>
  </si>
  <si>
    <t>동부두 7번선석</t>
    <phoneticPr fontId="20" type="noConversion"/>
  </si>
  <si>
    <t>동부두 8번선석</t>
    <phoneticPr fontId="20" type="noConversion"/>
  </si>
  <si>
    <t>동부두 8번선석</t>
    <phoneticPr fontId="20" type="noConversion"/>
  </si>
  <si>
    <t>동부두 9번선석</t>
    <phoneticPr fontId="20" type="noConversion"/>
  </si>
  <si>
    <t>동부두 9번선석</t>
    <phoneticPr fontId="20" type="noConversion"/>
  </si>
  <si>
    <t>동부두 11번선석</t>
    <phoneticPr fontId="20" type="noConversion"/>
  </si>
  <si>
    <t>동부두 12번선석</t>
    <phoneticPr fontId="20" type="noConversion"/>
  </si>
  <si>
    <t>동부두 12번선석</t>
    <phoneticPr fontId="20" type="noConversion"/>
  </si>
  <si>
    <t>동부두 14번선석</t>
    <phoneticPr fontId="20" type="noConversion"/>
  </si>
  <si>
    <t>동부두 14번선석</t>
    <phoneticPr fontId="20" type="noConversion"/>
  </si>
  <si>
    <t>동부두 15번선석</t>
    <phoneticPr fontId="20" type="noConversion"/>
  </si>
  <si>
    <t>동부두 15번선석</t>
    <phoneticPr fontId="20" type="noConversion"/>
  </si>
  <si>
    <t>동부두 16번선석</t>
    <phoneticPr fontId="20" type="noConversion"/>
  </si>
  <si>
    <t>동부두 16번선석</t>
    <phoneticPr fontId="20" type="noConversion"/>
  </si>
  <si>
    <t>동부두 10</t>
    <phoneticPr fontId="20" type="noConversion"/>
  </si>
  <si>
    <t>동부두 1</t>
    <phoneticPr fontId="20" type="noConversion"/>
  </si>
  <si>
    <t>동부두 1번선석</t>
    <phoneticPr fontId="20" type="noConversion"/>
  </si>
  <si>
    <t>동부두 10번선석</t>
    <phoneticPr fontId="20" type="noConversion"/>
  </si>
  <si>
    <t>순증</t>
    <phoneticPr fontId="8" type="noConversion"/>
  </si>
  <si>
    <t>2022년도</t>
    <phoneticPr fontId="8" type="noConversion"/>
  </si>
  <si>
    <t>2023년도</t>
    <phoneticPr fontId="8" type="noConversion"/>
  </si>
  <si>
    <t>2023년도</t>
    <phoneticPr fontId="8" type="noConversion"/>
  </si>
  <si>
    <t>고대부두 8</t>
    <phoneticPr fontId="20" type="noConversion"/>
  </si>
  <si>
    <t>PNCT</t>
    <phoneticPr fontId="20" type="noConversion"/>
  </si>
  <si>
    <t>터미널별</t>
    <phoneticPr fontId="20" type="noConversion"/>
  </si>
  <si>
    <t>2022년 월별</t>
    <phoneticPr fontId="20" type="noConversion"/>
  </si>
  <si>
    <t>2022년 누계</t>
    <phoneticPr fontId="20" type="noConversion"/>
  </si>
  <si>
    <t>2023년 월별</t>
    <phoneticPr fontId="20" type="noConversion"/>
  </si>
  <si>
    <t>2023년 누계</t>
    <phoneticPr fontId="20" type="noConversion"/>
  </si>
  <si>
    <t>여객부두</t>
    <phoneticPr fontId="20" type="noConversion"/>
  </si>
  <si>
    <t>HPCTC</t>
    <phoneticPr fontId="20" type="noConversion"/>
  </si>
  <si>
    <t>`</t>
    <phoneticPr fontId="20" type="noConversion"/>
  </si>
  <si>
    <t>(단위 : 척, 천톤, 100% 기준)</t>
  </si>
  <si>
    <t>컨테이너</t>
    <phoneticPr fontId="8" type="noConversion"/>
  </si>
  <si>
    <t>연도별 수송실적</t>
    <phoneticPr fontId="8" type="noConversion"/>
  </si>
  <si>
    <t>(단위 : 천톤)</t>
    <phoneticPr fontId="8" type="noConversion"/>
  </si>
  <si>
    <t>(단위 : TEU)</t>
    <phoneticPr fontId="8" type="noConversion"/>
  </si>
  <si>
    <t>(단위 : 명)</t>
    <phoneticPr fontId="8" type="noConversion"/>
  </si>
  <si>
    <t>화물
입출항</t>
    <phoneticPr fontId="8" type="noConversion"/>
  </si>
  <si>
    <t>선박
입출항</t>
    <phoneticPr fontId="8" type="noConversion"/>
  </si>
  <si>
    <t>여  객</t>
    <phoneticPr fontId="8" type="noConversion"/>
  </si>
  <si>
    <t>구 분</t>
    <phoneticPr fontId="8" type="noConversion"/>
  </si>
  <si>
    <t>(선박입출항)</t>
    <phoneticPr fontId="8" type="noConversion"/>
  </si>
  <si>
    <t>(화물입출항)</t>
    <phoneticPr fontId="8" type="noConversion"/>
  </si>
  <si>
    <t>(컨테이너)</t>
    <phoneticPr fontId="8" type="noConversion"/>
  </si>
  <si>
    <t xml:space="preserve">□ 연도별 추이 </t>
    <phoneticPr fontId="19" type="noConversion"/>
  </si>
  <si>
    <t>(여 객)</t>
    <phoneticPr fontId="8" type="noConversion"/>
  </si>
  <si>
    <t>`</t>
    <phoneticPr fontId="8" type="noConversion"/>
  </si>
  <si>
    <t>항만운영통계(11월)</t>
    <phoneticPr fontId="8" type="noConversion"/>
  </si>
  <si>
    <t>11월(A)</t>
    <phoneticPr fontId="8" type="noConversion"/>
  </si>
  <si>
    <t xml:space="preserve"> 11월누계(B) </t>
    <phoneticPr fontId="8" type="noConversion"/>
  </si>
  <si>
    <t>11월(C)</t>
    <phoneticPr fontId="8" type="noConversion"/>
  </si>
  <si>
    <t xml:space="preserve"> 11월누계(D) </t>
    <phoneticPr fontId="8" type="noConversion"/>
  </si>
  <si>
    <t>2023.11.</t>
    <phoneticPr fontId="19" type="noConversion"/>
  </si>
  <si>
    <t>부두별 컨테이너 물동량(11월)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</si>
</sst>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03">
    <xf numFmtId="0" fontId="0" fillId="0" borderId="0"/>
    <xf numFmtId="38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0" fillId="0" borderId="0"/>
    <xf numFmtId="0" fontId="9" fillId="0" borderId="0"/>
    <xf numFmtId="10" fontId="10" fillId="0" borderId="0" applyFont="0" applyFill="0" applyBorder="0" applyAlignment="0" applyProtection="0"/>
    <xf numFmtId="9" fontId="11" fillId="0" borderId="2" applyNumberFormat="0" applyBorder="0"/>
    <xf numFmtId="176" fontId="6" fillId="0" borderId="0" applyFont="0" applyFill="0" applyBorder="0" applyAlignment="0" applyProtection="0"/>
    <xf numFmtId="0" fontId="6" fillId="0" borderId="0"/>
    <xf numFmtId="0" fontId="23" fillId="0" borderId="0">
      <alignment vertical="center"/>
    </xf>
    <xf numFmtId="0" fontId="4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3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0" borderId="0"/>
    <xf numFmtId="0" fontId="23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2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0" xfId="16"/>
    <xf numFmtId="0" fontId="21" fillId="0" borderId="0" xfId="0" applyFont="1" applyBorder="1" applyAlignment="1">
      <alignment horizontal="center" vertical="center"/>
    </xf>
    <xf numFmtId="183" fontId="22" fillId="0" borderId="0" xfId="0" applyNumberFormat="1" applyFont="1" applyBorder="1" applyAlignment="1">
      <alignment vertical="center"/>
    </xf>
    <xf numFmtId="0" fontId="6" fillId="0" borderId="0" xfId="16" applyAlignment="1">
      <alignment horizontal="right"/>
    </xf>
    <xf numFmtId="180" fontId="6" fillId="0" borderId="0" xfId="16" applyNumberFormat="1" applyAlignment="1">
      <alignment horizontal="right"/>
    </xf>
    <xf numFmtId="0" fontId="7" fillId="0" borderId="0" xfId="16" applyFont="1" applyAlignment="1">
      <alignment horizontal="right" vertical="center"/>
    </xf>
    <xf numFmtId="180" fontId="7" fillId="0" borderId="0" xfId="16" applyNumberFormat="1" applyFont="1" applyAlignment="1">
      <alignment horizontal="right" vertical="center"/>
    </xf>
    <xf numFmtId="0" fontId="15" fillId="0" borderId="0" xfId="16" applyFont="1" applyAlignment="1">
      <alignment vertical="center"/>
    </xf>
    <xf numFmtId="0" fontId="23" fillId="0" borderId="0" xfId="17">
      <alignment vertical="center"/>
    </xf>
    <xf numFmtId="0" fontId="23" fillId="0" borderId="0" xfId="17" applyAlignment="1">
      <alignment horizontal="right"/>
    </xf>
    <xf numFmtId="180" fontId="23" fillId="0" borderId="0" xfId="17" applyNumberFormat="1" applyAlignment="1">
      <alignment horizontal="right"/>
    </xf>
    <xf numFmtId="0" fontId="7" fillId="0" borderId="0" xfId="17" applyFont="1" applyAlignment="1">
      <alignment horizontal="right" vertical="center"/>
    </xf>
    <xf numFmtId="180" fontId="7" fillId="0" borderId="0" xfId="17" applyNumberFormat="1" applyFont="1" applyAlignment="1">
      <alignment horizontal="right" vertical="center"/>
    </xf>
    <xf numFmtId="0" fontId="26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3" fillId="0" borderId="0" xfId="17" applyFont="1">
      <alignment vertical="center"/>
    </xf>
    <xf numFmtId="3" fontId="0" fillId="0" borderId="0" xfId="0" applyNumberFormat="1"/>
    <xf numFmtId="43" fontId="23" fillId="0" borderId="0" xfId="17" applyNumberFormat="1">
      <alignment vertical="center"/>
    </xf>
    <xf numFmtId="0" fontId="23" fillId="0" borderId="0" xfId="17" applyFont="1" applyAlignment="1">
      <alignment horizontal="center" vertical="center"/>
    </xf>
    <xf numFmtId="0" fontId="23" fillId="0" borderId="0" xfId="17" applyAlignment="1">
      <alignment horizontal="center" vertical="center"/>
    </xf>
    <xf numFmtId="176" fontId="23" fillId="0" borderId="1" xfId="15" applyFont="1" applyBorder="1" applyAlignment="1">
      <alignment horizontal="center" vertical="center"/>
    </xf>
    <xf numFmtId="0" fontId="23" fillId="0" borderId="1" xfId="15" applyNumberFormat="1" applyFont="1" applyBorder="1" applyAlignment="1">
      <alignment horizontal="center" vertical="center"/>
    </xf>
    <xf numFmtId="41" fontId="23" fillId="0" borderId="1" xfId="15" applyNumberFormat="1" applyFont="1" applyBorder="1" applyAlignment="1">
      <alignment horizontal="center" vertical="center"/>
    </xf>
    <xf numFmtId="190" fontId="23" fillId="0" borderId="0" xfId="17" applyNumberFormat="1">
      <alignment vertical="center"/>
    </xf>
    <xf numFmtId="176" fontId="1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3" fillId="0" borderId="0" xfId="65">
      <alignment vertical="center"/>
    </xf>
    <xf numFmtId="0" fontId="23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3" fillId="0" borderId="0" xfId="65" applyFill="1" applyBorder="1">
      <alignment vertical="center"/>
    </xf>
    <xf numFmtId="0" fontId="6" fillId="0" borderId="0" xfId="16" applyFill="1" applyBorder="1"/>
    <xf numFmtId="186" fontId="21" fillId="0" borderId="0" xfId="0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/>
    </xf>
    <xf numFmtId="187" fontId="21" fillId="0" borderId="0" xfId="0" quotePrefix="1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 shrinkToFit="1"/>
    </xf>
    <xf numFmtId="0" fontId="15" fillId="0" borderId="0" xfId="16" applyFont="1" applyFill="1" applyBorder="1" applyAlignment="1">
      <alignment vertical="center"/>
    </xf>
    <xf numFmtId="176" fontId="14" fillId="8" borderId="6" xfId="0" applyNumberFormat="1" applyFont="1" applyFill="1" applyBorder="1" applyAlignment="1">
      <alignment horizontal="right" vertical="center"/>
    </xf>
    <xf numFmtId="9" fontId="14" fillId="8" borderId="6" xfId="0" quotePrefix="1" applyNumberFormat="1" applyFont="1" applyFill="1" applyBorder="1" applyAlignment="1">
      <alignment horizontal="right" vertical="center"/>
    </xf>
    <xf numFmtId="9" fontId="13" fillId="4" borderId="6" xfId="0" quotePrefix="1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right" vertical="center"/>
    </xf>
    <xf numFmtId="176" fontId="7" fillId="0" borderId="6" xfId="0" applyNumberFormat="1" applyFont="1" applyFill="1" applyBorder="1" applyAlignment="1">
      <alignment horizontal="right" vertical="center"/>
    </xf>
    <xf numFmtId="182" fontId="14" fillId="8" borderId="6" xfId="0" applyNumberFormat="1" applyFont="1" applyFill="1" applyBorder="1" applyAlignment="1">
      <alignment horizontal="right" vertical="center"/>
    </xf>
    <xf numFmtId="176" fontId="14" fillId="8" borderId="6" xfId="0" applyNumberFormat="1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right" vertical="center"/>
    </xf>
    <xf numFmtId="176" fontId="13" fillId="4" borderId="6" xfId="0" applyNumberFormat="1" applyFont="1" applyFill="1" applyBorder="1" applyAlignment="1">
      <alignment horizontal="center" vertical="center"/>
    </xf>
    <xf numFmtId="182" fontId="13" fillId="0" borderId="6" xfId="0" applyNumberFormat="1" applyFont="1" applyBorder="1" applyAlignment="1">
      <alignment horizontal="right" vertical="center"/>
    </xf>
    <xf numFmtId="181" fontId="7" fillId="4" borderId="6" xfId="0" applyNumberFormat="1" applyFont="1" applyFill="1" applyBorder="1" applyAlignment="1">
      <alignment horizontal="right" vertical="center"/>
    </xf>
    <xf numFmtId="182" fontId="13" fillId="0" borderId="6" xfId="0" applyNumberFormat="1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center" vertical="center"/>
    </xf>
    <xf numFmtId="182" fontId="7" fillId="4" borderId="6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horizontal="right" vertical="center"/>
    </xf>
    <xf numFmtId="9" fontId="16" fillId="8" borderId="11" xfId="0" applyNumberFormat="1" applyFont="1" applyFill="1" applyBorder="1" applyAlignment="1">
      <alignment horizontal="right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41" fontId="13" fillId="5" borderId="6" xfId="23" applyFont="1" applyFill="1" applyBorder="1" applyAlignment="1">
      <alignment horizontal="right" vertical="center"/>
    </xf>
    <xf numFmtId="176" fontId="13" fillId="0" borderId="6" xfId="15" applyFont="1" applyFill="1" applyBorder="1" applyAlignment="1">
      <alignment horizontal="center" vertical="center"/>
    </xf>
    <xf numFmtId="176" fontId="27" fillId="4" borderId="6" xfId="0" applyNumberFormat="1" applyFont="1" applyFill="1" applyBorder="1" applyAlignment="1">
      <alignment horizontal="right" vertical="center"/>
    </xf>
    <xf numFmtId="176" fontId="14" fillId="6" borderId="8" xfId="0" quotePrefix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/>
    </xf>
    <xf numFmtId="176" fontId="27" fillId="4" borderId="11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 wrapText="1"/>
    </xf>
    <xf numFmtId="9" fontId="14" fillId="6" borderId="18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180" fontId="14" fillId="6" borderId="19" xfId="0" applyNumberFormat="1" applyFont="1" applyFill="1" applyBorder="1" applyAlignment="1">
      <alignment horizontal="center" vertical="center"/>
    </xf>
    <xf numFmtId="176" fontId="13" fillId="0" borderId="20" xfId="0" applyNumberFormat="1" applyFont="1" applyBorder="1" applyAlignment="1">
      <alignment horizontal="right" vertical="center"/>
    </xf>
    <xf numFmtId="176" fontId="13" fillId="4" borderId="20" xfId="0" applyNumberFormat="1" applyFont="1" applyFill="1" applyBorder="1" applyAlignment="1">
      <alignment horizontal="right" vertical="center"/>
    </xf>
    <xf numFmtId="9" fontId="13" fillId="4" borderId="20" xfId="0" quotePrefix="1" applyNumberFormat="1" applyFont="1" applyFill="1" applyBorder="1" applyAlignment="1">
      <alignment horizontal="right" vertical="center"/>
    </xf>
    <xf numFmtId="176" fontId="7" fillId="4" borderId="20" xfId="0" applyNumberFormat="1" applyFont="1" applyFill="1" applyBorder="1" applyAlignment="1">
      <alignment horizontal="right" vertical="center"/>
    </xf>
    <xf numFmtId="9" fontId="7" fillId="4" borderId="21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right" vertical="center"/>
    </xf>
    <xf numFmtId="9" fontId="14" fillId="8" borderId="23" xfId="0" quotePrefix="1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4" xfId="0" applyNumberFormat="1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right" vertical="center"/>
    </xf>
    <xf numFmtId="9" fontId="13" fillId="0" borderId="18" xfId="0" quotePrefix="1" applyNumberFormat="1" applyFont="1" applyFill="1" applyBorder="1" applyAlignment="1">
      <alignment horizontal="right" vertical="center"/>
    </xf>
    <xf numFmtId="176" fontId="7" fillId="0" borderId="18" xfId="0" applyNumberFormat="1" applyFont="1" applyFill="1" applyBorder="1" applyAlignment="1">
      <alignment horizontal="right" vertical="center"/>
    </xf>
    <xf numFmtId="9" fontId="7" fillId="0" borderId="19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center" vertical="center"/>
    </xf>
    <xf numFmtId="182" fontId="14" fillId="8" borderId="20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right" vertical="center"/>
    </xf>
    <xf numFmtId="9" fontId="14" fillId="8" borderId="20" xfId="0" quotePrefix="1" applyNumberFormat="1" applyFont="1" applyFill="1" applyBorder="1" applyAlignment="1">
      <alignment horizontal="right" vertical="center"/>
    </xf>
    <xf numFmtId="181" fontId="16" fillId="8" borderId="20" xfId="0" applyNumberFormat="1" applyFont="1" applyFill="1" applyBorder="1" applyAlignment="1">
      <alignment horizontal="right" vertical="center"/>
    </xf>
    <xf numFmtId="9" fontId="16" fillId="8" borderId="21" xfId="0" applyNumberFormat="1" applyFont="1" applyFill="1" applyBorder="1" applyAlignment="1">
      <alignment horizontal="right" vertical="center"/>
    </xf>
    <xf numFmtId="182" fontId="14" fillId="8" borderId="23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0" fontId="13" fillId="4" borderId="18" xfId="0" applyFont="1" applyFill="1" applyBorder="1" applyAlignment="1">
      <alignment horizontal="center"/>
    </xf>
    <xf numFmtId="176" fontId="13" fillId="4" borderId="18" xfId="0" applyNumberFormat="1" applyFont="1" applyFill="1" applyBorder="1" applyAlignment="1">
      <alignment horizontal="center" vertical="center"/>
    </xf>
    <xf numFmtId="176" fontId="13" fillId="0" borderId="18" xfId="0" applyNumberFormat="1" applyFont="1" applyBorder="1" applyAlignment="1">
      <alignment horizontal="right"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4" borderId="18" xfId="0" applyNumberFormat="1" applyFont="1" applyFill="1" applyBorder="1" applyAlignment="1">
      <alignment horizontal="right" vertical="center"/>
    </xf>
    <xf numFmtId="9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center" vertical="center" shrinkToFit="1"/>
    </xf>
    <xf numFmtId="176" fontId="14" fillId="8" borderId="23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right" vertical="center" shrinkToFit="1"/>
    </xf>
    <xf numFmtId="9" fontId="14" fillId="8" borderId="23" xfId="0" quotePrefix="1" applyNumberFormat="1" applyFont="1" applyFill="1" applyBorder="1" applyAlignment="1">
      <alignment horizontal="right" vertical="center" shrinkToFit="1"/>
    </xf>
    <xf numFmtId="176" fontId="16" fillId="8" borderId="23" xfId="0" applyNumberFormat="1" applyFont="1" applyFill="1" applyBorder="1" applyAlignment="1">
      <alignment horizontal="right" vertical="center" shrinkToFit="1"/>
    </xf>
    <xf numFmtId="41" fontId="13" fillId="0" borderId="18" xfId="0" applyNumberFormat="1" applyFont="1" applyFill="1" applyBorder="1" applyAlignment="1">
      <alignment horizontal="center" vertical="center"/>
    </xf>
    <xf numFmtId="176" fontId="27" fillId="4" borderId="18" xfId="0" applyNumberFormat="1" applyFont="1" applyFill="1" applyBorder="1" applyAlignment="1">
      <alignment horizontal="right" vertical="center"/>
    </xf>
    <xf numFmtId="176" fontId="27" fillId="4" borderId="18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right" vertical="center"/>
    </xf>
    <xf numFmtId="176" fontId="27" fillId="4" borderId="19" xfId="0" applyNumberFormat="1" applyFont="1" applyFill="1" applyBorder="1" applyAlignment="1">
      <alignment horizontal="center" vertical="center"/>
    </xf>
    <xf numFmtId="181" fontId="14" fillId="8" borderId="22" xfId="0" applyNumberFormat="1" applyFont="1" applyFill="1" applyBorder="1" applyAlignment="1">
      <alignment horizontal="right" vertical="center"/>
    </xf>
    <xf numFmtId="181" fontId="14" fillId="8" borderId="23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4" borderId="6" xfId="17" applyFont="1" applyFill="1" applyBorder="1" applyAlignment="1">
      <alignment horizontal="center" vertical="center"/>
    </xf>
    <xf numFmtId="41" fontId="22" fillId="5" borderId="6" xfId="40" applyFont="1" applyFill="1" applyBorder="1" applyAlignment="1">
      <alignment horizontal="center" vertical="center"/>
    </xf>
    <xf numFmtId="3" fontId="22" fillId="0" borderId="6" xfId="0" applyNumberFormat="1" applyFont="1" applyFill="1" applyBorder="1" applyAlignment="1">
      <alignment horizontal="right" vertical="center"/>
    </xf>
    <xf numFmtId="41" fontId="22" fillId="5" borderId="6" xfId="23" applyFont="1" applyFill="1" applyBorder="1" applyAlignment="1">
      <alignment horizontal="center" vertical="center"/>
    </xf>
    <xf numFmtId="185" fontId="14" fillId="4" borderId="6" xfId="17" applyNumberFormat="1" applyFont="1" applyFill="1" applyBorder="1" applyAlignment="1">
      <alignment horizontal="right" vertical="center" shrinkToFit="1"/>
    </xf>
    <xf numFmtId="184" fontId="14" fillId="4" borderId="6" xfId="17" quotePrefix="1" applyNumberFormat="1" applyFont="1" applyFill="1" applyBorder="1" applyAlignment="1">
      <alignment horizontal="right" vertical="center" shrinkToFit="1"/>
    </xf>
    <xf numFmtId="176" fontId="14" fillId="4" borderId="6" xfId="17" applyNumberFormat="1" applyFont="1" applyFill="1" applyBorder="1" applyAlignment="1">
      <alignment horizontal="right" vertical="center" shrinkToFit="1"/>
    </xf>
    <xf numFmtId="41" fontId="22" fillId="0" borderId="6" xfId="23" applyFont="1" applyFill="1" applyBorder="1" applyAlignment="1">
      <alignment horizontal="right" vertical="center"/>
    </xf>
    <xf numFmtId="0" fontId="21" fillId="0" borderId="6" xfId="17" applyFont="1" applyFill="1" applyBorder="1" applyAlignment="1">
      <alignment horizontal="center" vertical="center"/>
    </xf>
    <xf numFmtId="184" fontId="14" fillId="4" borderId="11" xfId="17" quotePrefix="1" applyNumberFormat="1" applyFont="1" applyFill="1" applyBorder="1" applyAlignment="1">
      <alignment horizontal="right" vertical="center" shrinkToFit="1"/>
    </xf>
    <xf numFmtId="0" fontId="21" fillId="4" borderId="13" xfId="17" applyFont="1" applyFill="1" applyBorder="1" applyAlignment="1">
      <alignment horizontal="center" vertical="center"/>
    </xf>
    <xf numFmtId="41" fontId="22" fillId="5" borderId="13" xfId="40" applyFont="1" applyFill="1" applyBorder="1" applyAlignment="1">
      <alignment horizontal="center" vertical="center"/>
    </xf>
    <xf numFmtId="3" fontId="22" fillId="0" borderId="13" xfId="0" applyNumberFormat="1" applyFont="1" applyFill="1" applyBorder="1" applyAlignment="1">
      <alignment horizontal="right" vertical="center"/>
    </xf>
    <xf numFmtId="185" fontId="14" fillId="4" borderId="13" xfId="17" applyNumberFormat="1" applyFont="1" applyFill="1" applyBorder="1" applyAlignment="1">
      <alignment horizontal="right" vertical="center" shrinkToFit="1"/>
    </xf>
    <xf numFmtId="184" fontId="14" fillId="4" borderId="13" xfId="17" quotePrefix="1" applyNumberFormat="1" applyFont="1" applyFill="1" applyBorder="1" applyAlignment="1">
      <alignment horizontal="right" vertical="center" shrinkToFit="1"/>
    </xf>
    <xf numFmtId="176" fontId="14" fillId="4" borderId="13" xfId="17" applyNumberFormat="1" applyFont="1" applyFill="1" applyBorder="1" applyAlignment="1">
      <alignment horizontal="right" vertical="center" shrinkToFit="1"/>
    </xf>
    <xf numFmtId="184" fontId="14" fillId="4" borderId="14" xfId="17" quotePrefix="1" applyNumberFormat="1" applyFont="1" applyFill="1" applyBorder="1" applyAlignment="1">
      <alignment horizontal="right" vertical="center" shrinkToFit="1"/>
    </xf>
    <xf numFmtId="176" fontId="14" fillId="6" borderId="18" xfId="17" applyNumberFormat="1" applyFont="1" applyFill="1" applyBorder="1" applyAlignment="1">
      <alignment horizontal="center" vertical="center"/>
    </xf>
    <xf numFmtId="176" fontId="29" fillId="6" borderId="18" xfId="17" applyNumberFormat="1" applyFont="1" applyFill="1" applyBorder="1" applyAlignment="1">
      <alignment horizontal="center" vertical="center"/>
    </xf>
    <xf numFmtId="9" fontId="14" fillId="6" borderId="18" xfId="17" applyNumberFormat="1" applyFont="1" applyFill="1" applyBorder="1" applyAlignment="1">
      <alignment horizontal="center" vertical="center"/>
    </xf>
    <xf numFmtId="0" fontId="16" fillId="6" borderId="18" xfId="17" applyFont="1" applyFill="1" applyBorder="1" applyAlignment="1">
      <alignment horizontal="center" vertical="center"/>
    </xf>
    <xf numFmtId="180" fontId="14" fillId="6" borderId="19" xfId="17" applyNumberFormat="1" applyFont="1" applyFill="1" applyBorder="1" applyAlignment="1">
      <alignment horizontal="center" vertical="center"/>
    </xf>
    <xf numFmtId="0" fontId="21" fillId="8" borderId="29" xfId="17" applyFont="1" applyFill="1" applyBorder="1" applyAlignment="1">
      <alignment horizontal="center" vertical="center"/>
    </xf>
    <xf numFmtId="183" fontId="21" fillId="8" borderId="29" xfId="17" applyNumberFormat="1" applyFont="1" applyFill="1" applyBorder="1" applyAlignment="1">
      <alignment vertical="center" shrinkToFit="1"/>
    </xf>
    <xf numFmtId="41" fontId="21" fillId="8" borderId="29" xfId="15" applyNumberFormat="1" applyFont="1" applyFill="1" applyBorder="1" applyAlignment="1">
      <alignment horizontal="center" vertical="center" shrinkToFit="1"/>
    </xf>
    <xf numFmtId="185" fontId="14" fillId="8" borderId="29" xfId="17" applyNumberFormat="1" applyFont="1" applyFill="1" applyBorder="1" applyAlignment="1">
      <alignment horizontal="right" vertical="center" shrinkToFit="1"/>
    </xf>
    <xf numFmtId="184" fontId="14" fillId="8" borderId="29" xfId="17" quotePrefix="1" applyNumberFormat="1" applyFont="1" applyFill="1" applyBorder="1" applyAlignment="1">
      <alignment horizontal="right" vertical="center" shrinkToFit="1"/>
    </xf>
    <xf numFmtId="176" fontId="14" fillId="8" borderId="29" xfId="17" applyNumberFormat="1" applyFont="1" applyFill="1" applyBorder="1" applyAlignment="1">
      <alignment horizontal="right" vertical="center" shrinkToFit="1"/>
    </xf>
    <xf numFmtId="184" fontId="14" fillId="8" borderId="30" xfId="17" quotePrefix="1" applyNumberFormat="1" applyFont="1" applyFill="1" applyBorder="1" applyAlignment="1">
      <alignment horizontal="right" vertical="center" shrinkToFit="1"/>
    </xf>
    <xf numFmtId="0" fontId="21" fillId="8" borderId="15" xfId="17" applyFont="1" applyFill="1" applyBorder="1" applyAlignment="1">
      <alignment horizontal="center" vertical="center"/>
    </xf>
    <xf numFmtId="183" fontId="21" fillId="8" borderId="15" xfId="17" applyNumberFormat="1" applyFont="1" applyFill="1" applyBorder="1" applyAlignment="1">
      <alignment vertical="center" shrinkToFit="1"/>
    </xf>
    <xf numFmtId="41" fontId="21" fillId="8" borderId="15" xfId="15" applyNumberFormat="1" applyFont="1" applyFill="1" applyBorder="1" applyAlignment="1">
      <alignment horizontal="center" vertical="center" shrinkToFit="1"/>
    </xf>
    <xf numFmtId="185" fontId="14" fillId="8" borderId="15" xfId="17" applyNumberFormat="1" applyFont="1" applyFill="1" applyBorder="1" applyAlignment="1">
      <alignment horizontal="right" vertical="center" shrinkToFit="1"/>
    </xf>
    <xf numFmtId="184" fontId="14" fillId="8" borderId="15" xfId="17" quotePrefix="1" applyNumberFormat="1" applyFont="1" applyFill="1" applyBorder="1" applyAlignment="1">
      <alignment horizontal="right" vertical="center" shrinkToFit="1"/>
    </xf>
    <xf numFmtId="176" fontId="14" fillId="8" borderId="15" xfId="17" applyNumberFormat="1" applyFont="1" applyFill="1" applyBorder="1" applyAlignment="1">
      <alignment horizontal="right" vertical="center" shrinkToFit="1"/>
    </xf>
    <xf numFmtId="184" fontId="14" fillId="8" borderId="16" xfId="17" quotePrefix="1" applyNumberFormat="1" applyFont="1" applyFill="1" applyBorder="1" applyAlignment="1">
      <alignment horizontal="right" vertical="center" shrinkToFit="1"/>
    </xf>
    <xf numFmtId="0" fontId="21" fillId="9" borderId="20" xfId="17" applyFont="1" applyFill="1" applyBorder="1" applyAlignment="1">
      <alignment horizontal="center" vertical="center"/>
    </xf>
    <xf numFmtId="41" fontId="22" fillId="9" borderId="20" xfId="40" applyFont="1" applyFill="1" applyBorder="1" applyAlignment="1">
      <alignment horizontal="center" vertical="center"/>
    </xf>
    <xf numFmtId="3" fontId="22" fillId="9" borderId="20" xfId="0" applyNumberFormat="1" applyFont="1" applyFill="1" applyBorder="1" applyAlignment="1">
      <alignment horizontal="right" vertical="center"/>
    </xf>
    <xf numFmtId="41" fontId="22" fillId="9" borderId="20" xfId="23" applyFont="1" applyFill="1" applyBorder="1" applyAlignment="1">
      <alignment horizontal="center" vertical="center"/>
    </xf>
    <xf numFmtId="185" fontId="14" fillId="9" borderId="20" xfId="17" applyNumberFormat="1" applyFont="1" applyFill="1" applyBorder="1" applyAlignment="1">
      <alignment horizontal="right" vertical="center" shrinkToFit="1"/>
    </xf>
    <xf numFmtId="184" fontId="14" fillId="9" borderId="20" xfId="17" quotePrefix="1" applyNumberFormat="1" applyFont="1" applyFill="1" applyBorder="1" applyAlignment="1">
      <alignment horizontal="right" vertical="center" shrinkToFit="1"/>
    </xf>
    <xf numFmtId="176" fontId="14" fillId="9" borderId="20" xfId="17" applyNumberFormat="1" applyFont="1" applyFill="1" applyBorder="1" applyAlignment="1">
      <alignment horizontal="right" vertical="center" shrinkToFit="1"/>
    </xf>
    <xf numFmtId="184" fontId="14" fillId="9" borderId="21" xfId="17" quotePrefix="1" applyNumberFormat="1" applyFont="1" applyFill="1" applyBorder="1" applyAlignment="1">
      <alignment horizontal="right" vertical="center" shrinkToFit="1"/>
    </xf>
    <xf numFmtId="0" fontId="21" fillId="9" borderId="6" xfId="17" applyFont="1" applyFill="1" applyBorder="1" applyAlignment="1">
      <alignment horizontal="center" vertical="center"/>
    </xf>
    <xf numFmtId="41" fontId="22" fillId="9" borderId="6" xfId="40" applyFont="1" applyFill="1" applyBorder="1" applyAlignment="1">
      <alignment horizontal="center" vertical="center"/>
    </xf>
    <xf numFmtId="3" fontId="22" fillId="9" borderId="6" xfId="0" applyNumberFormat="1" applyFont="1" applyFill="1" applyBorder="1" applyAlignment="1">
      <alignment horizontal="right" vertical="center"/>
    </xf>
    <xf numFmtId="41" fontId="22" fillId="9" borderId="6" xfId="23" applyFont="1" applyFill="1" applyBorder="1" applyAlignment="1">
      <alignment horizontal="center" vertical="center"/>
    </xf>
    <xf numFmtId="185" fontId="14" fillId="9" borderId="6" xfId="17" applyNumberFormat="1" applyFont="1" applyFill="1" applyBorder="1" applyAlignment="1">
      <alignment horizontal="right" vertical="center" shrinkToFit="1"/>
    </xf>
    <xf numFmtId="184" fontId="14" fillId="9" borderId="6" xfId="17" quotePrefix="1" applyNumberFormat="1" applyFont="1" applyFill="1" applyBorder="1" applyAlignment="1">
      <alignment horizontal="right" vertical="center" shrinkToFit="1"/>
    </xf>
    <xf numFmtId="176" fontId="14" fillId="9" borderId="6" xfId="17" applyNumberFormat="1" applyFont="1" applyFill="1" applyBorder="1" applyAlignment="1">
      <alignment horizontal="right" vertical="center" shrinkToFit="1"/>
    </xf>
    <xf numFmtId="184" fontId="14" fillId="9" borderId="11" xfId="17" quotePrefix="1" applyNumberFormat="1" applyFont="1" applyFill="1" applyBorder="1" applyAlignment="1">
      <alignment horizontal="right" vertical="center" shrinkToFit="1"/>
    </xf>
    <xf numFmtId="41" fontId="22" fillId="9" borderId="6" xfId="23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 vertical="center"/>
    </xf>
    <xf numFmtId="180" fontId="21" fillId="6" borderId="8" xfId="0" quotePrefix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176" fontId="22" fillId="0" borderId="13" xfId="15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88" fontId="22" fillId="0" borderId="1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6" fontId="22" fillId="0" borderId="13" xfId="15" applyFont="1" applyBorder="1" applyAlignment="1">
      <alignment horizontal="center" vertical="center" shrinkToFit="1"/>
    </xf>
    <xf numFmtId="180" fontId="21" fillId="6" borderId="32" xfId="0" quotePrefix="1" applyNumberFormat="1" applyFont="1" applyFill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/>
    </xf>
    <xf numFmtId="186" fontId="21" fillId="6" borderId="33" xfId="0" applyNumberFormat="1" applyFont="1" applyFill="1" applyBorder="1" applyAlignment="1">
      <alignment horizontal="center" vertical="center"/>
    </xf>
    <xf numFmtId="176" fontId="36" fillId="0" borderId="34" xfId="15" applyFont="1" applyBorder="1" applyAlignment="1">
      <alignment horizontal="center" vertical="center"/>
    </xf>
    <xf numFmtId="188" fontId="22" fillId="0" borderId="25" xfId="0" applyNumberFormat="1" applyFont="1" applyBorder="1" applyAlignment="1">
      <alignment horizontal="center" vertical="center"/>
    </xf>
    <xf numFmtId="187" fontId="21" fillId="6" borderId="33" xfId="0" quotePrefix="1" applyNumberFormat="1" applyFont="1" applyFill="1" applyBorder="1" applyAlignment="1">
      <alignment horizontal="center" vertical="center"/>
    </xf>
    <xf numFmtId="188" fontId="36" fillId="0" borderId="34" xfId="0" applyNumberFormat="1" applyFont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 shrinkToFit="1"/>
    </xf>
    <xf numFmtId="176" fontId="36" fillId="0" borderId="34" xfId="15" applyFont="1" applyBorder="1" applyAlignment="1">
      <alignment horizontal="center" vertical="center" shrinkToFit="1"/>
    </xf>
    <xf numFmtId="0" fontId="23" fillId="0" borderId="0" xfId="17" applyFill="1">
      <alignment vertical="center"/>
    </xf>
    <xf numFmtId="189" fontId="31" fillId="5" borderId="20" xfId="86" applyNumberFormat="1" applyFont="1" applyFill="1" applyBorder="1" applyAlignment="1">
      <alignment horizontal="right" vertical="center"/>
    </xf>
    <xf numFmtId="189" fontId="31" fillId="5" borderId="18" xfId="86" applyNumberFormat="1" applyFont="1" applyFill="1" applyBorder="1" applyAlignment="1">
      <alignment horizontal="right" vertical="center"/>
    </xf>
    <xf numFmtId="182" fontId="32" fillId="5" borderId="6" xfId="87" applyNumberFormat="1" applyFont="1" applyFill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9" fontId="22" fillId="5" borderId="6" xfId="101" applyNumberFormat="1" applyFont="1" applyFill="1" applyBorder="1" applyAlignment="1">
      <alignment horizontal="right" vertical="center"/>
    </xf>
    <xf numFmtId="176" fontId="14" fillId="8" borderId="22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center" vertical="center"/>
    </xf>
    <xf numFmtId="0" fontId="33" fillId="7" borderId="4" xfId="65" applyFont="1" applyFill="1" applyBorder="1" applyAlignment="1">
      <alignment horizontal="center" vertical="center"/>
    </xf>
    <xf numFmtId="0" fontId="33" fillId="7" borderId="5" xfId="65" applyFont="1" applyFill="1" applyBorder="1" applyAlignment="1">
      <alignment horizontal="center" vertical="center"/>
    </xf>
    <xf numFmtId="0" fontId="33" fillId="7" borderId="3" xfId="65" applyFont="1" applyFill="1" applyBorder="1" applyAlignment="1">
      <alignment horizontal="center" vertical="center"/>
    </xf>
    <xf numFmtId="176" fontId="14" fillId="6" borderId="8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176" fontId="13" fillId="0" borderId="6" xfId="0" applyNumberFormat="1" applyFont="1" applyFill="1" applyBorder="1" applyAlignment="1">
      <alignment horizontal="center" vertical="center"/>
    </xf>
    <xf numFmtId="176" fontId="14" fillId="6" borderId="12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76" fontId="14" fillId="6" borderId="25" xfId="0" applyNumberFormat="1" applyFont="1" applyFill="1" applyBorder="1" applyAlignment="1">
      <alignment horizontal="center" vertical="center"/>
    </xf>
    <xf numFmtId="9" fontId="14" fillId="4" borderId="18" xfId="0" applyNumberFormat="1" applyFont="1" applyFill="1" applyBorder="1" applyAlignment="1">
      <alignment horizontal="right"/>
    </xf>
    <xf numFmtId="9" fontId="14" fillId="4" borderId="18" xfId="0" quotePrefix="1" applyNumberFormat="1" applyFont="1" applyFill="1" applyBorder="1" applyAlignment="1">
      <alignment horizontal="right"/>
    </xf>
    <xf numFmtId="9" fontId="14" fillId="4" borderId="19" xfId="0" quotePrefix="1" applyNumberFormat="1" applyFont="1" applyFill="1" applyBorder="1" applyAlignment="1">
      <alignment horizontal="right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10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 wrapText="1"/>
    </xf>
    <xf numFmtId="176" fontId="14" fillId="6" borderId="9" xfId="0" applyNumberFormat="1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33" fillId="7" borderId="1" xfId="65" applyFont="1" applyFill="1" applyBorder="1" applyAlignment="1">
      <alignment horizontal="center" vertical="center"/>
    </xf>
    <xf numFmtId="0" fontId="17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180" fontId="16" fillId="0" borderId="0" xfId="0" applyNumberFormat="1" applyFont="1" applyBorder="1" applyAlignment="1">
      <alignment horizontal="right"/>
    </xf>
    <xf numFmtId="0" fontId="22" fillId="6" borderId="10" xfId="17" applyFont="1" applyFill="1" applyBorder="1" applyAlignment="1">
      <alignment horizontal="center" vertical="center"/>
    </xf>
    <xf numFmtId="0" fontId="22" fillId="6" borderId="12" xfId="17" applyFont="1" applyFill="1" applyBorder="1" applyAlignment="1">
      <alignment horizontal="center" vertical="center"/>
    </xf>
    <xf numFmtId="176" fontId="14" fillId="6" borderId="8" xfId="17" applyNumberFormat="1" applyFont="1" applyFill="1" applyBorder="1" applyAlignment="1">
      <alignment horizontal="center" vertical="center"/>
    </xf>
    <xf numFmtId="176" fontId="14" fillId="6" borderId="7" xfId="17" applyNumberFormat="1" applyFont="1" applyFill="1" applyBorder="1" applyAlignment="1">
      <alignment horizontal="center" vertical="center"/>
    </xf>
    <xf numFmtId="176" fontId="14" fillId="6" borderId="26" xfId="17" applyNumberFormat="1" applyFont="1" applyFill="1" applyBorder="1" applyAlignment="1">
      <alignment horizontal="center" vertical="center"/>
    </xf>
    <xf numFmtId="0" fontId="21" fillId="8" borderId="28" xfId="17" applyFont="1" applyFill="1" applyBorder="1" applyAlignment="1">
      <alignment horizontal="center" vertical="center"/>
    </xf>
    <xf numFmtId="0" fontId="21" fillId="8" borderId="31" xfId="17" applyFont="1" applyFill="1" applyBorder="1" applyAlignment="1">
      <alignment horizontal="center" vertical="center"/>
    </xf>
    <xf numFmtId="0" fontId="22" fillId="6" borderId="27" xfId="17" applyFont="1" applyFill="1" applyBorder="1" applyAlignment="1">
      <alignment horizontal="center" vertical="center"/>
    </xf>
    <xf numFmtId="176" fontId="14" fillId="6" borderId="9" xfId="17" applyNumberFormat="1" applyFont="1" applyFill="1" applyBorder="1" applyAlignment="1">
      <alignment horizontal="center" vertical="center"/>
    </xf>
    <xf numFmtId="0" fontId="24" fillId="6" borderId="8" xfId="17" applyFont="1" applyFill="1" applyBorder="1" applyAlignment="1">
      <alignment horizontal="center" vertical="center"/>
    </xf>
    <xf numFmtId="0" fontId="24" fillId="6" borderId="18" xfId="17" applyFont="1" applyFill="1" applyBorder="1" applyAlignment="1">
      <alignment horizontal="center" vertical="center"/>
    </xf>
  </cellXfs>
  <cellStyles count="103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2" xfId="21"/>
    <cellStyle name="표준 3 2 2" xfId="29"/>
    <cellStyle name="표준 3 2 2 2" xfId="39"/>
    <cellStyle name="표준 3 2 2 2 2" xfId="55"/>
    <cellStyle name="표준 3 2 2 2 2 2" xfId="101"/>
    <cellStyle name="표준 3 2 2 2 3" xfId="86"/>
    <cellStyle name="표준 3 2 2 3" xfId="47"/>
    <cellStyle name="표준 3 2 2 3 2" xfId="93"/>
    <cellStyle name="표준 3 2 2 4" xfId="78"/>
    <cellStyle name="표준 3 2 3" xfId="27"/>
    <cellStyle name="표준 3 2 3 2" xfId="37"/>
    <cellStyle name="표준 3 2 3 2 2" xfId="53"/>
    <cellStyle name="표준 3 2 3 2 2 2" xfId="99"/>
    <cellStyle name="표준 3 2 3 2 3" xfId="84"/>
    <cellStyle name="표준 3 2 3 3" xfId="45"/>
    <cellStyle name="표준 3 2 3 3 2" xfId="91"/>
    <cellStyle name="표준 3 2 3 4" xfId="76"/>
    <cellStyle name="표준 3 2 4" xfId="35"/>
    <cellStyle name="표준 3 2 4 2" xfId="51"/>
    <cellStyle name="표준 3 2 4 2 2" xfId="97"/>
    <cellStyle name="표준 3 2 4 3" xfId="82"/>
    <cellStyle name="표준 3 2 5" xfId="43"/>
    <cellStyle name="표준 3 2 5 2" xfId="89"/>
    <cellStyle name="표준 3 2 6" xfId="25"/>
    <cellStyle name="표준 3 2 6 2" xfId="74"/>
    <cellStyle name="표준 3 2 7" xfId="72"/>
    <cellStyle name="표준 3 3" xfId="28"/>
    <cellStyle name="표준 3 3 2" xfId="38"/>
    <cellStyle name="표준 3 3 2 2" xfId="54"/>
    <cellStyle name="표준 3 3 2 2 2" xfId="100"/>
    <cellStyle name="표준 3 3 2 3" xfId="85"/>
    <cellStyle name="표준 3 3 3" xfId="46"/>
    <cellStyle name="표준 3 3 3 2" xfId="92"/>
    <cellStyle name="표준 3 3 4" xfId="77"/>
    <cellStyle name="표준 3 4" xfId="26"/>
    <cellStyle name="표준 3 4 2" xfId="36"/>
    <cellStyle name="표준 3 4 2 2" xfId="52"/>
    <cellStyle name="표준 3 4 2 2 2" xfId="98"/>
    <cellStyle name="표준 3 4 2 3" xfId="83"/>
    <cellStyle name="표준 3 4 3" xfId="44"/>
    <cellStyle name="표준 3 4 3 2" xfId="90"/>
    <cellStyle name="표준 3 4 4" xfId="75"/>
    <cellStyle name="표준 3 5" xfId="30"/>
    <cellStyle name="표준 3 5 2" xfId="48"/>
    <cellStyle name="표준 3 5 2 2" xfId="94"/>
    <cellStyle name="표준 3 5 3" xfId="79"/>
    <cellStyle name="표준 3 6" xfId="34"/>
    <cellStyle name="표준 3 6 2" xfId="50"/>
    <cellStyle name="표준 3 6 2 2" xfId="96"/>
    <cellStyle name="표준 3 6 3" xfId="81"/>
    <cellStyle name="표준 3 7" xfId="42"/>
    <cellStyle name="표준 3 7 2" xfId="88"/>
    <cellStyle name="표준 3 8" xfId="24"/>
    <cellStyle name="표준 3 8 2" xfId="73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3" xfId="68"/>
    <cellStyle name="표준 6 4" xfId="80"/>
    <cellStyle name="표준 7" xfId="41"/>
    <cellStyle name="표준 7 2" xfId="69"/>
    <cellStyle name="표준 7 3" xfId="87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2023.11.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105523731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74016"/>
        <c:axId val="206375936"/>
      </c:lineChart>
      <c:catAx>
        <c:axId val="20637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375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3759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37401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2023.11.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747255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04608"/>
        <c:axId val="206410880"/>
      </c:lineChart>
      <c:catAx>
        <c:axId val="20640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410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641088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640460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2023.11.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37078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13664"/>
        <c:axId val="210115584"/>
      </c:lineChart>
      <c:catAx>
        <c:axId val="210113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11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11558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11366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2023.11.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15802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60640"/>
        <c:axId val="210166912"/>
      </c:lineChart>
      <c:catAx>
        <c:axId val="21016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166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01669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0160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zoomScaleNormal="100" zoomScaleSheetLayoutView="110" workbookViewId="0"/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05" t="s">
        <v>105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7"/>
      <c r="N3" s="39"/>
      <c r="O3" s="39"/>
      <c r="P3" s="39"/>
    </row>
    <row r="4" spans="2:16" ht="21" customHeight="1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09" t="s">
        <v>89</v>
      </c>
      <c r="L5" s="209"/>
      <c r="M5" s="209"/>
    </row>
    <row r="6" spans="2:16" ht="21" customHeight="1">
      <c r="B6" s="221" t="s">
        <v>7</v>
      </c>
      <c r="C6" s="222"/>
      <c r="D6" s="222"/>
      <c r="E6" s="75"/>
      <c r="F6" s="208" t="s">
        <v>76</v>
      </c>
      <c r="G6" s="208"/>
      <c r="H6" s="208" t="s">
        <v>77</v>
      </c>
      <c r="I6" s="208"/>
      <c r="J6" s="208" t="s">
        <v>15</v>
      </c>
      <c r="K6" s="208"/>
      <c r="L6" s="208"/>
      <c r="M6" s="220"/>
    </row>
    <row r="7" spans="2:16" ht="21" customHeight="1" thickBot="1">
      <c r="B7" s="223"/>
      <c r="C7" s="224"/>
      <c r="D7" s="224"/>
      <c r="E7" s="78" t="s">
        <v>11</v>
      </c>
      <c r="F7" s="79" t="s">
        <v>106</v>
      </c>
      <c r="G7" s="78" t="s">
        <v>107</v>
      </c>
      <c r="H7" s="78" t="s">
        <v>108</v>
      </c>
      <c r="I7" s="78" t="s">
        <v>109</v>
      </c>
      <c r="J7" s="78" t="s">
        <v>37</v>
      </c>
      <c r="K7" s="80" t="s">
        <v>16</v>
      </c>
      <c r="L7" s="81" t="s">
        <v>18</v>
      </c>
      <c r="M7" s="82" t="s">
        <v>16</v>
      </c>
    </row>
    <row r="8" spans="2:16" ht="20.100000000000001" customHeight="1" thickBot="1">
      <c r="B8" s="217" t="s">
        <v>19</v>
      </c>
      <c r="C8" s="203" t="s">
        <v>12</v>
      </c>
      <c r="D8" s="204"/>
      <c r="E8" s="88">
        <f>SUM(E9:E10)</f>
        <v>16655</v>
      </c>
      <c r="F8" s="88">
        <f>SUM(F9:F10)</f>
        <v>1283</v>
      </c>
      <c r="G8" s="88">
        <f>SUM(G9:G10)</f>
        <v>15280</v>
      </c>
      <c r="H8" s="88">
        <f>SUM(H9:H10)</f>
        <v>1359</v>
      </c>
      <c r="I8" s="88">
        <f>SUM(I9:I10)</f>
        <v>15802</v>
      </c>
      <c r="J8" s="88">
        <f>H8-F8</f>
        <v>76</v>
      </c>
      <c r="K8" s="89">
        <f>H8/F8</f>
        <v>1.059236165237724</v>
      </c>
      <c r="L8" s="90">
        <f>I8-G8</f>
        <v>522</v>
      </c>
      <c r="M8" s="91">
        <f>I8/G8</f>
        <v>1.0341623036649215</v>
      </c>
    </row>
    <row r="9" spans="2:16" ht="20.100000000000001" customHeight="1">
      <c r="B9" s="218"/>
      <c r="C9" s="225" t="s">
        <v>9</v>
      </c>
      <c r="D9" s="225"/>
      <c r="E9" s="196">
        <v>10010</v>
      </c>
      <c r="F9" s="83">
        <v>800</v>
      </c>
      <c r="G9" s="83">
        <v>9183</v>
      </c>
      <c r="H9" s="83">
        <v>846</v>
      </c>
      <c r="I9" s="83">
        <v>9634</v>
      </c>
      <c r="J9" s="84">
        <f t="shared" ref="J9:J29" si="0">H9-F9</f>
        <v>46</v>
      </c>
      <c r="K9" s="85">
        <f t="shared" ref="K9:K29" si="1">H9/F9</f>
        <v>1.0575000000000001</v>
      </c>
      <c r="L9" s="86">
        <f t="shared" ref="L9:L29" si="2">I9-G9</f>
        <v>451</v>
      </c>
      <c r="M9" s="87">
        <f t="shared" ref="M9:M29" si="3">I9/G9</f>
        <v>1.0491124904715234</v>
      </c>
    </row>
    <row r="10" spans="2:16" ht="20.100000000000001" customHeight="1" thickBot="1">
      <c r="B10" s="218"/>
      <c r="C10" s="226" t="s">
        <v>10</v>
      </c>
      <c r="D10" s="226"/>
      <c r="E10" s="197">
        <v>6645</v>
      </c>
      <c r="F10" s="92">
        <v>483</v>
      </c>
      <c r="G10" s="92">
        <v>6097</v>
      </c>
      <c r="H10" s="92">
        <v>513</v>
      </c>
      <c r="I10" s="92">
        <v>6168</v>
      </c>
      <c r="J10" s="92">
        <f t="shared" si="0"/>
        <v>30</v>
      </c>
      <c r="K10" s="93">
        <f t="shared" si="1"/>
        <v>1.0621118012422359</v>
      </c>
      <c r="L10" s="94">
        <f t="shared" si="2"/>
        <v>71</v>
      </c>
      <c r="M10" s="95">
        <f t="shared" si="3"/>
        <v>1.0116450713465639</v>
      </c>
      <c r="O10" t="s">
        <v>104</v>
      </c>
    </row>
    <row r="11" spans="2:16" ht="20.100000000000001" customHeight="1" thickBot="1">
      <c r="B11" s="217" t="s">
        <v>20</v>
      </c>
      <c r="C11" s="203" t="s">
        <v>8</v>
      </c>
      <c r="D11" s="204"/>
      <c r="E11" s="102">
        <f>E12+E16</f>
        <v>116171568</v>
      </c>
      <c r="F11" s="102">
        <f>F12+F16</f>
        <v>9369836</v>
      </c>
      <c r="G11" s="102">
        <f>G12+G16</f>
        <v>106398332</v>
      </c>
      <c r="H11" s="102">
        <f>H12+H16</f>
        <v>9614616</v>
      </c>
      <c r="I11" s="102">
        <f>I12+I16</f>
        <v>105523731</v>
      </c>
      <c r="J11" s="102">
        <f t="shared" si="0"/>
        <v>244780</v>
      </c>
      <c r="K11" s="89">
        <f t="shared" si="1"/>
        <v>1.0261242566038509</v>
      </c>
      <c r="L11" s="103">
        <f>I11-G11</f>
        <v>-874601</v>
      </c>
      <c r="M11" s="91">
        <f t="shared" si="3"/>
        <v>0.99177993692607891</v>
      </c>
    </row>
    <row r="12" spans="2:16" ht="20.100000000000001" customHeight="1">
      <c r="B12" s="218"/>
      <c r="C12" s="225" t="s">
        <v>1</v>
      </c>
      <c r="D12" s="96" t="s">
        <v>0</v>
      </c>
      <c r="E12" s="97">
        <f>SUM(E13:E15)</f>
        <v>104364741</v>
      </c>
      <c r="F12" s="97">
        <f>SUM(F13:F15)</f>
        <v>8513488</v>
      </c>
      <c r="G12" s="97">
        <f>SUM(G13:G15)</f>
        <v>95513611</v>
      </c>
      <c r="H12" s="97">
        <f>SUM(H13:H15)</f>
        <v>8727487</v>
      </c>
      <c r="I12" s="97">
        <f>SUM(I13:I15)</f>
        <v>95485450</v>
      </c>
      <c r="J12" s="98">
        <f t="shared" si="0"/>
        <v>213999</v>
      </c>
      <c r="K12" s="99">
        <f t="shared" si="1"/>
        <v>1.0251364658057895</v>
      </c>
      <c r="L12" s="100">
        <f>I12-G12</f>
        <v>-28161</v>
      </c>
      <c r="M12" s="101">
        <f t="shared" si="3"/>
        <v>0.99970516244014684</v>
      </c>
    </row>
    <row r="13" spans="2:16" ht="20.100000000000001" customHeight="1">
      <c r="B13" s="218"/>
      <c r="C13" s="210"/>
      <c r="D13" s="62" t="s">
        <v>5</v>
      </c>
      <c r="E13" s="198">
        <v>85042405</v>
      </c>
      <c r="F13" s="63">
        <v>7031409</v>
      </c>
      <c r="G13" s="63">
        <v>77690379</v>
      </c>
      <c r="H13" s="63">
        <v>7029912</v>
      </c>
      <c r="I13" s="63">
        <v>76959818</v>
      </c>
      <c r="J13" s="57">
        <f t="shared" si="0"/>
        <v>-1497</v>
      </c>
      <c r="K13" s="54">
        <f t="shared" si="1"/>
        <v>0.99978709814775391</v>
      </c>
      <c r="L13" s="64">
        <f>I13-G13</f>
        <v>-730561</v>
      </c>
      <c r="M13" s="68">
        <f t="shared" si="3"/>
        <v>0.99059650616455353</v>
      </c>
      <c r="O13" s="29"/>
    </row>
    <row r="14" spans="2:16" ht="20.100000000000001" customHeight="1">
      <c r="B14" s="218"/>
      <c r="C14" s="210"/>
      <c r="D14" s="62" t="s">
        <v>6</v>
      </c>
      <c r="E14" s="199">
        <v>15767102</v>
      </c>
      <c r="F14" s="63">
        <v>1291863</v>
      </c>
      <c r="G14" s="63">
        <v>14517516</v>
      </c>
      <c r="H14" s="63">
        <v>1459900</v>
      </c>
      <c r="I14" s="63">
        <v>15860861</v>
      </c>
      <c r="J14" s="57">
        <f t="shared" si="0"/>
        <v>168037</v>
      </c>
      <c r="K14" s="54">
        <f t="shared" si="1"/>
        <v>1.1300733901350219</v>
      </c>
      <c r="L14" s="64">
        <f t="shared" si="2"/>
        <v>1343345</v>
      </c>
      <c r="M14" s="68">
        <f t="shared" si="3"/>
        <v>1.0925327032530909</v>
      </c>
    </row>
    <row r="15" spans="2:16" ht="20.100000000000001" customHeight="1">
      <c r="B15" s="218"/>
      <c r="C15" s="210"/>
      <c r="D15" s="62" t="s">
        <v>13</v>
      </c>
      <c r="E15" s="199">
        <v>3555234</v>
      </c>
      <c r="F15" s="63">
        <v>190216</v>
      </c>
      <c r="G15" s="63">
        <v>3305716</v>
      </c>
      <c r="H15" s="63">
        <v>237675</v>
      </c>
      <c r="I15" s="63">
        <v>2664771</v>
      </c>
      <c r="J15" s="57">
        <f t="shared" si="0"/>
        <v>47459</v>
      </c>
      <c r="K15" s="54">
        <f>H15/F15</f>
        <v>1.2495005677755815</v>
      </c>
      <c r="L15" s="64">
        <f t="shared" si="2"/>
        <v>-640945</v>
      </c>
      <c r="M15" s="68">
        <f t="shared" si="3"/>
        <v>0.80611008326184097</v>
      </c>
    </row>
    <row r="16" spans="2:16" ht="20.100000000000001" customHeight="1">
      <c r="B16" s="218"/>
      <c r="C16" s="210" t="s">
        <v>2</v>
      </c>
      <c r="D16" s="60" t="s">
        <v>0</v>
      </c>
      <c r="E16" s="59">
        <f>SUM(E17:E19)</f>
        <v>11806827</v>
      </c>
      <c r="F16" s="59">
        <f>SUM(F17:F19)</f>
        <v>856348</v>
      </c>
      <c r="G16" s="59">
        <f>SUM(G17:G19)</f>
        <v>10884721</v>
      </c>
      <c r="H16" s="59">
        <f>SUM(H17:H19)</f>
        <v>887129</v>
      </c>
      <c r="I16" s="59">
        <f>SUM(I17:I19)</f>
        <v>10038281</v>
      </c>
      <c r="J16" s="52">
        <f t="shared" si="0"/>
        <v>30781</v>
      </c>
      <c r="K16" s="53">
        <f t="shared" si="1"/>
        <v>1.0359444991989237</v>
      </c>
      <c r="L16" s="61">
        <f t="shared" si="2"/>
        <v>-846440</v>
      </c>
      <c r="M16" s="69">
        <f t="shared" si="3"/>
        <v>0.92223594890489158</v>
      </c>
    </row>
    <row r="17" spans="2:13" ht="20.100000000000001" customHeight="1">
      <c r="B17" s="218"/>
      <c r="C17" s="210"/>
      <c r="D17" s="62" t="s">
        <v>3</v>
      </c>
      <c r="E17" s="201">
        <v>8236740</v>
      </c>
      <c r="F17" s="63">
        <v>664917</v>
      </c>
      <c r="G17" s="63">
        <v>7604673</v>
      </c>
      <c r="H17" s="63">
        <v>689278</v>
      </c>
      <c r="I17" s="63">
        <v>6976145</v>
      </c>
      <c r="J17" s="57">
        <f t="shared" si="0"/>
        <v>24361</v>
      </c>
      <c r="K17" s="54">
        <f t="shared" si="1"/>
        <v>1.0366376555269303</v>
      </c>
      <c r="L17" s="64">
        <f t="shared" si="2"/>
        <v>-628528</v>
      </c>
      <c r="M17" s="68">
        <f t="shared" si="3"/>
        <v>0.91734976638706223</v>
      </c>
    </row>
    <row r="18" spans="2:13" ht="20.100000000000001" customHeight="1">
      <c r="B18" s="218"/>
      <c r="C18" s="210"/>
      <c r="D18" s="62" t="s">
        <v>4</v>
      </c>
      <c r="E18" s="201">
        <v>3509290</v>
      </c>
      <c r="F18" s="63">
        <v>191431</v>
      </c>
      <c r="G18" s="63">
        <v>3219251</v>
      </c>
      <c r="H18" s="63">
        <v>197851</v>
      </c>
      <c r="I18" s="63">
        <v>3062136</v>
      </c>
      <c r="J18" s="57">
        <f t="shared" si="0"/>
        <v>6420</v>
      </c>
      <c r="K18" s="54">
        <f t="shared" si="1"/>
        <v>1.0335368879648541</v>
      </c>
      <c r="L18" s="64">
        <f t="shared" si="2"/>
        <v>-157115</v>
      </c>
      <c r="M18" s="68">
        <f t="shared" si="3"/>
        <v>0.95119516931112236</v>
      </c>
    </row>
    <row r="19" spans="2:13" ht="20.100000000000001" customHeight="1">
      <c r="B19" s="218"/>
      <c r="C19" s="210"/>
      <c r="D19" s="62" t="s">
        <v>17</v>
      </c>
      <c r="E19" s="200">
        <v>60797</v>
      </c>
      <c r="F19" s="63">
        <v>0</v>
      </c>
      <c r="G19" s="63">
        <v>60797</v>
      </c>
      <c r="H19" s="63">
        <v>0</v>
      </c>
      <c r="I19" s="63">
        <v>0</v>
      </c>
      <c r="J19" s="65">
        <f t="shared" si="0"/>
        <v>0</v>
      </c>
      <c r="K19" s="66">
        <v>0</v>
      </c>
      <c r="L19" s="67">
        <f t="shared" si="2"/>
        <v>-60797</v>
      </c>
      <c r="M19" s="68" t="s">
        <v>75</v>
      </c>
    </row>
    <row r="20" spans="2:13" ht="20.100000000000001" customHeight="1" thickBot="1">
      <c r="B20" s="76"/>
      <c r="C20" s="104"/>
      <c r="D20" s="105"/>
      <c r="E20" s="106"/>
      <c r="F20" s="107"/>
      <c r="G20" s="107"/>
      <c r="H20" s="107"/>
      <c r="I20" s="106"/>
      <c r="J20" s="108"/>
      <c r="K20" s="214" t="s">
        <v>21</v>
      </c>
      <c r="L20" s="215"/>
      <c r="M20" s="216"/>
    </row>
    <row r="21" spans="2:13" ht="20.100000000000001" customHeight="1" thickBot="1">
      <c r="B21" s="219" t="s">
        <v>90</v>
      </c>
      <c r="C21" s="203" t="s">
        <v>8</v>
      </c>
      <c r="D21" s="204"/>
      <c r="E21" s="111">
        <f>SUM(E22,E26)</f>
        <v>852672</v>
      </c>
      <c r="F21" s="112">
        <f>SUM(F22,F26)</f>
        <v>65897</v>
      </c>
      <c r="G21" s="112">
        <f>SUM(G22,G26)</f>
        <v>790765</v>
      </c>
      <c r="H21" s="111">
        <f>SUM(H22,H26)</f>
        <v>73309.25</v>
      </c>
      <c r="I21" s="111">
        <f>SUM(I22,I26)</f>
        <v>747255</v>
      </c>
      <c r="J21" s="113">
        <f t="shared" si="0"/>
        <v>7412.25</v>
      </c>
      <c r="K21" s="114">
        <f t="shared" si="1"/>
        <v>1.1124823588327237</v>
      </c>
      <c r="L21" s="115">
        <f t="shared" si="2"/>
        <v>-43510</v>
      </c>
      <c r="M21" s="91">
        <f>I21/G21</f>
        <v>0.94497733207716583</v>
      </c>
    </row>
    <row r="22" spans="2:13" ht="20.100000000000001" customHeight="1">
      <c r="B22" s="218"/>
      <c r="C22" s="225" t="s">
        <v>1</v>
      </c>
      <c r="D22" s="96" t="s">
        <v>0</v>
      </c>
      <c r="E22" s="96">
        <f>SUM(E23:E25)</f>
        <v>852672</v>
      </c>
      <c r="F22" s="96">
        <f>SUM(F23:F25)</f>
        <v>65897</v>
      </c>
      <c r="G22" s="96">
        <f>SUM(G23:G25)</f>
        <v>790765</v>
      </c>
      <c r="H22" s="96">
        <f>SUM(H23:H25)</f>
        <v>73309.25</v>
      </c>
      <c r="I22" s="96">
        <f>SUM(I23:I25)</f>
        <v>747255</v>
      </c>
      <c r="J22" s="98">
        <f t="shared" si="0"/>
        <v>7412.25</v>
      </c>
      <c r="K22" s="109">
        <f t="shared" si="1"/>
        <v>1.1124823588327237</v>
      </c>
      <c r="L22" s="110">
        <f t="shared" si="2"/>
        <v>-43510</v>
      </c>
      <c r="M22" s="101">
        <f t="shared" si="3"/>
        <v>0.94497733207716583</v>
      </c>
    </row>
    <row r="23" spans="2:13" ht="20.100000000000001" customHeight="1">
      <c r="B23" s="218"/>
      <c r="C23" s="210"/>
      <c r="D23" s="71" t="s">
        <v>5</v>
      </c>
      <c r="E23" s="202">
        <v>416510</v>
      </c>
      <c r="F23" s="72">
        <v>31368</v>
      </c>
      <c r="G23" s="72">
        <v>385315</v>
      </c>
      <c r="H23" s="71">
        <v>35358</v>
      </c>
      <c r="I23" s="71">
        <v>371830</v>
      </c>
      <c r="J23" s="57">
        <f t="shared" si="0"/>
        <v>3990</v>
      </c>
      <c r="K23" s="56">
        <f t="shared" si="1"/>
        <v>1.1271996939556235</v>
      </c>
      <c r="L23" s="58">
        <f t="shared" si="2"/>
        <v>-13485</v>
      </c>
      <c r="M23" s="68">
        <f t="shared" si="3"/>
        <v>0.96500266016116687</v>
      </c>
    </row>
    <row r="24" spans="2:13" ht="20.100000000000001" customHeight="1">
      <c r="B24" s="218"/>
      <c r="C24" s="210"/>
      <c r="D24" s="70" t="s">
        <v>14</v>
      </c>
      <c r="E24" s="202">
        <v>418521</v>
      </c>
      <c r="F24" s="72">
        <v>33748</v>
      </c>
      <c r="G24" s="72">
        <v>388264</v>
      </c>
      <c r="H24" s="71">
        <v>37349</v>
      </c>
      <c r="I24" s="71">
        <v>367829</v>
      </c>
      <c r="J24" s="57">
        <f t="shared" si="0"/>
        <v>3601</v>
      </c>
      <c r="K24" s="56">
        <f t="shared" si="1"/>
        <v>1.1067026194144838</v>
      </c>
      <c r="L24" s="55">
        <f t="shared" si="2"/>
        <v>-20435</v>
      </c>
      <c r="M24" s="68">
        <f t="shared" si="3"/>
        <v>0.94736828549646634</v>
      </c>
    </row>
    <row r="25" spans="2:13" ht="20.100000000000001" customHeight="1">
      <c r="B25" s="218"/>
      <c r="C25" s="210"/>
      <c r="D25" s="70" t="s">
        <v>13</v>
      </c>
      <c r="E25" s="202">
        <v>17641</v>
      </c>
      <c r="F25" s="71">
        <v>781</v>
      </c>
      <c r="G25" s="73">
        <v>17186</v>
      </c>
      <c r="H25" s="71">
        <v>602.25</v>
      </c>
      <c r="I25" s="71">
        <v>7596</v>
      </c>
      <c r="J25" s="57">
        <f t="shared" si="0"/>
        <v>-178.75</v>
      </c>
      <c r="K25" s="56">
        <f t="shared" si="1"/>
        <v>0.77112676056338025</v>
      </c>
      <c r="L25" s="55">
        <f t="shared" si="2"/>
        <v>-9590</v>
      </c>
      <c r="M25" s="68">
        <f t="shared" si="3"/>
        <v>0.44198766437798209</v>
      </c>
    </row>
    <row r="26" spans="2:13" ht="20.100000000000001" customHeight="1">
      <c r="B26" s="218"/>
      <c r="C26" s="210" t="s">
        <v>2</v>
      </c>
      <c r="D26" s="62" t="s">
        <v>49</v>
      </c>
      <c r="E26" s="66">
        <f>SUM(E27:E28)</f>
        <v>0</v>
      </c>
      <c r="F26" s="66">
        <f>SUM(F27:F28)</f>
        <v>0</v>
      </c>
      <c r="G26" s="66">
        <f>SUM(G27:G28)</f>
        <v>0</v>
      </c>
      <c r="H26" s="66">
        <v>0</v>
      </c>
      <c r="I26" s="66">
        <f>SUM(I27:I28)</f>
        <v>0</v>
      </c>
      <c r="J26" s="74">
        <f t="shared" si="0"/>
        <v>0</v>
      </c>
      <c r="K26" s="66">
        <v>0</v>
      </c>
      <c r="L26" s="55">
        <f t="shared" si="2"/>
        <v>0</v>
      </c>
      <c r="M26" s="77">
        <v>0</v>
      </c>
    </row>
    <row r="27" spans="2:13" ht="20.100000000000001" customHeight="1">
      <c r="B27" s="218"/>
      <c r="C27" s="210"/>
      <c r="D27" s="62" t="s">
        <v>49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4">
        <f t="shared" si="0"/>
        <v>0</v>
      </c>
      <c r="K27" s="66">
        <v>0</v>
      </c>
      <c r="L27" s="55">
        <f t="shared" si="2"/>
        <v>0</v>
      </c>
      <c r="M27" s="77">
        <v>0</v>
      </c>
    </row>
    <row r="28" spans="2:13" ht="20.100000000000001" customHeight="1" thickBot="1">
      <c r="B28" s="218"/>
      <c r="C28" s="210"/>
      <c r="D28" s="62" t="s">
        <v>49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7">
        <f t="shared" si="0"/>
        <v>0</v>
      </c>
      <c r="K28" s="118">
        <v>0</v>
      </c>
      <c r="L28" s="119">
        <f t="shared" si="2"/>
        <v>0</v>
      </c>
      <c r="M28" s="120">
        <v>0</v>
      </c>
    </row>
    <row r="29" spans="2:13" s="27" customFormat="1" ht="20.100000000000001" customHeight="1" thickBot="1">
      <c r="B29" s="211" t="s">
        <v>47</v>
      </c>
      <c r="C29" s="212"/>
      <c r="D29" s="213"/>
      <c r="E29" s="121">
        <v>1635790</v>
      </c>
      <c r="F29" s="122">
        <v>141047</v>
      </c>
      <c r="G29" s="122">
        <v>1487835</v>
      </c>
      <c r="H29" s="122">
        <v>137964</v>
      </c>
      <c r="I29" s="122">
        <v>1478115</v>
      </c>
      <c r="J29" s="113">
        <f t="shared" si="0"/>
        <v>-3083</v>
      </c>
      <c r="K29" s="89">
        <f t="shared" si="1"/>
        <v>0.97814203776046282</v>
      </c>
      <c r="L29" s="90">
        <f t="shared" si="2"/>
        <v>-9720</v>
      </c>
      <c r="M29" s="91">
        <f t="shared" si="3"/>
        <v>0.99346701751202249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  <mergeCell ref="C26:C28"/>
  </mergeCells>
  <phoneticPr fontId="8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/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27" t="s">
        <v>91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30" t="s">
        <v>50</v>
      </c>
      <c r="H5" s="230"/>
      <c r="I5" s="43"/>
      <c r="J5"/>
      <c r="K5"/>
      <c r="L5"/>
      <c r="M5" s="42"/>
      <c r="N5" s="42"/>
      <c r="O5" s="230" t="s">
        <v>92</v>
      </c>
      <c r="P5" s="230"/>
    </row>
    <row r="6" spans="2:29" s="12" customFormat="1" ht="32.25" customHeight="1">
      <c r="B6" s="178" t="s">
        <v>98</v>
      </c>
      <c r="C6" s="179">
        <v>2018</v>
      </c>
      <c r="D6" s="179">
        <v>2019</v>
      </c>
      <c r="E6" s="179">
        <v>2020</v>
      </c>
      <c r="F6" s="179">
        <v>2021</v>
      </c>
      <c r="G6" s="186">
        <v>2022</v>
      </c>
      <c r="H6" s="188" t="s">
        <v>110</v>
      </c>
      <c r="I6" s="47"/>
      <c r="J6" s="178" t="s">
        <v>98</v>
      </c>
      <c r="K6" s="179">
        <v>2018</v>
      </c>
      <c r="L6" s="179">
        <v>2019</v>
      </c>
      <c r="M6" s="179">
        <v>2020</v>
      </c>
      <c r="N6" s="179">
        <v>2021</v>
      </c>
      <c r="O6" s="186">
        <v>2022</v>
      </c>
      <c r="P6" s="191" t="str">
        <f>$H$6</f>
        <v>2023.11.</v>
      </c>
    </row>
    <row r="7" spans="2:29" s="12" customFormat="1" ht="39.200000000000003" customHeight="1" thickBot="1">
      <c r="B7" s="180" t="s">
        <v>96</v>
      </c>
      <c r="C7" s="181">
        <v>18829</v>
      </c>
      <c r="D7" s="181">
        <v>18416</v>
      </c>
      <c r="E7" s="181">
        <v>17409</v>
      </c>
      <c r="F7" s="181">
        <v>16473</v>
      </c>
      <c r="G7" s="187">
        <v>16626</v>
      </c>
      <c r="H7" s="189">
        <f>통계요약!I8</f>
        <v>15802</v>
      </c>
      <c r="I7" s="48"/>
      <c r="J7" s="182" t="s">
        <v>95</v>
      </c>
      <c r="K7" s="183">
        <v>115146882</v>
      </c>
      <c r="L7" s="183">
        <v>113201331</v>
      </c>
      <c r="M7" s="183">
        <v>106847350</v>
      </c>
      <c r="N7" s="183">
        <v>116876152</v>
      </c>
      <c r="O7" s="190">
        <v>116171568</v>
      </c>
      <c r="P7" s="192">
        <f>통계요약!I11</f>
        <v>105523731</v>
      </c>
    </row>
    <row r="8" spans="2:29" s="12" customFormat="1" ht="21" customHeight="1" thickBot="1">
      <c r="B8"/>
      <c r="C8"/>
      <c r="D8"/>
      <c r="E8" s="42"/>
      <c r="F8" s="42"/>
      <c r="G8" s="230" t="s">
        <v>93</v>
      </c>
      <c r="H8" s="230"/>
      <c r="I8" s="43"/>
      <c r="J8" s="13"/>
      <c r="K8" s="14"/>
      <c r="L8" s="14"/>
      <c r="M8" s="42"/>
      <c r="N8" s="42"/>
      <c r="O8" s="230" t="s">
        <v>94</v>
      </c>
      <c r="P8" s="230"/>
    </row>
    <row r="9" spans="2:29" s="12" customFormat="1" ht="32.25" customHeight="1">
      <c r="B9" s="178" t="s">
        <v>98</v>
      </c>
      <c r="C9" s="179">
        <v>2018</v>
      </c>
      <c r="D9" s="179">
        <v>2019</v>
      </c>
      <c r="E9" s="179">
        <v>2020</v>
      </c>
      <c r="F9" s="179">
        <v>2021</v>
      </c>
      <c r="G9" s="186">
        <v>2022</v>
      </c>
      <c r="H9" s="191" t="str">
        <f>$H$6</f>
        <v>2023.11.</v>
      </c>
      <c r="I9" s="49"/>
      <c r="J9" s="178" t="s">
        <v>98</v>
      </c>
      <c r="K9" s="179">
        <v>2018</v>
      </c>
      <c r="L9" s="179">
        <v>2019</v>
      </c>
      <c r="M9" s="179">
        <v>2020</v>
      </c>
      <c r="N9" s="179">
        <v>2021</v>
      </c>
      <c r="O9" s="186">
        <v>2022</v>
      </c>
      <c r="P9" s="191" t="str">
        <f>$H$6</f>
        <v>2023.11.</v>
      </c>
    </row>
    <row r="10" spans="2:29" s="12" customFormat="1" ht="37.5" customHeight="1" thickBot="1">
      <c r="B10" s="184" t="s">
        <v>22</v>
      </c>
      <c r="C10" s="185">
        <v>689852</v>
      </c>
      <c r="D10" s="185">
        <v>725047</v>
      </c>
      <c r="E10" s="185">
        <v>792643</v>
      </c>
      <c r="F10" s="185">
        <v>936246</v>
      </c>
      <c r="G10" s="193">
        <v>851953</v>
      </c>
      <c r="H10" s="194">
        <f>통계요약!I21</f>
        <v>747255</v>
      </c>
      <c r="I10" s="50"/>
      <c r="J10" s="184" t="s">
        <v>97</v>
      </c>
      <c r="K10" s="181">
        <v>452480</v>
      </c>
      <c r="L10" s="181">
        <v>623733</v>
      </c>
      <c r="M10" s="181">
        <v>40267</v>
      </c>
      <c r="N10" s="181">
        <v>0</v>
      </c>
      <c r="O10" s="187">
        <v>0</v>
      </c>
      <c r="P10" s="194">
        <v>37078</v>
      </c>
      <c r="AC10" s="26"/>
    </row>
    <row r="11" spans="2:29" ht="21" customHeight="1"/>
    <row r="12" spans="2:29" s="19" customFormat="1" ht="21" customHeight="1">
      <c r="B12" s="229" t="s">
        <v>102</v>
      </c>
      <c r="C12" s="229"/>
      <c r="D12" s="229"/>
      <c r="I12" s="51"/>
    </row>
    <row r="13" spans="2:29" s="12" customFormat="1" ht="21" customHeight="1">
      <c r="B13" s="228" t="s">
        <v>99</v>
      </c>
      <c r="C13" s="228"/>
      <c r="I13" s="46"/>
      <c r="J13" s="228" t="s">
        <v>100</v>
      </c>
      <c r="K13" s="228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28" t="s">
        <v>101</v>
      </c>
      <c r="C23" s="228"/>
      <c r="I23" s="46"/>
      <c r="J23" s="228" t="s">
        <v>103</v>
      </c>
      <c r="K23" s="228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9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"/>
  <sheetViews>
    <sheetView showGridLines="0" zoomScale="90" zoomScaleNormal="90" workbookViewId="0">
      <selection activeCell="G13" sqref="G13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05" t="s">
        <v>111</v>
      </c>
      <c r="C3" s="206"/>
      <c r="D3" s="206"/>
      <c r="E3" s="206"/>
      <c r="F3" s="206"/>
      <c r="G3" s="206"/>
      <c r="H3" s="206"/>
      <c r="I3" s="206"/>
      <c r="J3" s="206"/>
      <c r="K3" s="206"/>
      <c r="L3" s="207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34" t="s">
        <v>23</v>
      </c>
      <c r="C6" s="240" t="s">
        <v>24</v>
      </c>
      <c r="D6" s="233" t="s">
        <v>76</v>
      </c>
      <c r="E6" s="233"/>
      <c r="F6" s="233"/>
      <c r="G6" s="233" t="s">
        <v>78</v>
      </c>
      <c r="H6" s="233"/>
      <c r="I6" s="233" t="s">
        <v>25</v>
      </c>
      <c r="J6" s="233"/>
      <c r="K6" s="233"/>
      <c r="L6" s="239"/>
      <c r="X6" s="20" t="s">
        <v>88</v>
      </c>
    </row>
    <row r="7" spans="1:35" ht="21.95" customHeight="1" thickBot="1">
      <c r="B7" s="235"/>
      <c r="C7" s="241"/>
      <c r="D7" s="142" t="s">
        <v>26</v>
      </c>
      <c r="E7" s="142" t="str">
        <f>통계요약!F7</f>
        <v>11월(A)</v>
      </c>
      <c r="F7" s="142" t="str">
        <f>통계요약!G7</f>
        <v xml:space="preserve"> 11월누계(B) </v>
      </c>
      <c r="G7" s="143" t="str">
        <f>통계요약!H7</f>
        <v>11월(C)</v>
      </c>
      <c r="H7" s="142" t="str">
        <f>통계요약!I7</f>
        <v xml:space="preserve"> 11월누계(D) </v>
      </c>
      <c r="I7" s="142" t="s">
        <v>27</v>
      </c>
      <c r="J7" s="144" t="s">
        <v>28</v>
      </c>
      <c r="K7" s="145" t="s">
        <v>29</v>
      </c>
      <c r="L7" s="146" t="s">
        <v>28</v>
      </c>
    </row>
    <row r="8" spans="1:35" ht="21.95" customHeight="1">
      <c r="B8" s="236" t="s">
        <v>30</v>
      </c>
      <c r="C8" s="147" t="s">
        <v>31</v>
      </c>
      <c r="D8" s="148">
        <f>SUM(D10,D12,D14,D16,D18,D20,D22,D26,D24,D30,D32,D34,D36,D28,D38)</f>
        <v>852672</v>
      </c>
      <c r="E8" s="148">
        <f>SUM(E10,E12,E14,E16,E18,E20,E22,E26,E24,E30,E32,E34,E36,E28,E38)</f>
        <v>65897</v>
      </c>
      <c r="F8" s="148">
        <f>SUM(F10,F12,F14,F16,F18,F20,F22,F26,F24,F30,F32,F34,F36,F28,F38)</f>
        <v>790765</v>
      </c>
      <c r="G8" s="148">
        <f>SUM(G10,G12,G14,G16,G18,G20,G22,G26,G24,G30,G32,G34,G36,G28,)</f>
        <v>73309</v>
      </c>
      <c r="H8" s="149">
        <f>SUM(H10,H12,H14,H16,H18,H20,H22,H26,H24,H30,H32,H34,H36,H28,)</f>
        <v>747255</v>
      </c>
      <c r="I8" s="150">
        <f t="shared" ref="I8:I9" si="0">G8-E8</f>
        <v>7412</v>
      </c>
      <c r="J8" s="151">
        <f t="shared" ref="J8:J9" si="1">(G8/E8*100)-100</f>
        <v>11.247856503330951</v>
      </c>
      <c r="K8" s="152">
        <f t="shared" ref="K8:K9" si="2">H8-F8</f>
        <v>-43510</v>
      </c>
      <c r="L8" s="153">
        <f t="shared" ref="L8:L9" si="3">(H8/F8*100)-100</f>
        <v>-5.5022667922834216</v>
      </c>
    </row>
    <row r="9" spans="1:35" ht="21.95" customHeight="1" thickBot="1">
      <c r="B9" s="237"/>
      <c r="C9" s="154" t="s">
        <v>32</v>
      </c>
      <c r="D9" s="155">
        <f>SUM(D11,D13,D15,D17,D19,D21,D23,D25,D27,D31,D33,D35,D37,D29,D39)</f>
        <v>13157106</v>
      </c>
      <c r="E9" s="155">
        <f>SUM(E11,E13,E15,E17,E19,E21,E23,E25,E27,E31,E33,E35,E37,E29,E39)</f>
        <v>810901</v>
      </c>
      <c r="F9" s="155">
        <f>SUM(F11,F13,F15,F17,F19,F21,F23,F25,F27,F31,F33,F35,F37,F29,F39)</f>
        <v>12211685</v>
      </c>
      <c r="G9" s="155">
        <f>SUM(G11,G13,G15,G17,G19,G21,G23,G25,G27,G31,G33,G35,G37,G29)</f>
        <v>1084217</v>
      </c>
      <c r="H9" s="156">
        <f>SUM(H11,H13,H15,H17,H19,H21,H23,H25,H27,H31,H33,H35,H37,H29)</f>
        <v>11261756</v>
      </c>
      <c r="I9" s="157">
        <f t="shared" si="0"/>
        <v>273316</v>
      </c>
      <c r="J9" s="158">
        <f t="shared" si="1"/>
        <v>33.705224188896068</v>
      </c>
      <c r="K9" s="159">
        <f t="shared" si="2"/>
        <v>-949929</v>
      </c>
      <c r="L9" s="160">
        <f t="shared" si="3"/>
        <v>-7.7788527954987359</v>
      </c>
    </row>
    <row r="10" spans="1:35" ht="21.2" customHeight="1">
      <c r="B10" s="238" t="s">
        <v>33</v>
      </c>
      <c r="C10" s="161" t="s">
        <v>31</v>
      </c>
      <c r="D10" s="162">
        <v>56152</v>
      </c>
      <c r="E10" s="163">
        <v>4689</v>
      </c>
      <c r="F10" s="163">
        <v>51420</v>
      </c>
      <c r="G10" s="164">
        <v>4805</v>
      </c>
      <c r="H10" s="163">
        <v>50556</v>
      </c>
      <c r="I10" s="165">
        <f>IFERROR(G10-E10,"-")</f>
        <v>116</v>
      </c>
      <c r="J10" s="166">
        <f>IFERROR((G10/E10*100)-100,"-")</f>
        <v>2.4738750266581491</v>
      </c>
      <c r="K10" s="167">
        <f>IFERROR(H10-F10,"-")</f>
        <v>-864</v>
      </c>
      <c r="L10" s="168">
        <f>IFERROR((H10/F10*100)-100,"-")</f>
        <v>-1.6802800466744401</v>
      </c>
      <c r="M10" s="30"/>
      <c r="O10" s="20" t="s">
        <v>51</v>
      </c>
      <c r="U10" s="195"/>
      <c r="V10" s="195"/>
    </row>
    <row r="11" spans="1:35" ht="21.2" customHeight="1">
      <c r="B11" s="231"/>
      <c r="C11" s="125" t="s">
        <v>32</v>
      </c>
      <c r="D11" s="126">
        <v>1063612</v>
      </c>
      <c r="E11" s="127">
        <v>90058</v>
      </c>
      <c r="F11" s="127">
        <v>971614</v>
      </c>
      <c r="G11" s="128">
        <v>93474</v>
      </c>
      <c r="H11" s="127">
        <v>960604</v>
      </c>
      <c r="I11" s="129">
        <f t="shared" ref="I11:I39" si="4">IFERROR(G11-E11,"-")</f>
        <v>3416</v>
      </c>
      <c r="J11" s="130">
        <f t="shared" ref="J11:J39" si="5">IFERROR((G11/E11*100)-100,"-")</f>
        <v>3.7931111061760134</v>
      </c>
      <c r="K11" s="131">
        <f t="shared" ref="K11:K39" si="6">IFERROR(H11-F11,"-")</f>
        <v>-11010</v>
      </c>
      <c r="L11" s="134">
        <f t="shared" ref="L11:L39" si="7">IFERROR((H11/F11*100)-100,"-")</f>
        <v>-1.1331660515389785</v>
      </c>
      <c r="O11" s="20" t="s">
        <v>51</v>
      </c>
      <c r="U11" s="195"/>
      <c r="V11" s="195"/>
    </row>
    <row r="12" spans="1:35" ht="21.2" customHeight="1">
      <c r="B12" s="231" t="s">
        <v>34</v>
      </c>
      <c r="C12" s="169" t="s">
        <v>31</v>
      </c>
      <c r="D12" s="170">
        <v>70331</v>
      </c>
      <c r="E12" s="171">
        <v>5627</v>
      </c>
      <c r="F12" s="171">
        <v>65232</v>
      </c>
      <c r="G12" s="172">
        <v>4102</v>
      </c>
      <c r="H12" s="171">
        <v>41610</v>
      </c>
      <c r="I12" s="173">
        <f t="shared" si="4"/>
        <v>-1525</v>
      </c>
      <c r="J12" s="174">
        <f t="shared" si="5"/>
        <v>-27.101475031100051</v>
      </c>
      <c r="K12" s="175">
        <f t="shared" si="6"/>
        <v>-23622</v>
      </c>
      <c r="L12" s="176">
        <f t="shared" si="7"/>
        <v>-36.212288447387785</v>
      </c>
      <c r="O12" s="20" t="s">
        <v>52</v>
      </c>
      <c r="U12" s="195"/>
      <c r="V12" s="195"/>
      <c r="AC12" s="34" t="s">
        <v>81</v>
      </c>
      <c r="AD12" s="34" t="s">
        <v>82</v>
      </c>
      <c r="AE12" s="34" t="s">
        <v>83</v>
      </c>
      <c r="AF12" s="34" t="s">
        <v>84</v>
      </c>
      <c r="AG12" s="34" t="s">
        <v>85</v>
      </c>
    </row>
    <row r="13" spans="1:35" ht="21.2" customHeight="1">
      <c r="B13" s="231"/>
      <c r="C13" s="125" t="s">
        <v>32</v>
      </c>
      <c r="D13" s="126">
        <v>1023659</v>
      </c>
      <c r="E13" s="127">
        <v>74144</v>
      </c>
      <c r="F13" s="127">
        <v>946441</v>
      </c>
      <c r="G13" s="128">
        <v>56386</v>
      </c>
      <c r="H13" s="127">
        <v>577584</v>
      </c>
      <c r="I13" s="129">
        <f t="shared" si="4"/>
        <v>-17758</v>
      </c>
      <c r="J13" s="130">
        <f t="shared" si="5"/>
        <v>-23.95069054812258</v>
      </c>
      <c r="K13" s="131">
        <f t="shared" si="6"/>
        <v>-368857</v>
      </c>
      <c r="L13" s="134">
        <f t="shared" si="7"/>
        <v>-38.973058014181547</v>
      </c>
      <c r="O13" s="20" t="s">
        <v>52</v>
      </c>
      <c r="U13" s="195"/>
      <c r="V13" s="195"/>
      <c r="AC13" s="33" t="s">
        <v>86</v>
      </c>
      <c r="AD13" s="35">
        <f>E10+E12</f>
        <v>10316</v>
      </c>
      <c r="AE13" s="35">
        <f>F10+F12</f>
        <v>116652</v>
      </c>
      <c r="AF13" s="35">
        <f>G10+G12</f>
        <v>8907</v>
      </c>
      <c r="AG13" s="35">
        <f>H10+H12</f>
        <v>92166</v>
      </c>
      <c r="AH13" s="36">
        <f t="shared" ref="AH13:AI15" si="8">(AF13/AD13*100)-100</f>
        <v>-13.658394726638235</v>
      </c>
      <c r="AI13" s="36">
        <f t="shared" si="8"/>
        <v>-20.990638823166336</v>
      </c>
    </row>
    <row r="14" spans="1:35" ht="21.2" customHeight="1">
      <c r="B14" s="231" t="s">
        <v>72</v>
      </c>
      <c r="C14" s="169" t="s">
        <v>31</v>
      </c>
      <c r="D14" s="170">
        <v>11</v>
      </c>
      <c r="E14" s="177">
        <v>0</v>
      </c>
      <c r="F14" s="171">
        <v>11</v>
      </c>
      <c r="G14" s="177">
        <v>0</v>
      </c>
      <c r="H14" s="177">
        <v>0</v>
      </c>
      <c r="I14" s="173">
        <f t="shared" si="4"/>
        <v>0</v>
      </c>
      <c r="J14" s="174" t="str">
        <f t="shared" si="5"/>
        <v>-</v>
      </c>
      <c r="K14" s="175">
        <f t="shared" si="6"/>
        <v>-11</v>
      </c>
      <c r="L14" s="176">
        <f t="shared" si="7"/>
        <v>-100</v>
      </c>
      <c r="O14" s="20" t="s">
        <v>73</v>
      </c>
      <c r="U14" s="195"/>
      <c r="V14" s="195"/>
      <c r="AC14" s="33" t="s">
        <v>87</v>
      </c>
      <c r="AD14" s="35">
        <f>E18+E20+E22</f>
        <v>35340</v>
      </c>
      <c r="AE14" s="35">
        <f>F18+F20+F22</f>
        <v>423959</v>
      </c>
      <c r="AF14" s="35">
        <f>G18+G20+G22</f>
        <v>43311</v>
      </c>
      <c r="AG14" s="35">
        <f>H18+H20+H22</f>
        <v>449984</v>
      </c>
      <c r="AH14" s="36">
        <f t="shared" si="8"/>
        <v>22.555178268251268</v>
      </c>
      <c r="AI14" s="36">
        <f t="shared" si="8"/>
        <v>6.1385652857941579</v>
      </c>
    </row>
    <row r="15" spans="1:35" ht="21.2" customHeight="1">
      <c r="B15" s="231"/>
      <c r="C15" s="125" t="s">
        <v>32</v>
      </c>
      <c r="D15" s="126">
        <v>39</v>
      </c>
      <c r="E15" s="132">
        <v>0</v>
      </c>
      <c r="F15" s="127">
        <v>39</v>
      </c>
      <c r="G15" s="132">
        <v>0</v>
      </c>
      <c r="H15" s="132">
        <v>0</v>
      </c>
      <c r="I15" s="129">
        <f t="shared" si="4"/>
        <v>0</v>
      </c>
      <c r="J15" s="130" t="str">
        <f t="shared" si="5"/>
        <v>-</v>
      </c>
      <c r="K15" s="131">
        <f t="shared" si="6"/>
        <v>-39</v>
      </c>
      <c r="L15" s="134">
        <f t="shared" si="7"/>
        <v>-100</v>
      </c>
      <c r="O15" s="20" t="s">
        <v>73</v>
      </c>
      <c r="AC15" s="33" t="s">
        <v>80</v>
      </c>
      <c r="AD15" s="35">
        <f>E32+E34+E36</f>
        <v>20241</v>
      </c>
      <c r="AE15" s="35">
        <f>F32+F34+F36</f>
        <v>249744</v>
      </c>
      <c r="AF15" s="35">
        <f>G32+G34+G36</f>
        <v>21091</v>
      </c>
      <c r="AG15" s="35">
        <f>H32+H34+H36</f>
        <v>205105</v>
      </c>
      <c r="AH15" s="36">
        <f t="shared" si="8"/>
        <v>4.1993972629810798</v>
      </c>
      <c r="AI15" s="36">
        <f t="shared" si="8"/>
        <v>-17.873902876545571</v>
      </c>
    </row>
    <row r="16" spans="1:35" ht="21.2" customHeight="1">
      <c r="B16" s="231" t="s">
        <v>46</v>
      </c>
      <c r="C16" s="169" t="s">
        <v>31</v>
      </c>
      <c r="D16" s="177">
        <v>0</v>
      </c>
      <c r="E16" s="177">
        <v>0</v>
      </c>
      <c r="F16" s="177">
        <v>0</v>
      </c>
      <c r="G16" s="177">
        <v>0</v>
      </c>
      <c r="H16" s="177">
        <v>0</v>
      </c>
      <c r="I16" s="173">
        <f t="shared" si="4"/>
        <v>0</v>
      </c>
      <c r="J16" s="174" t="str">
        <f t="shared" si="5"/>
        <v>-</v>
      </c>
      <c r="K16" s="175">
        <f t="shared" si="6"/>
        <v>0</v>
      </c>
      <c r="L16" s="176" t="str">
        <f t="shared" si="7"/>
        <v>-</v>
      </c>
      <c r="O16" s="20" t="s">
        <v>53</v>
      </c>
    </row>
    <row r="17" spans="2:15" ht="21.2" customHeight="1">
      <c r="B17" s="231"/>
      <c r="C17" s="125" t="s">
        <v>45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29">
        <f t="shared" si="4"/>
        <v>0</v>
      </c>
      <c r="J17" s="130" t="str">
        <f t="shared" si="5"/>
        <v>-</v>
      </c>
      <c r="K17" s="131">
        <f t="shared" si="6"/>
        <v>0</v>
      </c>
      <c r="L17" s="134" t="str">
        <f t="shared" si="7"/>
        <v>-</v>
      </c>
      <c r="O17" s="20" t="s">
        <v>53</v>
      </c>
    </row>
    <row r="18" spans="2:15" ht="21.2" customHeight="1">
      <c r="B18" s="231" t="s">
        <v>35</v>
      </c>
      <c r="C18" s="169" t="s">
        <v>31</v>
      </c>
      <c r="D18" s="170">
        <v>128115</v>
      </c>
      <c r="E18" s="171">
        <v>10253</v>
      </c>
      <c r="F18" s="171">
        <v>119179</v>
      </c>
      <c r="G18" s="172">
        <v>10871</v>
      </c>
      <c r="H18" s="171">
        <v>114284</v>
      </c>
      <c r="I18" s="173">
        <f t="shared" si="4"/>
        <v>618</v>
      </c>
      <c r="J18" s="174">
        <f t="shared" si="5"/>
        <v>6.0275041451282476</v>
      </c>
      <c r="K18" s="175">
        <f t="shared" si="6"/>
        <v>-4895</v>
      </c>
      <c r="L18" s="176">
        <f t="shared" si="7"/>
        <v>-4.10726721989613</v>
      </c>
      <c r="M18" s="30"/>
      <c r="O18" s="20" t="s">
        <v>54</v>
      </c>
    </row>
    <row r="19" spans="2:15" ht="21.2" customHeight="1">
      <c r="B19" s="231"/>
      <c r="C19" s="125" t="s">
        <v>32</v>
      </c>
      <c r="D19" s="126">
        <v>2032503</v>
      </c>
      <c r="E19" s="127">
        <v>151194</v>
      </c>
      <c r="F19" s="127">
        <v>1896290</v>
      </c>
      <c r="G19" s="128">
        <v>169967</v>
      </c>
      <c r="H19" s="127">
        <v>1860464</v>
      </c>
      <c r="I19" s="129">
        <f t="shared" si="4"/>
        <v>18773</v>
      </c>
      <c r="J19" s="130">
        <f t="shared" si="5"/>
        <v>12.416498009180259</v>
      </c>
      <c r="K19" s="131">
        <f t="shared" si="6"/>
        <v>-35826</v>
      </c>
      <c r="L19" s="134">
        <f t="shared" si="7"/>
        <v>-1.8892679917101276</v>
      </c>
      <c r="O19" s="20" t="s">
        <v>55</v>
      </c>
    </row>
    <row r="20" spans="2:15" ht="21.2" customHeight="1">
      <c r="B20" s="231" t="s">
        <v>42</v>
      </c>
      <c r="C20" s="169" t="s">
        <v>31</v>
      </c>
      <c r="D20" s="170">
        <v>206399</v>
      </c>
      <c r="E20" s="171">
        <v>12851</v>
      </c>
      <c r="F20" s="171">
        <v>189852</v>
      </c>
      <c r="G20" s="172">
        <v>18896</v>
      </c>
      <c r="H20" s="171">
        <v>186288</v>
      </c>
      <c r="I20" s="173">
        <f t="shared" si="4"/>
        <v>6045</v>
      </c>
      <c r="J20" s="174">
        <f t="shared" si="5"/>
        <v>47.039140922885366</v>
      </c>
      <c r="K20" s="175">
        <f t="shared" si="6"/>
        <v>-3564</v>
      </c>
      <c r="L20" s="176">
        <f t="shared" si="7"/>
        <v>-1.8772517539978537</v>
      </c>
      <c r="O20" s="20" t="s">
        <v>56</v>
      </c>
    </row>
    <row r="21" spans="2:15" ht="21.2" customHeight="1">
      <c r="B21" s="231"/>
      <c r="C21" s="125" t="s">
        <v>32</v>
      </c>
      <c r="D21" s="126">
        <v>2901285</v>
      </c>
      <c r="E21" s="127">
        <v>190600</v>
      </c>
      <c r="F21" s="127">
        <v>2659862</v>
      </c>
      <c r="G21" s="128">
        <v>249384</v>
      </c>
      <c r="H21" s="127">
        <v>2508398</v>
      </c>
      <c r="I21" s="129">
        <f t="shared" si="4"/>
        <v>58784</v>
      </c>
      <c r="J21" s="130">
        <f t="shared" si="5"/>
        <v>30.841552990556124</v>
      </c>
      <c r="K21" s="131">
        <f t="shared" si="6"/>
        <v>-151464</v>
      </c>
      <c r="L21" s="134">
        <f t="shared" si="7"/>
        <v>-5.694430763701277</v>
      </c>
      <c r="O21" s="20" t="s">
        <v>57</v>
      </c>
    </row>
    <row r="22" spans="2:15" ht="21.2" customHeight="1">
      <c r="B22" s="231" t="s">
        <v>36</v>
      </c>
      <c r="C22" s="169" t="s">
        <v>31</v>
      </c>
      <c r="D22" s="170">
        <v>121069</v>
      </c>
      <c r="E22" s="171">
        <v>12236</v>
      </c>
      <c r="F22" s="171">
        <v>114928</v>
      </c>
      <c r="G22" s="172">
        <v>13544</v>
      </c>
      <c r="H22" s="171">
        <v>149412</v>
      </c>
      <c r="I22" s="173">
        <f t="shared" si="4"/>
        <v>1308</v>
      </c>
      <c r="J22" s="174">
        <f t="shared" si="5"/>
        <v>10.689767898005883</v>
      </c>
      <c r="K22" s="175">
        <f t="shared" si="6"/>
        <v>34484</v>
      </c>
      <c r="L22" s="176">
        <f t="shared" si="7"/>
        <v>30.004872615898648</v>
      </c>
      <c r="O22" s="20" t="s">
        <v>58</v>
      </c>
    </row>
    <row r="23" spans="2:15" ht="21.2" customHeight="1">
      <c r="B23" s="231"/>
      <c r="C23" s="125" t="s">
        <v>32</v>
      </c>
      <c r="D23" s="126">
        <v>1945176</v>
      </c>
      <c r="E23" s="132">
        <v>0</v>
      </c>
      <c r="F23" s="127">
        <v>1850648</v>
      </c>
      <c r="G23" s="128">
        <v>196639</v>
      </c>
      <c r="H23" s="127">
        <v>2247475</v>
      </c>
      <c r="I23" s="129">
        <f t="shared" si="4"/>
        <v>196639</v>
      </c>
      <c r="J23" s="130" t="str">
        <f t="shared" si="5"/>
        <v>-</v>
      </c>
      <c r="K23" s="131">
        <f t="shared" si="6"/>
        <v>396827</v>
      </c>
      <c r="L23" s="134">
        <f t="shared" si="7"/>
        <v>21.442597403720214</v>
      </c>
      <c r="O23" s="20" t="s">
        <v>59</v>
      </c>
    </row>
    <row r="24" spans="2:15" ht="21.2" customHeight="1">
      <c r="B24" s="231" t="s">
        <v>48</v>
      </c>
      <c r="C24" s="169" t="s">
        <v>31</v>
      </c>
      <c r="D24" s="177">
        <v>0</v>
      </c>
      <c r="E24" s="177">
        <v>0</v>
      </c>
      <c r="F24" s="177">
        <v>0</v>
      </c>
      <c r="G24" s="177">
        <v>0</v>
      </c>
      <c r="H24" s="177">
        <v>0</v>
      </c>
      <c r="I24" s="173">
        <f t="shared" si="4"/>
        <v>0</v>
      </c>
      <c r="J24" s="174" t="str">
        <f t="shared" si="5"/>
        <v>-</v>
      </c>
      <c r="K24" s="175">
        <f t="shared" si="6"/>
        <v>0</v>
      </c>
      <c r="L24" s="176" t="str">
        <f t="shared" si="7"/>
        <v>-</v>
      </c>
      <c r="O24" s="20" t="s">
        <v>60</v>
      </c>
    </row>
    <row r="25" spans="2:15" ht="21.2" customHeight="1">
      <c r="B25" s="231"/>
      <c r="C25" s="133" t="s">
        <v>32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29">
        <f t="shared" si="4"/>
        <v>0</v>
      </c>
      <c r="J25" s="130" t="str">
        <f t="shared" si="5"/>
        <v>-</v>
      </c>
      <c r="K25" s="131">
        <f t="shared" si="6"/>
        <v>0</v>
      </c>
      <c r="L25" s="134" t="str">
        <f t="shared" si="7"/>
        <v>-</v>
      </c>
      <c r="O25" s="20" t="s">
        <v>61</v>
      </c>
    </row>
    <row r="26" spans="2:15" ht="21.2" customHeight="1">
      <c r="B26" s="231" t="s">
        <v>71</v>
      </c>
      <c r="C26" s="169" t="s">
        <v>31</v>
      </c>
      <c r="D26" s="177">
        <v>0</v>
      </c>
      <c r="E26" s="177">
        <v>0</v>
      </c>
      <c r="F26" s="177">
        <v>0</v>
      </c>
      <c r="G26" s="177">
        <v>0</v>
      </c>
      <c r="H26" s="177">
        <v>0</v>
      </c>
      <c r="I26" s="173">
        <f t="shared" si="4"/>
        <v>0</v>
      </c>
      <c r="J26" s="174" t="str">
        <f t="shared" si="5"/>
        <v>-</v>
      </c>
      <c r="K26" s="175">
        <f t="shared" si="6"/>
        <v>0</v>
      </c>
      <c r="L26" s="176" t="str">
        <f t="shared" si="7"/>
        <v>-</v>
      </c>
      <c r="O26" s="20" t="s">
        <v>74</v>
      </c>
    </row>
    <row r="27" spans="2:15" ht="21.2" customHeight="1">
      <c r="B27" s="231"/>
      <c r="C27" s="125" t="s">
        <v>32</v>
      </c>
      <c r="D27" s="132">
        <v>0</v>
      </c>
      <c r="E27" s="132">
        <v>0</v>
      </c>
      <c r="F27" s="132">
        <v>0</v>
      </c>
      <c r="G27" s="132">
        <v>0</v>
      </c>
      <c r="H27" s="132">
        <v>0</v>
      </c>
      <c r="I27" s="129">
        <f t="shared" si="4"/>
        <v>0</v>
      </c>
      <c r="J27" s="130" t="str">
        <f t="shared" si="5"/>
        <v>-</v>
      </c>
      <c r="K27" s="131">
        <f t="shared" si="6"/>
        <v>0</v>
      </c>
      <c r="L27" s="134" t="str">
        <f t="shared" si="7"/>
        <v>-</v>
      </c>
      <c r="O27" s="20" t="s">
        <v>74</v>
      </c>
    </row>
    <row r="28" spans="2:15" ht="21.2" customHeight="1">
      <c r="B28" s="231" t="s">
        <v>43</v>
      </c>
      <c r="C28" s="169" t="s">
        <v>44</v>
      </c>
      <c r="D28" s="170">
        <v>107</v>
      </c>
      <c r="E28" s="177">
        <v>0</v>
      </c>
      <c r="F28" s="171">
        <v>107</v>
      </c>
      <c r="G28" s="177">
        <v>0</v>
      </c>
      <c r="H28" s="177">
        <v>0</v>
      </c>
      <c r="I28" s="173">
        <f t="shared" si="4"/>
        <v>0</v>
      </c>
      <c r="J28" s="174" t="str">
        <f t="shared" si="5"/>
        <v>-</v>
      </c>
      <c r="K28" s="175">
        <f t="shared" si="6"/>
        <v>-107</v>
      </c>
      <c r="L28" s="176">
        <f t="shared" si="7"/>
        <v>-100</v>
      </c>
      <c r="O28" s="20" t="s">
        <v>62</v>
      </c>
    </row>
    <row r="29" spans="2:15" ht="21.2" customHeight="1">
      <c r="B29" s="231"/>
      <c r="C29" s="125" t="s">
        <v>45</v>
      </c>
      <c r="D29" s="126">
        <v>244</v>
      </c>
      <c r="E29" s="132">
        <v>0</v>
      </c>
      <c r="F29" s="127">
        <v>244</v>
      </c>
      <c r="G29" s="132">
        <v>0</v>
      </c>
      <c r="H29" s="132">
        <v>0</v>
      </c>
      <c r="I29" s="129">
        <f t="shared" si="4"/>
        <v>0</v>
      </c>
      <c r="J29" s="130" t="str">
        <f t="shared" si="5"/>
        <v>-</v>
      </c>
      <c r="K29" s="131">
        <f t="shared" si="6"/>
        <v>-244</v>
      </c>
      <c r="L29" s="134">
        <f t="shared" si="7"/>
        <v>-100</v>
      </c>
      <c r="O29" s="20" t="s">
        <v>62</v>
      </c>
    </row>
    <row r="30" spans="2:15" ht="21.2" customHeight="1">
      <c r="B30" s="231" t="s">
        <v>38</v>
      </c>
      <c r="C30" s="169" t="s">
        <v>31</v>
      </c>
      <c r="D30" s="170">
        <v>212</v>
      </c>
      <c r="E30" s="177">
        <v>0</v>
      </c>
      <c r="F30" s="171">
        <v>212</v>
      </c>
      <c r="G30" s="177">
        <v>0</v>
      </c>
      <c r="H30" s="177">
        <v>0</v>
      </c>
      <c r="I30" s="173">
        <f t="shared" si="4"/>
        <v>0</v>
      </c>
      <c r="J30" s="174" t="str">
        <f t="shared" si="5"/>
        <v>-</v>
      </c>
      <c r="K30" s="175">
        <f t="shared" si="6"/>
        <v>-212</v>
      </c>
      <c r="L30" s="176">
        <f t="shared" si="7"/>
        <v>-100</v>
      </c>
      <c r="O30" s="20" t="s">
        <v>63</v>
      </c>
    </row>
    <row r="31" spans="2:15" ht="21.2" customHeight="1">
      <c r="B31" s="231"/>
      <c r="C31" s="125" t="s">
        <v>32</v>
      </c>
      <c r="D31" s="126">
        <v>1888</v>
      </c>
      <c r="E31" s="132">
        <v>0</v>
      </c>
      <c r="F31" s="127">
        <v>1888</v>
      </c>
      <c r="G31" s="132">
        <v>0</v>
      </c>
      <c r="H31" s="132">
        <v>0</v>
      </c>
      <c r="I31" s="129">
        <f t="shared" si="4"/>
        <v>0</v>
      </c>
      <c r="J31" s="130" t="str">
        <f t="shared" si="5"/>
        <v>-</v>
      </c>
      <c r="K31" s="131">
        <f t="shared" si="6"/>
        <v>-1888</v>
      </c>
      <c r="L31" s="134">
        <f t="shared" si="7"/>
        <v>-100</v>
      </c>
      <c r="O31" s="20" t="s">
        <v>64</v>
      </c>
    </row>
    <row r="32" spans="2:15" ht="21.2" customHeight="1">
      <c r="B32" s="231" t="s">
        <v>39</v>
      </c>
      <c r="C32" s="169" t="s">
        <v>31</v>
      </c>
      <c r="D32" s="170">
        <v>87855</v>
      </c>
      <c r="E32" s="171">
        <v>6150</v>
      </c>
      <c r="F32" s="171">
        <v>82120</v>
      </c>
      <c r="G32" s="172">
        <v>4875</v>
      </c>
      <c r="H32" s="171">
        <v>49610</v>
      </c>
      <c r="I32" s="173">
        <f t="shared" si="4"/>
        <v>-1275</v>
      </c>
      <c r="J32" s="174">
        <f t="shared" si="5"/>
        <v>-20.731707317073173</v>
      </c>
      <c r="K32" s="175">
        <f t="shared" si="6"/>
        <v>-32510</v>
      </c>
      <c r="L32" s="176">
        <f t="shared" si="7"/>
        <v>-39.588407208962494</v>
      </c>
      <c r="O32" s="20" t="s">
        <v>65</v>
      </c>
    </row>
    <row r="33" spans="2:15" ht="21.2" customHeight="1">
      <c r="B33" s="231"/>
      <c r="C33" s="125" t="s">
        <v>32</v>
      </c>
      <c r="D33" s="126">
        <v>1481921</v>
      </c>
      <c r="E33" s="127">
        <v>99791</v>
      </c>
      <c r="F33" s="127">
        <v>1388622</v>
      </c>
      <c r="G33" s="128">
        <v>81742</v>
      </c>
      <c r="H33" s="127">
        <v>835096</v>
      </c>
      <c r="I33" s="129">
        <f t="shared" si="4"/>
        <v>-18049</v>
      </c>
      <c r="J33" s="130">
        <f t="shared" si="5"/>
        <v>-18.086801414957264</v>
      </c>
      <c r="K33" s="131">
        <f t="shared" si="6"/>
        <v>-553526</v>
      </c>
      <c r="L33" s="134">
        <f t="shared" si="7"/>
        <v>-39.861531791949147</v>
      </c>
      <c r="O33" s="20" t="s">
        <v>66</v>
      </c>
    </row>
    <row r="34" spans="2:15" ht="21.2" customHeight="1">
      <c r="B34" s="231" t="s">
        <v>40</v>
      </c>
      <c r="C34" s="169" t="s">
        <v>31</v>
      </c>
      <c r="D34" s="170">
        <v>136389</v>
      </c>
      <c r="E34" s="171">
        <v>10073</v>
      </c>
      <c r="F34" s="171">
        <v>125467</v>
      </c>
      <c r="G34" s="172">
        <v>12476</v>
      </c>
      <c r="H34" s="171">
        <v>112337</v>
      </c>
      <c r="I34" s="173">
        <f t="shared" si="4"/>
        <v>2403</v>
      </c>
      <c r="J34" s="174">
        <f t="shared" si="5"/>
        <v>23.855852278367905</v>
      </c>
      <c r="K34" s="175">
        <f t="shared" si="6"/>
        <v>-13130</v>
      </c>
      <c r="L34" s="176">
        <f t="shared" si="7"/>
        <v>-10.464903121936445</v>
      </c>
      <c r="O34" s="20" t="s">
        <v>67</v>
      </c>
    </row>
    <row r="35" spans="2:15" ht="21.2" customHeight="1">
      <c r="B35" s="231"/>
      <c r="C35" s="125" t="s">
        <v>32</v>
      </c>
      <c r="D35" s="126">
        <v>1982852</v>
      </c>
      <c r="E35" s="127">
        <v>142827</v>
      </c>
      <c r="F35" s="127">
        <v>1829429</v>
      </c>
      <c r="G35" s="128">
        <v>180865</v>
      </c>
      <c r="H35" s="127">
        <v>1622257</v>
      </c>
      <c r="I35" s="129">
        <f t="shared" si="4"/>
        <v>38038</v>
      </c>
      <c r="J35" s="130">
        <f t="shared" si="5"/>
        <v>26.632219398293032</v>
      </c>
      <c r="K35" s="131">
        <f t="shared" si="6"/>
        <v>-207172</v>
      </c>
      <c r="L35" s="134">
        <f t="shared" si="7"/>
        <v>-11.324407779695193</v>
      </c>
      <c r="O35" s="20" t="s">
        <v>68</v>
      </c>
    </row>
    <row r="36" spans="2:15" ht="21.2" customHeight="1">
      <c r="B36" s="231" t="s">
        <v>41</v>
      </c>
      <c r="C36" s="169" t="s">
        <v>31</v>
      </c>
      <c r="D36" s="170">
        <v>45952</v>
      </c>
      <c r="E36" s="171">
        <v>4018</v>
      </c>
      <c r="F36" s="171">
        <v>42157</v>
      </c>
      <c r="G36" s="172">
        <v>3740</v>
      </c>
      <c r="H36" s="171">
        <v>43158</v>
      </c>
      <c r="I36" s="173">
        <f t="shared" si="4"/>
        <v>-278</v>
      </c>
      <c r="J36" s="174">
        <f t="shared" si="5"/>
        <v>-6.9188651070184193</v>
      </c>
      <c r="K36" s="175">
        <f t="shared" si="6"/>
        <v>1001</v>
      </c>
      <c r="L36" s="176">
        <f t="shared" si="7"/>
        <v>2.3744573854875881</v>
      </c>
      <c r="O36" s="20" t="s">
        <v>69</v>
      </c>
    </row>
    <row r="37" spans="2:15" ht="21.2" customHeight="1">
      <c r="B37" s="231"/>
      <c r="C37" s="125" t="s">
        <v>32</v>
      </c>
      <c r="D37" s="126">
        <v>722543</v>
      </c>
      <c r="E37" s="127">
        <v>62287</v>
      </c>
      <c r="F37" s="127">
        <v>665224</v>
      </c>
      <c r="G37" s="128">
        <v>55760</v>
      </c>
      <c r="H37" s="127">
        <v>649878</v>
      </c>
      <c r="I37" s="129">
        <f t="shared" si="4"/>
        <v>-6527</v>
      </c>
      <c r="J37" s="130">
        <f t="shared" si="5"/>
        <v>-10.47891213254772</v>
      </c>
      <c r="K37" s="131">
        <f t="shared" si="6"/>
        <v>-15346</v>
      </c>
      <c r="L37" s="134">
        <f t="shared" si="7"/>
        <v>-2.3068921145358559</v>
      </c>
      <c r="O37" s="20" t="s">
        <v>70</v>
      </c>
    </row>
    <row r="38" spans="2:15" ht="21.2" customHeight="1">
      <c r="B38" s="231" t="s">
        <v>79</v>
      </c>
      <c r="C38" s="169" t="s">
        <v>31</v>
      </c>
      <c r="D38" s="170">
        <v>80</v>
      </c>
      <c r="E38" s="177">
        <v>0</v>
      </c>
      <c r="F38" s="171">
        <v>80</v>
      </c>
      <c r="G38" s="177">
        <v>0</v>
      </c>
      <c r="H38" s="177">
        <v>0</v>
      </c>
      <c r="I38" s="173">
        <f t="shared" si="4"/>
        <v>0</v>
      </c>
      <c r="J38" s="174" t="str">
        <f t="shared" si="5"/>
        <v>-</v>
      </c>
      <c r="K38" s="175">
        <f t="shared" si="6"/>
        <v>-80</v>
      </c>
      <c r="L38" s="176">
        <f t="shared" si="7"/>
        <v>-100</v>
      </c>
    </row>
    <row r="39" spans="2:15" ht="21.2" customHeight="1">
      <c r="B39" s="232"/>
      <c r="C39" s="135" t="s">
        <v>32</v>
      </c>
      <c r="D39" s="136">
        <v>1384</v>
      </c>
      <c r="E39" s="132">
        <v>0</v>
      </c>
      <c r="F39" s="137">
        <v>1384</v>
      </c>
      <c r="G39" s="132">
        <v>0</v>
      </c>
      <c r="H39" s="132">
        <v>0</v>
      </c>
      <c r="I39" s="138">
        <f t="shared" si="4"/>
        <v>0</v>
      </c>
      <c r="J39" s="139" t="str">
        <f t="shared" si="5"/>
        <v>-</v>
      </c>
      <c r="K39" s="140">
        <f t="shared" si="6"/>
        <v>-1384</v>
      </c>
      <c r="L39" s="141">
        <f t="shared" si="7"/>
        <v>-100</v>
      </c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  <row r="45" spans="2:15">
      <c r="E45" s="20"/>
      <c r="H45" s="32"/>
    </row>
    <row r="46" spans="2:15">
      <c r="E46" s="20"/>
      <c r="H46" s="32"/>
    </row>
  </sheetData>
  <mergeCells count="22">
    <mergeCell ref="B3:L3"/>
    <mergeCell ref="B6:B7"/>
    <mergeCell ref="B8:B9"/>
    <mergeCell ref="B10:B11"/>
    <mergeCell ref="I6:L6"/>
    <mergeCell ref="C6:C7"/>
    <mergeCell ref="G6:H6"/>
    <mergeCell ref="B38:B39"/>
    <mergeCell ref="D6:F6"/>
    <mergeCell ref="B28:B29"/>
    <mergeCell ref="B30:B31"/>
    <mergeCell ref="B32:B33"/>
    <mergeCell ref="B34:B35"/>
    <mergeCell ref="B36:B37"/>
    <mergeCell ref="B12:B13"/>
    <mergeCell ref="B14:B15"/>
    <mergeCell ref="B16:B17"/>
    <mergeCell ref="B18:B19"/>
    <mergeCell ref="B20:B21"/>
    <mergeCell ref="B22:B23"/>
    <mergeCell ref="B24:B25"/>
    <mergeCell ref="B26:B27"/>
  </mergeCells>
  <phoneticPr fontId="20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2024-01-05T01:38:55Z</dcterms:modified>
</cp:coreProperties>
</file>