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<sst xmlns="http://schemas.openxmlformats.org/spreadsheetml/2006/main" count="124" uniqueCount="82">
  <si>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</si>
  <si>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</si>
  <si>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</si>
  <si>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</si>
  <si>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</si>
  <si>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</si>
  <si>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</si>
  <si>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</si>
  <si>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</si>
  <si>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</si>
  <si>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</si>
  <si>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</si>
  <si>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</si>
  <si>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</si>
  <si>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</si>
  <si>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</si>
  <si>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</si>
  <si>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</si>
  <si>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</si>
  <si>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</si>
  <si>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</si>
  <si>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</si>
  <si>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</si>
  <si>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</si>
  <si>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</si>
  <si>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</si>
  <si>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</si>
  <si>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</si>
  <si>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</si>
  <si>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</si>
  <si>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</si>
  <si>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</si>
  <si>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</si>
  <si>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</si>
  <si>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</si>
  <si>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</si>
  <si>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</si>
  <si>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</si>
  <si>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</si>
  <si>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</si>
  <si>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</si>
  <si>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</si>
  <si>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</si>
  <si>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</si>
  <si>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</si>
  <si>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</si>
  <si>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</si>
  <si>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</si>
  <si>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</si>
  <si>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</si>
  <si>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</si>
  <si>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</si>
  <si>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</si>
  <si>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</si>
  <si>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</si>
  <si>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</si>
  <si>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</si>
  <si>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</si>
  <si>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</si>
  <si>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</si>
  <si>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</si>
  <si>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</si>
  <si>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</si>
  <si>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</si>
  <si>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</si>
  <si>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</si>
  <si>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</si>
  <si>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</si>
  <si>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</si>
  <si>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</si>
  <si>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</si>
  <si>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</si>
  <si>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</si>
  <si>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</si>
  <si>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</si>
  <si>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</si>
  <si>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</si>
  <si>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5월(A)</t>
    <phoneticPr fontId="5" type="noConversion"/>
  </si>
  <si>
    <t>5월누계(B)</t>
    <phoneticPr fontId="5" type="noConversion"/>
  </si>
  <si>
    <t>5월(C)</t>
    <phoneticPr fontId="5" type="noConversion"/>
  </si>
  <si>
    <t>5월누계(D)</t>
    <phoneticPr fontId="5" type="noConversion"/>
  </si>
  <si>
    <t>(2021. 5월분)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</si>
</sst>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5월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45674652</c:v>
                </c:pt>
              </c:numCache>
            </c:numRef>
          </c:val>
        </c:ser>
        <c:ser>
          <c:idx val="1"/>
          <c:order val="1"/>
          <c:tx>
            <c:v>'21년 5월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48552963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8352896"/>
        <c:axId val="198354432"/>
        <c:axId val="0"/>
      </c:bar3DChart>
      <c:catAx>
        <c:axId val="198352896"/>
        <c:scaling>
          <c:orientation val="minMax"/>
        </c:scaling>
        <c:delete val="1"/>
        <c:axPos val="b"/>
        <c:majorTickMark val="out"/>
        <c:minorTickMark val="none"/>
        <c:tickLblPos val="none"/>
        <c:crossAx val="198354432"/>
        <c:crosses val="autoZero"/>
        <c:auto val="1"/>
        <c:lblAlgn val="ctr"/>
        <c:lblOffset val="100"/>
        <c:noMultiLvlLbl val="0"/>
      </c:catAx>
      <c:valAx>
        <c:axId val="19835443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8352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5월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295905</c:v>
                </c:pt>
              </c:numCache>
            </c:numRef>
          </c:val>
        </c:ser>
        <c:ser>
          <c:idx val="1"/>
          <c:order val="1"/>
          <c:tx>
            <c:v>'21년 5월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367494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8189440"/>
        <c:axId val="198190976"/>
        <c:axId val="0"/>
      </c:bar3DChart>
      <c:catAx>
        <c:axId val="198189440"/>
        <c:scaling>
          <c:orientation val="minMax"/>
        </c:scaling>
        <c:delete val="1"/>
        <c:axPos val="b"/>
        <c:majorTickMark val="out"/>
        <c:minorTickMark val="none"/>
        <c:tickLblPos val="none"/>
        <c:crossAx val="198190976"/>
        <c:crosses val="autoZero"/>
        <c:auto val="1"/>
        <c:lblAlgn val="ctr"/>
        <c:lblOffset val="100"/>
        <c:noMultiLvlLbl val="0"/>
      </c:catAx>
      <c:valAx>
        <c:axId val="19819097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818944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21.5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48552.963000000003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60992"/>
        <c:axId val="198291840"/>
      </c:lineChart>
      <c:catAx>
        <c:axId val="1982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82918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82918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82609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21.5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367494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54784"/>
        <c:axId val="206456704"/>
      </c:lineChart>
      <c:catAx>
        <c:axId val="20645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56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4567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547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21.5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82432"/>
        <c:axId val="206484608"/>
      </c:lineChart>
      <c:catAx>
        <c:axId val="20648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84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4846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82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21.5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6911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09184"/>
        <c:axId val="206511104"/>
      </c:lineChart>
      <c:catAx>
        <c:axId val="20650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511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511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5091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21.5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6911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47584"/>
        <c:axId val="206549760"/>
      </c:lineChart>
      <c:catAx>
        <c:axId val="20654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549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549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547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20" activePane="bottomRight" state="frozen"/>
      <selection activeCell="A3" sqref="A3"/>
      <selection pane="topRight" activeCell="E3" sqref="E3"/>
      <selection pane="bottomLeft" activeCell="A8" sqref="A8"/>
      <selection pane="bottomRight" activeCell="O26" sqref="O26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81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73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74</v>
      </c>
      <c r="G5" s="198"/>
      <c r="H5" s="215" t="s">
        <v>75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77</v>
      </c>
      <c r="G6" s="41" t="s">
        <v>78</v>
      </c>
      <c r="H6" s="170" t="s">
        <v>79</v>
      </c>
      <c r="I6" s="171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17326</v>
      </c>
      <c r="F7" s="13">
        <f>SUM(F8:F9)</f>
        <v>1413</v>
      </c>
      <c r="G7" s="13">
        <f>SUM(G8:G9)</f>
        <v>7363</v>
      </c>
      <c r="H7" s="13">
        <f>SUM(H8:H9)</f>
        <v>1397</v>
      </c>
      <c r="I7" s="13">
        <f>SUM(I8:I9)</f>
        <v>6911</v>
      </c>
      <c r="J7" s="13">
        <f>H7-F7</f>
        <v>-16</v>
      </c>
      <c r="K7" s="16">
        <f>H7/F7</f>
        <v>0.98867657466383585</v>
      </c>
      <c r="L7" s="14">
        <f>I7-G7</f>
        <v>-452</v>
      </c>
      <c r="M7" s="24">
        <f>I7/G7</f>
        <v>0.93861197881298386</v>
      </c>
    </row>
    <row r="8" spans="2:13" ht="19.5" customHeight="1">
      <c r="B8" s="210"/>
      <c r="C8" s="200" t="s">
        <v>9</v>
      </c>
      <c r="D8" s="201"/>
      <c r="E8" s="20">
        <v>10177</v>
      </c>
      <c r="F8" s="20">
        <v>856</v>
      </c>
      <c r="G8" s="21">
        <v>4494</v>
      </c>
      <c r="H8" s="20">
        <v>846</v>
      </c>
      <c r="I8" s="20">
        <v>4204</v>
      </c>
      <c r="J8" s="4">
        <f t="shared" ref="J8:J28" si="0">H8-F8</f>
        <v>-10</v>
      </c>
      <c r="K8" s="18">
        <f t="shared" ref="K8:K28" si="1">H8/F8</f>
        <v>0.98831775700934577</v>
      </c>
      <c r="L8" s="19">
        <f t="shared" ref="L8:L28" si="2">I8-G8</f>
        <v>-290</v>
      </c>
      <c r="M8" s="26">
        <f t="shared" ref="M8:M28" si="3">I8/G8</f>
        <v>0.93546951490876729</v>
      </c>
    </row>
    <row r="9" spans="2:13" ht="19.5" customHeight="1">
      <c r="B9" s="211"/>
      <c r="C9" s="202" t="s">
        <v>10</v>
      </c>
      <c r="D9" s="203"/>
      <c r="E9" s="21">
        <v>7149</v>
      </c>
      <c r="F9" s="21">
        <v>557</v>
      </c>
      <c r="G9" s="21">
        <v>2869</v>
      </c>
      <c r="H9" s="21">
        <v>551</v>
      </c>
      <c r="I9" s="21">
        <v>2707</v>
      </c>
      <c r="J9" s="21">
        <f t="shared" si="0"/>
        <v>-6</v>
      </c>
      <c r="K9" s="22">
        <f t="shared" si="1"/>
        <v>0.98922800718132853</v>
      </c>
      <c r="L9" s="23">
        <f t="shared" si="2"/>
        <v>-162</v>
      </c>
      <c r="M9" s="27">
        <f t="shared" si="3"/>
        <v>0.94353433252004182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106845294</v>
      </c>
      <c r="F10" s="45">
        <f>F11+F15</f>
        <v>8090023</v>
      </c>
      <c r="G10" s="45">
        <f>G11+G15</f>
        <v>45674652</v>
      </c>
      <c r="H10" s="45">
        <f>H11+H15</f>
        <v>9040419</v>
      </c>
      <c r="I10" s="45">
        <f>I11+I15</f>
        <v>48552963</v>
      </c>
      <c r="J10" s="45">
        <f t="shared" si="0"/>
        <v>950396</v>
      </c>
      <c r="K10" s="16">
        <f t="shared" si="1"/>
        <v>1.117477539927884</v>
      </c>
      <c r="L10" s="49">
        <f>I10-G10</f>
        <v>2878311</v>
      </c>
      <c r="M10" s="24">
        <f t="shared" si="3"/>
        <v>1.0630176886733587</v>
      </c>
    </row>
    <row r="11" spans="2:13" ht="19.5" customHeight="1">
      <c r="B11" s="210"/>
      <c r="C11" s="206" t="s">
        <v>1</v>
      </c>
      <c r="D11" s="98" t="s">
        <v>0</v>
      </c>
      <c r="E11" s="92">
        <f>SUM(E12:E14)</f>
        <v>95663945</v>
      </c>
      <c r="F11" s="92">
        <f>SUM(F12:F14)</f>
        <v>7144812</v>
      </c>
      <c r="G11" s="92">
        <f>SUM(G12:G14)</f>
        <v>41030073</v>
      </c>
      <c r="H11" s="92">
        <f>SUM(H12:H14)</f>
        <v>8048903</v>
      </c>
      <c r="I11" s="92">
        <f>SUM(I12:I14)</f>
        <v>43666687</v>
      </c>
      <c r="J11" s="93">
        <f t="shared" si="0"/>
        <v>904091</v>
      </c>
      <c r="K11" s="94">
        <f t="shared" si="1"/>
        <v>1.126538109050315</v>
      </c>
      <c r="L11" s="95">
        <f t="shared" si="2"/>
        <v>2636614</v>
      </c>
      <c r="M11" s="96">
        <f t="shared" si="3"/>
        <v>1.0642605242257308</v>
      </c>
    </row>
    <row r="12" spans="2:13" ht="19.5" customHeight="1">
      <c r="B12" s="210"/>
      <c r="C12" s="207"/>
      <c r="D12" s="5" t="s">
        <v>5</v>
      </c>
      <c r="E12" s="46">
        <v>76439827</v>
      </c>
      <c r="F12" s="46">
        <v>5931640</v>
      </c>
      <c r="G12" s="46">
        <v>33215721</v>
      </c>
      <c r="H12" s="46">
        <v>6392267</v>
      </c>
      <c r="I12" s="46">
        <v>34807089</v>
      </c>
      <c r="J12" s="93">
        <f t="shared" si="0"/>
        <v>460627</v>
      </c>
      <c r="K12" s="18">
        <f t="shared" si="1"/>
        <v>1.0776559265228502</v>
      </c>
      <c r="L12" s="48">
        <f t="shared" si="2"/>
        <v>1591368</v>
      </c>
      <c r="M12" s="26">
        <f t="shared" si="3"/>
        <v>1.0479100845048643</v>
      </c>
    </row>
    <row r="13" spans="2:13" ht="19.5" customHeight="1">
      <c r="B13" s="210"/>
      <c r="C13" s="207"/>
      <c r="D13" s="5" t="s">
        <v>6</v>
      </c>
      <c r="E13" s="46">
        <v>13946411</v>
      </c>
      <c r="F13" s="46">
        <v>895228</v>
      </c>
      <c r="G13" s="46">
        <v>5590985</v>
      </c>
      <c r="H13" s="46">
        <v>1268546</v>
      </c>
      <c r="I13" s="46">
        <v>6701443</v>
      </c>
      <c r="J13" s="93">
        <f t="shared" si="0"/>
        <v>373318</v>
      </c>
      <c r="K13" s="18">
        <f t="shared" si="1"/>
        <v>1.4170088513764092</v>
      </c>
      <c r="L13" s="48">
        <f t="shared" si="2"/>
        <v>1110458</v>
      </c>
      <c r="M13" s="26">
        <f t="shared" si="3"/>
        <v>1.1986158074113953</v>
      </c>
    </row>
    <row r="14" spans="2:13" ht="19.5" customHeight="1">
      <c r="B14" s="210"/>
      <c r="C14" s="208"/>
      <c r="D14" s="5" t="s">
        <v>13</v>
      </c>
      <c r="E14" s="46">
        <v>5277707</v>
      </c>
      <c r="F14" s="46">
        <v>317944</v>
      </c>
      <c r="G14" s="46">
        <v>2223367</v>
      </c>
      <c r="H14" s="46">
        <v>388090</v>
      </c>
      <c r="I14" s="46">
        <v>2158155</v>
      </c>
      <c r="J14" s="93">
        <f t="shared" si="0"/>
        <v>70146</v>
      </c>
      <c r="K14" s="18">
        <f>H14/F14</f>
        <v>1.2206237576428554</v>
      </c>
      <c r="L14" s="48">
        <f t="shared" si="2"/>
        <v>-65212</v>
      </c>
      <c r="M14" s="26">
        <f t="shared" si="3"/>
        <v>0.97066970949915155</v>
      </c>
    </row>
    <row r="15" spans="2:13" ht="19.5" customHeight="1">
      <c r="B15" s="210"/>
      <c r="C15" s="216" t="s">
        <v>2</v>
      </c>
      <c r="D15" s="97" t="s">
        <v>0</v>
      </c>
      <c r="E15" s="87">
        <f>SUM(E16:E18)</f>
        <v>11181349</v>
      </c>
      <c r="F15" s="87">
        <f>SUM(F16:F18)</f>
        <v>945211</v>
      </c>
      <c r="G15" s="87">
        <f>SUM(G16:G18)</f>
        <v>4644579</v>
      </c>
      <c r="H15" s="87">
        <f>SUM(H16:H18)</f>
        <v>991516</v>
      </c>
      <c r="I15" s="87">
        <f>SUM(I16:I18)</f>
        <v>4886276</v>
      </c>
      <c r="J15" s="88">
        <f t="shared" si="0"/>
        <v>46305</v>
      </c>
      <c r="K15" s="89">
        <f t="shared" si="1"/>
        <v>1.0489890617015671</v>
      </c>
      <c r="L15" s="90">
        <f t="shared" si="2"/>
        <v>241697</v>
      </c>
      <c r="M15" s="91">
        <f t="shared" si="3"/>
        <v>1.0520385163004009</v>
      </c>
    </row>
    <row r="16" spans="2:13" ht="19.5" customHeight="1">
      <c r="B16" s="210"/>
      <c r="C16" s="217"/>
      <c r="D16" s="5" t="s">
        <v>3</v>
      </c>
      <c r="E16" s="46">
        <v>8023567</v>
      </c>
      <c r="F16" s="46">
        <v>676566</v>
      </c>
      <c r="G16" s="46">
        <v>3318106</v>
      </c>
      <c r="H16" s="46">
        <v>736495</v>
      </c>
      <c r="I16" s="46">
        <v>3512487</v>
      </c>
      <c r="J16" s="88">
        <f t="shared" si="0"/>
        <v>59929</v>
      </c>
      <c r="K16" s="18">
        <f t="shared" si="1"/>
        <v>1.088578202274427</v>
      </c>
      <c r="L16" s="48">
        <f t="shared" si="2"/>
        <v>194381</v>
      </c>
      <c r="M16" s="26">
        <f t="shared" si="3"/>
        <v>1.0585819138990737</v>
      </c>
    </row>
    <row r="17" spans="1:13" ht="19.5" customHeight="1">
      <c r="B17" s="210"/>
      <c r="C17" s="217"/>
      <c r="D17" s="6" t="s">
        <v>4</v>
      </c>
      <c r="E17" s="47">
        <v>3148861</v>
      </c>
      <c r="F17" s="47">
        <v>266412</v>
      </c>
      <c r="G17" s="47">
        <v>1320071</v>
      </c>
      <c r="H17" s="47">
        <v>255021</v>
      </c>
      <c r="I17" s="47">
        <v>1373789</v>
      </c>
      <c r="J17" s="160">
        <v>0</v>
      </c>
      <c r="K17" s="18">
        <f t="shared" si="1"/>
        <v>0.95724291698572139</v>
      </c>
      <c r="L17" s="48">
        <f t="shared" si="2"/>
        <v>53718</v>
      </c>
      <c r="M17" s="26">
        <f t="shared" si="3"/>
        <v>1.0406932657410093</v>
      </c>
    </row>
    <row r="18" spans="1:13" ht="19.5" customHeight="1">
      <c r="B18" s="211"/>
      <c r="C18" s="218"/>
      <c r="D18" s="6" t="s">
        <v>17</v>
      </c>
      <c r="E18" s="47">
        <v>8921</v>
      </c>
      <c r="F18" s="47">
        <v>2233</v>
      </c>
      <c r="G18" s="47">
        <v>6402</v>
      </c>
      <c r="H18" s="157"/>
      <c r="I18" s="157"/>
      <c r="J18" s="88">
        <f t="shared" si="0"/>
        <v>-2233</v>
      </c>
      <c r="K18" s="18">
        <f t="shared" si="1"/>
        <v>0</v>
      </c>
      <c r="L18" s="48">
        <f t="shared" si="2"/>
        <v>-6402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4">
        <f>SUM(E21,E25)</f>
        <v>792643</v>
      </c>
      <c r="F20" s="3">
        <f>SUM(F21,F25)</f>
        <v>66398</v>
      </c>
      <c r="G20" s="3">
        <f>SUM(G21,G25)</f>
        <v>295905</v>
      </c>
      <c r="H20" s="104">
        <f>SUM(H21,H25)</f>
        <v>78794</v>
      </c>
      <c r="I20" s="104">
        <f>SUM(I21,I25)</f>
        <v>367494</v>
      </c>
      <c r="J20" s="105">
        <f t="shared" si="0"/>
        <v>12396</v>
      </c>
      <c r="K20" s="106">
        <f t="shared" si="1"/>
        <v>1.1866923702521159</v>
      </c>
      <c r="L20" s="107">
        <f t="shared" si="2"/>
        <v>71589</v>
      </c>
      <c r="M20" s="24">
        <f>I20/G20</f>
        <v>1.2419323769453035</v>
      </c>
    </row>
    <row r="21" spans="1:13" ht="19.5" customHeight="1">
      <c r="B21" s="25"/>
      <c r="C21" s="199" t="s">
        <v>1</v>
      </c>
      <c r="D21" s="99" t="s">
        <v>0</v>
      </c>
      <c r="E21" s="100">
        <f>SUM(E22:E24)</f>
        <v>792643</v>
      </c>
      <c r="F21" s="100">
        <f>SUM(F22:F24)</f>
        <v>66398</v>
      </c>
      <c r="G21" s="100">
        <f>SUM(G22:G24)</f>
        <v>295905</v>
      </c>
      <c r="H21" s="100">
        <f>SUM(H22:H24)</f>
        <v>78794</v>
      </c>
      <c r="I21" s="100">
        <f>SUM(I22:I24)</f>
        <v>367494</v>
      </c>
      <c r="J21" s="101">
        <f t="shared" si="0"/>
        <v>12396</v>
      </c>
      <c r="K21" s="102">
        <f t="shared" si="1"/>
        <v>1.1866923702521159</v>
      </c>
      <c r="L21" s="103">
        <f t="shared" si="2"/>
        <v>71589</v>
      </c>
      <c r="M21" s="96">
        <f t="shared" si="3"/>
        <v>1.2419323769453035</v>
      </c>
    </row>
    <row r="22" spans="1:13" ht="19.5" customHeight="1">
      <c r="B22" s="159" t="s">
        <v>19</v>
      </c>
      <c r="C22" s="199"/>
      <c r="D22" s="52" t="s">
        <v>5</v>
      </c>
      <c r="E22" s="54">
        <v>391129</v>
      </c>
      <c r="F22" s="54">
        <v>33487</v>
      </c>
      <c r="G22" s="54">
        <v>146878</v>
      </c>
      <c r="H22" s="54">
        <v>40187</v>
      </c>
      <c r="I22" s="54">
        <v>183635</v>
      </c>
      <c r="J22" s="101">
        <f t="shared" si="0"/>
        <v>6700</v>
      </c>
      <c r="K22" s="51">
        <f t="shared" si="1"/>
        <v>1.200077642070057</v>
      </c>
      <c r="L22" s="23">
        <f t="shared" si="2"/>
        <v>36757</v>
      </c>
      <c r="M22" s="26">
        <f t="shared" si="3"/>
        <v>1.2502553139340133</v>
      </c>
    </row>
    <row r="23" spans="1:13" ht="19.5" customHeight="1">
      <c r="B23" s="159" t="s">
        <v>20</v>
      </c>
      <c r="C23" s="199"/>
      <c r="D23" s="2" t="s">
        <v>14</v>
      </c>
      <c r="E23" s="54">
        <v>389634</v>
      </c>
      <c r="F23" s="54">
        <v>32247</v>
      </c>
      <c r="G23" s="54">
        <v>143083</v>
      </c>
      <c r="H23" s="54">
        <v>37589</v>
      </c>
      <c r="I23" s="54">
        <v>178405</v>
      </c>
      <c r="J23" s="101">
        <f t="shared" si="0"/>
        <v>5342</v>
      </c>
      <c r="K23" s="51">
        <f t="shared" si="1"/>
        <v>1.1656588209755947</v>
      </c>
      <c r="L23" s="19">
        <f t="shared" si="2"/>
        <v>35322</v>
      </c>
      <c r="M23" s="26">
        <f t="shared" si="3"/>
        <v>1.2468637084768981</v>
      </c>
    </row>
    <row r="24" spans="1:13" ht="19.5" customHeight="1">
      <c r="B24" s="31"/>
      <c r="C24" s="199"/>
      <c r="D24" s="2" t="s">
        <v>13</v>
      </c>
      <c r="E24" s="54">
        <v>11880</v>
      </c>
      <c r="F24" s="54">
        <v>664</v>
      </c>
      <c r="G24" s="54">
        <v>5944</v>
      </c>
      <c r="H24" s="54">
        <v>1018</v>
      </c>
      <c r="I24" s="54">
        <v>5454</v>
      </c>
      <c r="J24" s="101">
        <f t="shared" si="0"/>
        <v>354</v>
      </c>
      <c r="K24" s="51">
        <f t="shared" si="1"/>
        <v>1.5331325301204819</v>
      </c>
      <c r="L24" s="19">
        <f t="shared" si="2"/>
        <v>-490</v>
      </c>
      <c r="M24" s="26">
        <f t="shared" si="3"/>
        <v>0.91756393001345893</v>
      </c>
    </row>
    <row r="25" spans="1:13" ht="19.5" customHeight="1">
      <c r="B25" s="25"/>
      <c r="C25" s="176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>
        <f>SUM(H26:H27)</f>
        <v>0</v>
      </c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177" t="s">
        <v>69</v>
      </c>
      <c r="C28" s="178"/>
      <c r="D28" s="179"/>
      <c r="E28" s="140">
        <v>1260128</v>
      </c>
      <c r="F28" s="140">
        <v>63462</v>
      </c>
      <c r="G28" s="140">
        <v>496501</v>
      </c>
      <c r="H28" s="140">
        <v>121236</v>
      </c>
      <c r="I28" s="140">
        <v>617277</v>
      </c>
      <c r="J28" s="141">
        <f t="shared" si="0"/>
        <v>57774</v>
      </c>
      <c r="K28" s="142">
        <f t="shared" si="1"/>
        <v>1.9103715609341023</v>
      </c>
      <c r="L28" s="143">
        <f t="shared" si="2"/>
        <v>120776</v>
      </c>
      <c r="M28" s="144">
        <f t="shared" si="3"/>
        <v>1.2432542935462365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28"/>
      <c r="E31" s="128"/>
      <c r="F31" s="128"/>
      <c r="G31" s="128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N7" sqref="N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21.5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21.5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6911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48552.963000000003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21.5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21.5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367494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21" sqref="O21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41" t="s">
        <v>39</v>
      </c>
      <c r="B2" s="242"/>
      <c r="C2" s="242"/>
      <c r="D2" s="245" t="s">
        <v>40</v>
      </c>
      <c r="E2" s="75"/>
      <c r="F2" s="247" t="s">
        <v>74</v>
      </c>
      <c r="G2" s="248"/>
      <c r="H2" s="237" t="s">
        <v>76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6" t="s">
        <v>42</v>
      </c>
      <c r="F3" s="76" t="str">
        <f>통계요약!F6</f>
        <v>5월(A)</v>
      </c>
      <c r="G3" s="76" t="str">
        <f>통계요약!G6</f>
        <v>5월누계(B)</v>
      </c>
      <c r="H3" s="161" t="str">
        <f>통계요약!H6</f>
        <v>5월(C)</v>
      </c>
      <c r="I3" s="76" t="str">
        <f>통계요약!I6</f>
        <v>5월누계(D)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39" t="s">
        <v>46</v>
      </c>
      <c r="B4" s="240"/>
      <c r="C4" s="240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66398</v>
      </c>
      <c r="G4" s="118">
        <f>SUM(G6,G8,G10,G12,G14,G16,G18,G22,G24,G26,G28,G20)</f>
        <v>295905</v>
      </c>
      <c r="H4" s="118">
        <f>SUM(H6,H8,H12,H14,H16,H18,H22,H24,H26,H28,H20,H10)</f>
        <v>78794</v>
      </c>
      <c r="I4" s="118">
        <f>SUM(I6,I8,I12,I14,I16,I18,I22,I24,I26,I28,I20,I10)</f>
        <v>367482</v>
      </c>
      <c r="J4" s="108">
        <f t="shared" ref="J4:J27" si="0">H4-F4</f>
        <v>12396</v>
      </c>
      <c r="K4" s="109">
        <f t="shared" ref="K4:K29" si="1">(H4/F4*100)-100</f>
        <v>18.669237025211601</v>
      </c>
      <c r="L4" s="110">
        <f t="shared" ref="L4:L27" si="2">I4-G4</f>
        <v>71577</v>
      </c>
      <c r="M4" s="122">
        <f t="shared" ref="M4:M27" si="3">(I4/G4*100)-100</f>
        <v>24.189182338926358</v>
      </c>
    </row>
    <row r="5" spans="1:13" ht="21.95" customHeight="1">
      <c r="A5" s="239"/>
      <c r="B5" s="240"/>
      <c r="C5" s="240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1060332</v>
      </c>
      <c r="G5" s="118">
        <f>SUM(G7,G9,G11,G13,G15,G17,G19,G23,G25,G27,G29,G21)</f>
        <v>4400777</v>
      </c>
      <c r="H5" s="118">
        <f>SUM(H7,H9,H13,H15,H17,H19,H23,H25,H27,H29,H21,H11)</f>
        <v>1188504</v>
      </c>
      <c r="I5" s="118">
        <f>SUM(I7,I9,I13,I15,I17,I19,I23,I25,I27,I29,I21,I11)</f>
        <v>5634371</v>
      </c>
      <c r="J5" s="108">
        <f t="shared" si="0"/>
        <v>128172</v>
      </c>
      <c r="K5" s="109">
        <f t="shared" si="1"/>
        <v>12.087912087912088</v>
      </c>
      <c r="L5" s="110">
        <f t="shared" si="2"/>
        <v>1233594</v>
      </c>
      <c r="M5" s="122">
        <f t="shared" si="3"/>
        <v>28.031277204002834</v>
      </c>
    </row>
    <row r="6" spans="1:13" ht="21.2" customHeight="1">
      <c r="A6" s="227" t="s">
        <v>53</v>
      </c>
      <c r="B6" s="228"/>
      <c r="C6" s="228"/>
      <c r="D6" s="80" t="s">
        <v>47</v>
      </c>
      <c r="E6" s="119">
        <v>40012</v>
      </c>
      <c r="F6" s="119">
        <v>2980</v>
      </c>
      <c r="G6" s="119">
        <v>13713</v>
      </c>
      <c r="H6" s="119">
        <v>4928</v>
      </c>
      <c r="I6" s="119">
        <v>21525</v>
      </c>
      <c r="J6" s="111">
        <f>I6-F6</f>
        <v>18545</v>
      </c>
      <c r="K6" s="112">
        <f>(I6/F6*100)-100</f>
        <v>622.31543624161066</v>
      </c>
      <c r="L6" s="113">
        <f>I6-G6</f>
        <v>7812</v>
      </c>
      <c r="M6" s="123">
        <f>(I6/G6*100)-100</f>
        <v>56.967840735068904</v>
      </c>
    </row>
    <row r="7" spans="1:13" ht="21.2" customHeight="1">
      <c r="A7" s="227"/>
      <c r="B7" s="228"/>
      <c r="C7" s="228"/>
      <c r="D7" s="80" t="s">
        <v>48</v>
      </c>
      <c r="E7" s="119">
        <v>733864</v>
      </c>
      <c r="F7" s="119">
        <v>54112</v>
      </c>
      <c r="G7" s="119">
        <v>252351</v>
      </c>
      <c r="H7" s="119">
        <v>92297</v>
      </c>
      <c r="I7" s="119">
        <v>395063</v>
      </c>
      <c r="J7" s="111">
        <f t="shared" ref="J7:J18" si="4">H7-F7</f>
        <v>38185</v>
      </c>
      <c r="K7" s="112">
        <f t="shared" ref="K7:K17" si="5">(H7/F7*100)-100</f>
        <v>70.566602602010647</v>
      </c>
      <c r="L7" s="113">
        <f t="shared" si="2"/>
        <v>142712</v>
      </c>
      <c r="M7" s="123">
        <f t="shared" si="3"/>
        <v>56.552975815431694</v>
      </c>
    </row>
    <row r="8" spans="1:13" ht="21.2" customHeight="1">
      <c r="A8" s="227" t="s">
        <v>54</v>
      </c>
      <c r="B8" s="228"/>
      <c r="C8" s="228"/>
      <c r="D8" s="80" t="s">
        <v>47</v>
      </c>
      <c r="E8" s="119">
        <v>64529</v>
      </c>
      <c r="F8" s="119">
        <v>5665</v>
      </c>
      <c r="G8" s="119">
        <v>23634</v>
      </c>
      <c r="H8" s="119">
        <v>4279</v>
      </c>
      <c r="I8" s="119">
        <v>27966</v>
      </c>
      <c r="J8" s="111">
        <f>I8-F8</f>
        <v>22301</v>
      </c>
      <c r="K8" s="112">
        <f>(I8/F8*100)-100</f>
        <v>393.66284201235658</v>
      </c>
      <c r="L8" s="113">
        <f>I8-G8</f>
        <v>4332</v>
      </c>
      <c r="M8" s="123">
        <f>(I8/G8*100)-100</f>
        <v>18.329525260218333</v>
      </c>
    </row>
    <row r="9" spans="1:13" ht="21.2" customHeight="1">
      <c r="A9" s="227"/>
      <c r="B9" s="228"/>
      <c r="C9" s="228"/>
      <c r="D9" s="80" t="s">
        <v>48</v>
      </c>
      <c r="E9" s="119">
        <v>1014764</v>
      </c>
      <c r="F9" s="119">
        <v>86001</v>
      </c>
      <c r="G9" s="119">
        <v>374860</v>
      </c>
      <c r="H9" s="119">
        <v>65462</v>
      </c>
      <c r="I9" s="119">
        <v>438439</v>
      </c>
      <c r="J9" s="111">
        <f t="shared" si="4"/>
        <v>-20539</v>
      </c>
      <c r="K9" s="112">
        <f t="shared" si="5"/>
        <v>-23.882280438599551</v>
      </c>
      <c r="L9" s="113">
        <f t="shared" si="2"/>
        <v>63579</v>
      </c>
      <c r="M9" s="123">
        <f t="shared" si="3"/>
        <v>16.960732006615814</v>
      </c>
    </row>
    <row r="10" spans="1:13" ht="21.2" customHeight="1">
      <c r="A10" s="221" t="s">
        <v>66</v>
      </c>
      <c r="B10" s="222"/>
      <c r="C10" s="223"/>
      <c r="D10" s="80" t="s">
        <v>47</v>
      </c>
      <c r="E10" s="119">
        <v>11</v>
      </c>
      <c r="F10" s="156"/>
      <c r="G10" s="156"/>
      <c r="H10" s="119"/>
      <c r="I10" s="156"/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24"/>
      <c r="B11" s="225"/>
      <c r="C11" s="226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7" t="s">
        <v>55</v>
      </c>
      <c r="B12" s="228"/>
      <c r="C12" s="228"/>
      <c r="D12" s="80" t="s">
        <v>47</v>
      </c>
      <c r="E12" s="119">
        <v>94591</v>
      </c>
      <c r="F12" s="119">
        <v>3672</v>
      </c>
      <c r="G12" s="119">
        <v>29105</v>
      </c>
      <c r="H12" s="119">
        <v>11861</v>
      </c>
      <c r="I12" s="119">
        <v>44360</v>
      </c>
      <c r="J12" s="111">
        <f>I12-F12</f>
        <v>40688</v>
      </c>
      <c r="K12" s="112">
        <f>(I12/F12*100)-100</f>
        <v>1108.0610021786492</v>
      </c>
      <c r="L12" s="113">
        <f>I12-G12</f>
        <v>15255</v>
      </c>
      <c r="M12" s="123">
        <f>(I12/G12*100)-100</f>
        <v>52.413674626352872</v>
      </c>
    </row>
    <row r="13" spans="1:13" ht="21.2" customHeight="1">
      <c r="A13" s="227"/>
      <c r="B13" s="228"/>
      <c r="C13" s="228"/>
      <c r="D13" s="80" t="s">
        <v>48</v>
      </c>
      <c r="E13" s="119">
        <v>1458673</v>
      </c>
      <c r="F13" s="119">
        <v>65618</v>
      </c>
      <c r="G13" s="119">
        <v>423105</v>
      </c>
      <c r="H13" s="119">
        <v>174978</v>
      </c>
      <c r="I13" s="119">
        <v>657402</v>
      </c>
      <c r="J13" s="111">
        <f t="shared" si="4"/>
        <v>109360</v>
      </c>
      <c r="K13" s="112">
        <f t="shared" si="5"/>
        <v>166.6615867597306</v>
      </c>
      <c r="L13" s="113">
        <f t="shared" si="2"/>
        <v>234297</v>
      </c>
      <c r="M13" s="123">
        <f t="shared" si="3"/>
        <v>55.375615981848483</v>
      </c>
    </row>
    <row r="14" spans="1:13" ht="21.2" customHeight="1">
      <c r="A14" s="227" t="s">
        <v>62</v>
      </c>
      <c r="B14" s="228"/>
      <c r="C14" s="228"/>
      <c r="D14" s="80" t="s">
        <v>47</v>
      </c>
      <c r="E14" s="119">
        <v>230422</v>
      </c>
      <c r="F14" s="119">
        <v>19847</v>
      </c>
      <c r="G14" s="119">
        <v>81958</v>
      </c>
      <c r="H14" s="119">
        <v>20101</v>
      </c>
      <c r="I14" s="119">
        <v>108618</v>
      </c>
      <c r="J14" s="111">
        <f t="shared" si="4"/>
        <v>254</v>
      </c>
      <c r="K14" s="112">
        <f t="shared" si="5"/>
        <v>1.2797903965334712</v>
      </c>
      <c r="L14" s="113">
        <f t="shared" si="2"/>
        <v>26660</v>
      </c>
      <c r="M14" s="123">
        <f t="shared" si="3"/>
        <v>32.528856243441766</v>
      </c>
    </row>
    <row r="15" spans="1:13" ht="21.2" customHeight="1">
      <c r="A15" s="227"/>
      <c r="B15" s="228"/>
      <c r="C15" s="228"/>
      <c r="D15" s="80" t="s">
        <v>48</v>
      </c>
      <c r="E15" s="119">
        <v>3151058</v>
      </c>
      <c r="F15" s="119">
        <v>306995</v>
      </c>
      <c r="G15" s="119">
        <v>1065782</v>
      </c>
      <c r="H15" s="119">
        <v>274770</v>
      </c>
      <c r="I15" s="119">
        <v>1516929</v>
      </c>
      <c r="J15" s="111">
        <f t="shared" si="4"/>
        <v>-32225</v>
      </c>
      <c r="K15" s="112">
        <f t="shared" si="5"/>
        <v>-10.496913630515152</v>
      </c>
      <c r="L15" s="113">
        <f t="shared" si="2"/>
        <v>451147</v>
      </c>
      <c r="M15" s="123">
        <f t="shared" si="3"/>
        <v>42.330138808874608</v>
      </c>
    </row>
    <row r="16" spans="1:13" ht="21.2" customHeight="1">
      <c r="A16" s="227" t="s">
        <v>56</v>
      </c>
      <c r="B16" s="228"/>
      <c r="C16" s="228"/>
      <c r="D16" s="80" t="s">
        <v>47</v>
      </c>
      <c r="E16" s="119">
        <v>142475</v>
      </c>
      <c r="F16" s="119">
        <v>16858</v>
      </c>
      <c r="G16" s="119">
        <v>68941</v>
      </c>
      <c r="H16" s="119">
        <v>13928</v>
      </c>
      <c r="I16" s="119">
        <v>59881</v>
      </c>
      <c r="J16" s="111">
        <f t="shared" si="4"/>
        <v>-2930</v>
      </c>
      <c r="K16" s="81">
        <f t="shared" si="5"/>
        <v>-17.380472179380718</v>
      </c>
      <c r="L16" s="82">
        <f t="shared" si="2"/>
        <v>-9060</v>
      </c>
      <c r="M16" s="124">
        <f t="shared" si="3"/>
        <v>-13.141671864347771</v>
      </c>
    </row>
    <row r="17" spans="1:13" ht="21.2" customHeight="1">
      <c r="A17" s="227"/>
      <c r="B17" s="228"/>
      <c r="C17" s="228"/>
      <c r="D17" s="80" t="s">
        <v>48</v>
      </c>
      <c r="E17" s="119">
        <v>2264820</v>
      </c>
      <c r="F17" s="119">
        <v>277494</v>
      </c>
      <c r="G17" s="119">
        <v>1112875</v>
      </c>
      <c r="H17" s="119">
        <v>206761</v>
      </c>
      <c r="I17" s="119">
        <v>966227</v>
      </c>
      <c r="J17" s="111">
        <f t="shared" si="4"/>
        <v>-70733</v>
      </c>
      <c r="K17" s="81">
        <f t="shared" si="5"/>
        <v>-25.489920502785651</v>
      </c>
      <c r="L17" s="82">
        <f t="shared" si="2"/>
        <v>-146648</v>
      </c>
      <c r="M17" s="124">
        <f t="shared" si="3"/>
        <v>-13.177400876109175</v>
      </c>
    </row>
    <row r="18" spans="1:13" ht="21.2" customHeight="1">
      <c r="A18" s="231" t="s">
        <v>70</v>
      </c>
      <c r="B18" s="232"/>
      <c r="C18" s="232"/>
      <c r="D18" s="146" t="s">
        <v>47</v>
      </c>
      <c r="E18" s="145">
        <v>670</v>
      </c>
      <c r="F18" s="155"/>
      <c r="G18" s="155"/>
      <c r="H18" s="155"/>
      <c r="I18" s="155"/>
      <c r="J18" s="147">
        <f t="shared" si="4"/>
        <v>0</v>
      </c>
      <c r="K18" s="148" t="s">
        <v>68</v>
      </c>
      <c r="L18" s="149">
        <f t="shared" si="2"/>
        <v>0</v>
      </c>
      <c r="M18" s="150">
        <v>0</v>
      </c>
    </row>
    <row r="19" spans="1:13" ht="21.2" customHeight="1">
      <c r="A19" s="233"/>
      <c r="B19" s="234"/>
      <c r="C19" s="234"/>
      <c r="D19" s="151" t="s">
        <v>48</v>
      </c>
      <c r="E19" s="145">
        <v>6371</v>
      </c>
      <c r="F19" s="155"/>
      <c r="G19" s="155"/>
      <c r="H19" s="155"/>
      <c r="I19" s="155"/>
      <c r="J19" s="147">
        <f t="shared" si="0"/>
        <v>0</v>
      </c>
      <c r="K19" s="152" t="s">
        <v>68</v>
      </c>
      <c r="L19" s="153">
        <f t="shared" si="2"/>
        <v>0</v>
      </c>
      <c r="M19" s="154">
        <v>0</v>
      </c>
    </row>
    <row r="20" spans="1:13" ht="21.2" customHeight="1">
      <c r="A20" s="221" t="s">
        <v>63</v>
      </c>
      <c r="B20" s="222"/>
      <c r="C20" s="223"/>
      <c r="D20" s="83" t="s">
        <v>64</v>
      </c>
      <c r="E20" s="119">
        <v>112</v>
      </c>
      <c r="F20" s="155"/>
      <c r="G20" s="155">
        <v>28</v>
      </c>
      <c r="H20" s="155"/>
      <c r="I20" s="155">
        <v>16</v>
      </c>
      <c r="J20" s="111">
        <f t="shared" si="0"/>
        <v>0</v>
      </c>
      <c r="K20" s="138" t="s">
        <v>68</v>
      </c>
      <c r="L20" s="115">
        <f t="shared" si="2"/>
        <v>-12</v>
      </c>
      <c r="M20" s="125">
        <f t="shared" si="3"/>
        <v>-42.857142857142861</v>
      </c>
    </row>
    <row r="21" spans="1:13" ht="21.2" customHeight="1">
      <c r="A21" s="224"/>
      <c r="B21" s="225"/>
      <c r="C21" s="226"/>
      <c r="D21" s="83" t="s">
        <v>65</v>
      </c>
      <c r="E21" s="119">
        <v>776</v>
      </c>
      <c r="F21" s="155"/>
      <c r="G21" s="155">
        <v>216</v>
      </c>
      <c r="H21" s="155"/>
      <c r="I21" s="155">
        <v>129</v>
      </c>
      <c r="J21" s="111">
        <f t="shared" si="0"/>
        <v>0</v>
      </c>
      <c r="K21" s="138" t="s">
        <v>68</v>
      </c>
      <c r="L21" s="115">
        <f t="shared" si="2"/>
        <v>-87</v>
      </c>
      <c r="M21" s="125">
        <f t="shared" si="3"/>
        <v>-40.277777777777779</v>
      </c>
    </row>
    <row r="22" spans="1:13" ht="21.2" customHeight="1">
      <c r="A22" s="227" t="s">
        <v>58</v>
      </c>
      <c r="B22" s="228"/>
      <c r="C22" s="228"/>
      <c r="D22" s="80" t="s">
        <v>47</v>
      </c>
      <c r="E22" s="119">
        <v>544</v>
      </c>
      <c r="F22" s="156">
        <v>42</v>
      </c>
      <c r="G22" s="119">
        <v>208</v>
      </c>
      <c r="H22" s="119">
        <v>10</v>
      </c>
      <c r="I22" s="156">
        <v>108</v>
      </c>
      <c r="J22" s="111">
        <f t="shared" si="0"/>
        <v>-32</v>
      </c>
      <c r="K22" s="112">
        <f t="shared" si="1"/>
        <v>-76.19047619047619</v>
      </c>
      <c r="L22" s="113">
        <f t="shared" si="2"/>
        <v>-100</v>
      </c>
      <c r="M22" s="123">
        <f t="shared" si="3"/>
        <v>-48.076923076923073</v>
      </c>
    </row>
    <row r="23" spans="1:13" ht="21.2" customHeight="1">
      <c r="A23" s="235"/>
      <c r="B23" s="236"/>
      <c r="C23" s="236"/>
      <c r="D23" s="83" t="s">
        <v>48</v>
      </c>
      <c r="E23" s="119">
        <v>4339</v>
      </c>
      <c r="F23" s="156">
        <v>339</v>
      </c>
      <c r="G23" s="119">
        <v>1881</v>
      </c>
      <c r="H23" s="119"/>
      <c r="I23" s="156">
        <v>965</v>
      </c>
      <c r="J23" s="111">
        <f t="shared" si="0"/>
        <v>-339</v>
      </c>
      <c r="K23" s="114">
        <f t="shared" si="1"/>
        <v>-100</v>
      </c>
      <c r="L23" s="115">
        <f t="shared" si="2"/>
        <v>-916</v>
      </c>
      <c r="M23" s="125">
        <f t="shared" si="3"/>
        <v>-48.697501329080275</v>
      </c>
    </row>
    <row r="24" spans="1:13" ht="21.2" customHeight="1">
      <c r="A24" s="227" t="s">
        <v>59</v>
      </c>
      <c r="B24" s="228"/>
      <c r="C24" s="228"/>
      <c r="D24" s="80" t="s">
        <v>47</v>
      </c>
      <c r="E24" s="119">
        <v>75409</v>
      </c>
      <c r="F24" s="119">
        <v>6554</v>
      </c>
      <c r="G24" s="119">
        <v>26423</v>
      </c>
      <c r="H24" s="119">
        <v>7970</v>
      </c>
      <c r="I24" s="119">
        <v>34772</v>
      </c>
      <c r="J24" s="111">
        <f t="shared" si="0"/>
        <v>1416</v>
      </c>
      <c r="K24" s="112">
        <f t="shared" si="1"/>
        <v>21.605126640219723</v>
      </c>
      <c r="L24" s="113">
        <f t="shared" si="2"/>
        <v>8349</v>
      </c>
      <c r="M24" s="123">
        <f t="shared" si="3"/>
        <v>31.597471899481519</v>
      </c>
    </row>
    <row r="25" spans="1:13" ht="21.2" customHeight="1">
      <c r="A25" s="227"/>
      <c r="B25" s="228"/>
      <c r="C25" s="228"/>
      <c r="D25" s="80" t="s">
        <v>48</v>
      </c>
      <c r="E25" s="119">
        <v>1215186</v>
      </c>
      <c r="F25" s="119">
        <v>103985</v>
      </c>
      <c r="G25" s="119">
        <v>408844</v>
      </c>
      <c r="H25" s="119">
        <v>126713</v>
      </c>
      <c r="I25" s="119">
        <v>562374</v>
      </c>
      <c r="J25" s="111">
        <f t="shared" si="0"/>
        <v>22728</v>
      </c>
      <c r="K25" s="112">
        <f t="shared" si="1"/>
        <v>21.856998605568108</v>
      </c>
      <c r="L25" s="113">
        <f t="shared" si="2"/>
        <v>153530</v>
      </c>
      <c r="M25" s="123">
        <f t="shared" si="3"/>
        <v>37.552220406805532</v>
      </c>
    </row>
    <row r="26" spans="1:13" ht="21.2" customHeight="1">
      <c r="A26" s="227" t="s">
        <v>60</v>
      </c>
      <c r="B26" s="228"/>
      <c r="C26" s="228"/>
      <c r="D26" s="85" t="s">
        <v>47</v>
      </c>
      <c r="E26" s="120">
        <v>105261</v>
      </c>
      <c r="F26" s="120">
        <v>8515</v>
      </c>
      <c r="G26" s="120">
        <v>38160</v>
      </c>
      <c r="H26" s="119">
        <v>11735</v>
      </c>
      <c r="I26" s="120">
        <v>48064</v>
      </c>
      <c r="J26" s="111">
        <f t="shared" si="0"/>
        <v>3220</v>
      </c>
      <c r="K26" s="116">
        <f t="shared" si="1"/>
        <v>37.815619495008804</v>
      </c>
      <c r="L26" s="117">
        <f t="shared" si="2"/>
        <v>9904</v>
      </c>
      <c r="M26" s="126">
        <f t="shared" si="3"/>
        <v>25.953878406708597</v>
      </c>
    </row>
    <row r="27" spans="1:13" ht="21.2" customHeight="1">
      <c r="A27" s="227"/>
      <c r="B27" s="228"/>
      <c r="C27" s="228"/>
      <c r="D27" s="83" t="s">
        <v>48</v>
      </c>
      <c r="E27" s="129">
        <v>1550056</v>
      </c>
      <c r="F27" s="129">
        <v>130011</v>
      </c>
      <c r="G27" s="129">
        <v>546389</v>
      </c>
      <c r="H27" s="119">
        <v>180552</v>
      </c>
      <c r="I27" s="129">
        <v>740212</v>
      </c>
      <c r="J27" s="130">
        <f t="shared" si="0"/>
        <v>50541</v>
      </c>
      <c r="K27" s="114">
        <f t="shared" si="1"/>
        <v>38.87440293513626</v>
      </c>
      <c r="L27" s="115">
        <f t="shared" si="2"/>
        <v>193823</v>
      </c>
      <c r="M27" s="125">
        <f t="shared" si="3"/>
        <v>35.473444743580131</v>
      </c>
    </row>
    <row r="28" spans="1:13" ht="21.2" customHeight="1">
      <c r="A28" s="227" t="s">
        <v>61</v>
      </c>
      <c r="B28" s="228"/>
      <c r="C28" s="228"/>
      <c r="D28" s="80" t="s">
        <v>47</v>
      </c>
      <c r="E28" s="119">
        <v>38607</v>
      </c>
      <c r="F28" s="119">
        <v>2265</v>
      </c>
      <c r="G28" s="119">
        <v>13735</v>
      </c>
      <c r="H28" s="119">
        <v>3982</v>
      </c>
      <c r="I28" s="119">
        <v>22172</v>
      </c>
      <c r="J28" s="111">
        <f>H28-F28</f>
        <v>1717</v>
      </c>
      <c r="K28" s="114">
        <f t="shared" si="1"/>
        <v>75.805739514348801</v>
      </c>
      <c r="L28" s="113">
        <f>I28-G28</f>
        <v>8437</v>
      </c>
      <c r="M28" s="136" t="s">
        <v>67</v>
      </c>
    </row>
    <row r="29" spans="1:13" ht="21.2" customHeight="1" thickBot="1">
      <c r="A29" s="229"/>
      <c r="B29" s="230"/>
      <c r="C29" s="230"/>
      <c r="D29" s="131" t="s">
        <v>48</v>
      </c>
      <c r="E29" s="132">
        <v>594069</v>
      </c>
      <c r="F29" s="132">
        <v>35777</v>
      </c>
      <c r="G29" s="132">
        <v>214474</v>
      </c>
      <c r="H29" s="132">
        <v>66971</v>
      </c>
      <c r="I29" s="132">
        <v>356631</v>
      </c>
      <c r="J29" s="133">
        <f>H29-F29</f>
        <v>31194</v>
      </c>
      <c r="K29" s="173">
        <f t="shared" si="1"/>
        <v>87.19009419459428</v>
      </c>
      <c r="L29" s="134">
        <f>I29-G29</f>
        <v>142157</v>
      </c>
      <c r="M29" s="13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2021-06-22T06:11:29Z</cp:lastPrinted>
  <dcterms:created xsi:type="dcterms:W3CDTF">1998-03-31T03:01:22Z</dcterms:created>
  <dcterms:modified xsi:type="dcterms:W3CDTF">2021-06-22T07:13:45Z</dcterms:modified>
</cp:coreProperties>
</file>