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3. 항만운영통계\2024\5월\"/>
    </mc:Choice>
  </mc:AlternateContent>
  <xr:revisionPtr revIDLastSave="0" documentId="13_ncr:1_{F4097603-75DF-4851-8C81-08FFB632BD87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F9" i="32" l="1"/>
  <c r="F8" i="32"/>
  <c r="E9" i="32"/>
  <c r="E8" i="32"/>
  <c r="D9" i="32"/>
  <c r="D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O7" i="33" s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<sst xmlns="http://schemas.openxmlformats.org/spreadsheetml/2006/main" count="159" uniqueCount="113">
  <si>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</si>
  <si>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</si>
  <si>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</si>
  <si>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</si>
  <si>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</si>
  <si>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</si>
  <si>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</si>
  <si>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8" type="noConversion"/>
  </si>
  <si>
    <t xml:space="preserve"> 합  계</t>
    <phoneticPr fontId="8" type="noConversion"/>
  </si>
  <si>
    <t xml:space="preserve"> 외  항</t>
    <phoneticPr fontId="8" type="noConversion"/>
  </si>
  <si>
    <t xml:space="preserve"> 내  항</t>
    <phoneticPr fontId="8" type="noConversion"/>
  </si>
  <si>
    <t>연간누계</t>
    <phoneticPr fontId="8" type="noConversion"/>
  </si>
  <si>
    <t>계</t>
    <phoneticPr fontId="8" type="noConversion"/>
  </si>
  <si>
    <t>환적</t>
    <phoneticPr fontId="8" type="noConversion"/>
  </si>
  <si>
    <t>수출</t>
    <phoneticPr fontId="8" type="noConversion"/>
  </si>
  <si>
    <t>전년동기대비</t>
    <phoneticPr fontId="8" type="noConversion"/>
  </si>
  <si>
    <t>(%)</t>
    <phoneticPr fontId="8" type="noConversion"/>
  </si>
  <si>
    <t>환적</t>
    <phoneticPr fontId="8" type="noConversion"/>
  </si>
  <si>
    <t>D-B</t>
    <phoneticPr fontId="8" type="noConversion"/>
  </si>
  <si>
    <t>선박</t>
    <phoneticPr fontId="8" type="noConversion"/>
  </si>
  <si>
    <t>화물</t>
    <phoneticPr fontId="8" type="noConversion"/>
  </si>
  <si>
    <t>(단위:TEU, 100% 기준)</t>
    <phoneticPr fontId="8" type="noConversion"/>
  </si>
  <si>
    <t>컨테이너</t>
    <phoneticPr fontId="8" type="noConversion"/>
  </si>
  <si>
    <t>구     분</t>
    <phoneticPr fontId="8" type="noConversion"/>
  </si>
  <si>
    <t>단위</t>
    <phoneticPr fontId="20" type="noConversion"/>
  </si>
  <si>
    <t>전년동기대비</t>
    <phoneticPr fontId="8" type="noConversion"/>
  </si>
  <si>
    <t>연간누계</t>
    <phoneticPr fontId="8" type="noConversion"/>
  </si>
  <si>
    <t>C-A</t>
    <phoneticPr fontId="8" type="noConversion"/>
  </si>
  <si>
    <t>(%)</t>
    <phoneticPr fontId="8" type="noConversion"/>
  </si>
  <si>
    <t>D-B</t>
    <phoneticPr fontId="8" type="noConversion"/>
  </si>
  <si>
    <t>합  계</t>
    <phoneticPr fontId="8" type="noConversion"/>
  </si>
  <si>
    <t>TEU</t>
    <phoneticPr fontId="20" type="noConversion"/>
  </si>
  <si>
    <t>톤</t>
    <phoneticPr fontId="20" type="noConversion"/>
  </si>
  <si>
    <t>국제여객부두1번</t>
  </si>
  <si>
    <t>국제여객부두2번</t>
  </si>
  <si>
    <t>동부두 6</t>
    <phoneticPr fontId="20" type="noConversion"/>
  </si>
  <si>
    <t>동부두 8</t>
    <phoneticPr fontId="20" type="noConversion"/>
  </si>
  <si>
    <t>C-A</t>
    <phoneticPr fontId="8" type="noConversion"/>
  </si>
  <si>
    <t>동부두 12</t>
    <phoneticPr fontId="20" type="noConversion"/>
  </si>
  <si>
    <t>동부두 14</t>
    <phoneticPr fontId="20" type="noConversion"/>
  </si>
  <si>
    <t>동부두 15</t>
    <phoneticPr fontId="20" type="noConversion"/>
  </si>
  <si>
    <t>동부두 16</t>
    <phoneticPr fontId="20" type="noConversion"/>
  </si>
  <si>
    <t>동부두 7</t>
    <phoneticPr fontId="20" type="noConversion"/>
  </si>
  <si>
    <t>동부두 11</t>
    <phoneticPr fontId="20" type="noConversion"/>
  </si>
  <si>
    <t>TEU</t>
    <phoneticPr fontId="20" type="noConversion"/>
  </si>
  <si>
    <t>톤</t>
    <phoneticPr fontId="20" type="noConversion"/>
  </si>
  <si>
    <t>동부두 5</t>
    <phoneticPr fontId="20" type="noConversion"/>
  </si>
  <si>
    <t>자동차(대)</t>
    <phoneticPr fontId="8" type="noConversion"/>
  </si>
  <si>
    <t>동부두 9</t>
    <phoneticPr fontId="20" type="noConversion"/>
  </si>
  <si>
    <t>소계</t>
    <phoneticPr fontId="8" type="noConversion"/>
  </si>
  <si>
    <t>(단위 : 척)</t>
    <phoneticPr fontId="8" type="noConversion"/>
  </si>
  <si>
    <t>국제여객부두 1번선석</t>
  </si>
  <si>
    <t>국제여객부두 2번선석</t>
    <phoneticPr fontId="20" type="noConversion"/>
  </si>
  <si>
    <t>동부두 5번선석</t>
    <phoneticPr fontId="20" type="noConversion"/>
  </si>
  <si>
    <t>동부두 6번선석</t>
    <phoneticPr fontId="20" type="noConversion"/>
  </si>
  <si>
    <t>동부두 6번선석</t>
    <phoneticPr fontId="20" type="noConversion"/>
  </si>
  <si>
    <t>동부두 7번선석</t>
    <phoneticPr fontId="20" type="noConversion"/>
  </si>
  <si>
    <t>동부두 7번선석</t>
    <phoneticPr fontId="20" type="noConversion"/>
  </si>
  <si>
    <t>동부두 8번선석</t>
    <phoneticPr fontId="20" type="noConversion"/>
  </si>
  <si>
    <t>동부두 8번선석</t>
    <phoneticPr fontId="20" type="noConversion"/>
  </si>
  <si>
    <t>동부두 9번선석</t>
    <phoneticPr fontId="20" type="noConversion"/>
  </si>
  <si>
    <t>동부두 9번선석</t>
    <phoneticPr fontId="20" type="noConversion"/>
  </si>
  <si>
    <t>동부두 11번선석</t>
    <phoneticPr fontId="20" type="noConversion"/>
  </si>
  <si>
    <t>동부두 12번선석</t>
    <phoneticPr fontId="20" type="noConversion"/>
  </si>
  <si>
    <t>동부두 12번선석</t>
    <phoneticPr fontId="20" type="noConversion"/>
  </si>
  <si>
    <t>동부두 14번선석</t>
    <phoneticPr fontId="20" type="noConversion"/>
  </si>
  <si>
    <t>동부두 14번선석</t>
    <phoneticPr fontId="20" type="noConversion"/>
  </si>
  <si>
    <t>동부두 15번선석</t>
    <phoneticPr fontId="20" type="noConversion"/>
  </si>
  <si>
    <t>동부두 15번선석</t>
    <phoneticPr fontId="20" type="noConversion"/>
  </si>
  <si>
    <t>동부두 16번선석</t>
    <phoneticPr fontId="20" type="noConversion"/>
  </si>
  <si>
    <t>동부두 16번선석</t>
    <phoneticPr fontId="20" type="noConversion"/>
  </si>
  <si>
    <t>동부두 10</t>
    <phoneticPr fontId="20" type="noConversion"/>
  </si>
  <si>
    <t>동부두 1</t>
    <phoneticPr fontId="20" type="noConversion"/>
  </si>
  <si>
    <t>동부두 1번선석</t>
    <phoneticPr fontId="20" type="noConversion"/>
  </si>
  <si>
    <t>동부두 10번선석</t>
    <phoneticPr fontId="20" type="noConversion"/>
  </si>
  <si>
    <t>순증</t>
    <phoneticPr fontId="8" type="noConversion"/>
  </si>
  <si>
    <t>PNCT</t>
    <phoneticPr fontId="20" type="noConversion"/>
  </si>
  <si>
    <t>터미널별</t>
    <phoneticPr fontId="20" type="noConversion"/>
  </si>
  <si>
    <t>2022년 월별</t>
    <phoneticPr fontId="20" type="noConversion"/>
  </si>
  <si>
    <t>2022년 누계</t>
    <phoneticPr fontId="20" type="noConversion"/>
  </si>
  <si>
    <t>2023년 월별</t>
    <phoneticPr fontId="20" type="noConversion"/>
  </si>
  <si>
    <t>2023년 누계</t>
    <phoneticPr fontId="20" type="noConversion"/>
  </si>
  <si>
    <t>여객부두</t>
    <phoneticPr fontId="20" type="noConversion"/>
  </si>
  <si>
    <t>HPCTC</t>
    <phoneticPr fontId="20" type="noConversion"/>
  </si>
  <si>
    <t>`</t>
    <phoneticPr fontId="20" type="noConversion"/>
  </si>
  <si>
    <t>(단위 : 척, 천톤, 100% 기준)</t>
  </si>
  <si>
    <t>컨테이너</t>
    <phoneticPr fontId="8" type="noConversion"/>
  </si>
  <si>
    <t>연도별 수송실적</t>
    <phoneticPr fontId="8" type="noConversion"/>
  </si>
  <si>
    <t>(단위 : 천톤)</t>
    <phoneticPr fontId="8" type="noConversion"/>
  </si>
  <si>
    <t>(단위 : TEU)</t>
    <phoneticPr fontId="8" type="noConversion"/>
  </si>
  <si>
    <t>(단위 : 명)</t>
    <phoneticPr fontId="8" type="noConversion"/>
  </si>
  <si>
    <t>화물
입출항</t>
    <phoneticPr fontId="8" type="noConversion"/>
  </si>
  <si>
    <t>선박
입출항</t>
    <phoneticPr fontId="8" type="noConversion"/>
  </si>
  <si>
    <t>여  객</t>
    <phoneticPr fontId="8" type="noConversion"/>
  </si>
  <si>
    <t>구 분</t>
    <phoneticPr fontId="8" type="noConversion"/>
  </si>
  <si>
    <t>(선박입출항)</t>
    <phoneticPr fontId="8" type="noConversion"/>
  </si>
  <si>
    <t>(화물입출항)</t>
    <phoneticPr fontId="8" type="noConversion"/>
  </si>
  <si>
    <t>(컨테이너)</t>
    <phoneticPr fontId="8" type="noConversion"/>
  </si>
  <si>
    <t xml:space="preserve">□ 연도별 추이 </t>
    <phoneticPr fontId="19" type="noConversion"/>
  </si>
  <si>
    <t>(여 객)</t>
    <phoneticPr fontId="8" type="noConversion"/>
  </si>
  <si>
    <t>`</t>
    <phoneticPr fontId="8" type="noConversion"/>
  </si>
  <si>
    <t>2023년도</t>
    <phoneticPr fontId="8" type="noConversion"/>
  </si>
  <si>
    <t>2024년도</t>
    <phoneticPr fontId="8" type="noConversion"/>
  </si>
  <si>
    <t>2023년도</t>
    <phoneticPr fontId="8" type="noConversion"/>
  </si>
  <si>
    <t>2024년도</t>
    <phoneticPr fontId="8" type="noConversion"/>
  </si>
  <si>
    <t xml:space="preserve"> </t>
    <phoneticPr fontId="19" type="noConversion"/>
  </si>
  <si>
    <t>항만운영통계(5월)</t>
    <phoneticPr fontId="8" type="noConversion"/>
  </si>
  <si>
    <t>5월(A)</t>
    <phoneticPr fontId="8" type="noConversion"/>
  </si>
  <si>
    <t xml:space="preserve"> 5월누계(B) </t>
    <phoneticPr fontId="8" type="noConversion"/>
  </si>
  <si>
    <t>5월(C)</t>
    <phoneticPr fontId="8" type="noConversion"/>
  </si>
  <si>
    <t xml:space="preserve"> 5월누계(D) </t>
    <phoneticPr fontId="8" type="noConversion"/>
  </si>
  <si>
    <t>부두별 컨테이너 물동량(5월)</t>
    <phoneticPr fontId="20" type="noConversion"/>
  </si>
  <si>
    <t>2024.5.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</si>
</sst>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3">
    <xf numFmtId="0" fontId="0" fillId="0" borderId="0"/>
    <xf numFmtId="38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0" fillId="0" borderId="0"/>
    <xf numFmtId="0" fontId="9" fillId="0" borderId="0"/>
    <xf numFmtId="10" fontId="10" fillId="0" borderId="0" applyFont="0" applyFill="0" applyBorder="0" applyAlignment="0" applyProtection="0"/>
    <xf numFmtId="9" fontId="11" fillId="0" borderId="2" applyNumberFormat="0" applyBorder="0"/>
    <xf numFmtId="176" fontId="6" fillId="0" borderId="0" applyFont="0" applyFill="0" applyBorder="0" applyAlignment="0" applyProtection="0"/>
    <xf numFmtId="0" fontId="6" fillId="0" borderId="0"/>
    <xf numFmtId="0" fontId="23" fillId="0" borderId="0">
      <alignment vertical="center"/>
    </xf>
    <xf numFmtId="0" fontId="4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3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4" fillId="0" borderId="0"/>
    <xf numFmtId="0" fontId="23" fillId="0" borderId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9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0" fontId="18" fillId="0" borderId="0" xfId="0" applyFont="1"/>
    <xf numFmtId="0" fontId="6" fillId="0" borderId="0" xfId="16"/>
    <xf numFmtId="0" fontId="21" fillId="0" borderId="0" xfId="0" applyFont="1" applyBorder="1" applyAlignment="1">
      <alignment horizontal="center" vertical="center"/>
    </xf>
    <xf numFmtId="183" fontId="22" fillId="0" borderId="0" xfId="0" applyNumberFormat="1" applyFont="1" applyBorder="1" applyAlignment="1">
      <alignment vertical="center"/>
    </xf>
    <xf numFmtId="0" fontId="6" fillId="0" borderId="0" xfId="16" applyAlignment="1">
      <alignment horizontal="right"/>
    </xf>
    <xf numFmtId="180" fontId="6" fillId="0" borderId="0" xfId="16" applyNumberFormat="1" applyAlignment="1">
      <alignment horizontal="right"/>
    </xf>
    <xf numFmtId="0" fontId="7" fillId="0" borderId="0" xfId="16" applyFont="1" applyAlignment="1">
      <alignment horizontal="right" vertical="center"/>
    </xf>
    <xf numFmtId="180" fontId="7" fillId="0" borderId="0" xfId="16" applyNumberFormat="1" applyFont="1" applyAlignment="1">
      <alignment horizontal="right" vertical="center"/>
    </xf>
    <xf numFmtId="0" fontId="15" fillId="0" borderId="0" xfId="16" applyFont="1" applyAlignment="1">
      <alignment vertical="center"/>
    </xf>
    <xf numFmtId="0" fontId="23" fillId="0" borderId="0" xfId="17">
      <alignment vertical="center"/>
    </xf>
    <xf numFmtId="0" fontId="23" fillId="0" borderId="0" xfId="17" applyAlignment="1">
      <alignment horizontal="right"/>
    </xf>
    <xf numFmtId="180" fontId="23" fillId="0" borderId="0" xfId="17" applyNumberFormat="1" applyAlignment="1">
      <alignment horizontal="right"/>
    </xf>
    <xf numFmtId="0" fontId="7" fillId="0" borderId="0" xfId="17" applyFont="1" applyAlignment="1">
      <alignment horizontal="right" vertical="center"/>
    </xf>
    <xf numFmtId="180" fontId="7" fillId="0" borderId="0" xfId="17" applyNumberFormat="1" applyFont="1" applyAlignment="1">
      <alignment horizontal="right" vertical="center"/>
    </xf>
    <xf numFmtId="0" fontId="26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3" fillId="0" borderId="0" xfId="17" applyFont="1">
      <alignment vertical="center"/>
    </xf>
    <xf numFmtId="3" fontId="0" fillId="0" borderId="0" xfId="0" applyNumberFormat="1"/>
    <xf numFmtId="43" fontId="23" fillId="0" borderId="0" xfId="17" applyNumberFormat="1">
      <alignment vertical="center"/>
    </xf>
    <xf numFmtId="0" fontId="23" fillId="0" borderId="0" xfId="17" applyFont="1" applyAlignment="1">
      <alignment horizontal="center" vertical="center"/>
    </xf>
    <xf numFmtId="0" fontId="23" fillId="0" borderId="0" xfId="17" applyAlignment="1">
      <alignment horizontal="center" vertical="center"/>
    </xf>
    <xf numFmtId="176" fontId="23" fillId="0" borderId="1" xfId="15" applyFont="1" applyBorder="1" applyAlignment="1">
      <alignment horizontal="center" vertical="center"/>
    </xf>
    <xf numFmtId="0" fontId="23" fillId="0" borderId="1" xfId="15" applyNumberFormat="1" applyFont="1" applyBorder="1" applyAlignment="1">
      <alignment horizontal="center" vertical="center"/>
    </xf>
    <xf numFmtId="41" fontId="23" fillId="0" borderId="1" xfId="15" applyNumberFormat="1" applyFont="1" applyBorder="1" applyAlignment="1">
      <alignment horizontal="center" vertical="center"/>
    </xf>
    <xf numFmtId="190" fontId="23" fillId="0" borderId="0" xfId="17" applyNumberFormat="1">
      <alignment vertical="center"/>
    </xf>
    <xf numFmtId="176" fontId="1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3" fillId="0" borderId="0" xfId="65">
      <alignment vertical="center"/>
    </xf>
    <xf numFmtId="0" fontId="23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3" fillId="0" borderId="0" xfId="65" applyFill="1" applyBorder="1">
      <alignment vertical="center"/>
    </xf>
    <xf numFmtId="0" fontId="6" fillId="0" borderId="0" xfId="16" applyFill="1" applyBorder="1"/>
    <xf numFmtId="186" fontId="21" fillId="0" borderId="0" xfId="0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/>
    </xf>
    <xf numFmtId="187" fontId="21" fillId="0" borderId="0" xfId="0" quotePrefix="1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 shrinkToFit="1"/>
    </xf>
    <xf numFmtId="0" fontId="15" fillId="0" borderId="0" xfId="16" applyFont="1" applyFill="1" applyBorder="1" applyAlignment="1">
      <alignment vertical="center"/>
    </xf>
    <xf numFmtId="176" fontId="14" fillId="8" borderId="6" xfId="0" applyNumberFormat="1" applyFont="1" applyFill="1" applyBorder="1" applyAlignment="1">
      <alignment horizontal="right" vertical="center"/>
    </xf>
    <xf numFmtId="9" fontId="14" fillId="8" borderId="6" xfId="0" quotePrefix="1" applyNumberFormat="1" applyFont="1" applyFill="1" applyBorder="1" applyAlignment="1">
      <alignment horizontal="right" vertical="center"/>
    </xf>
    <xf numFmtId="9" fontId="13" fillId="4" borderId="6" xfId="0" quotePrefix="1" applyNumberFormat="1" applyFont="1" applyFill="1" applyBorder="1" applyAlignment="1">
      <alignment horizontal="right" vertical="center"/>
    </xf>
    <xf numFmtId="176" fontId="7" fillId="4" borderId="6" xfId="0" applyNumberFormat="1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right" vertical="center"/>
    </xf>
    <xf numFmtId="182" fontId="14" fillId="8" borderId="6" xfId="0" applyNumberFormat="1" applyFont="1" applyFill="1" applyBorder="1" applyAlignment="1">
      <alignment horizontal="right" vertical="center"/>
    </xf>
    <xf numFmtId="176" fontId="14" fillId="8" borderId="6" xfId="0" applyNumberFormat="1" applyFont="1" applyFill="1" applyBorder="1" applyAlignment="1">
      <alignment horizontal="center" vertical="center"/>
    </xf>
    <xf numFmtId="181" fontId="16" fillId="8" borderId="6" xfId="0" applyNumberFormat="1" applyFont="1" applyFill="1" applyBorder="1" applyAlignment="1">
      <alignment horizontal="right" vertical="center"/>
    </xf>
    <xf numFmtId="176" fontId="13" fillId="4" borderId="6" xfId="0" applyNumberFormat="1" applyFont="1" applyFill="1" applyBorder="1" applyAlignment="1">
      <alignment horizontal="center" vertical="center"/>
    </xf>
    <xf numFmtId="182" fontId="13" fillId="0" borderId="6" xfId="0" applyNumberFormat="1" applyFont="1" applyBorder="1" applyAlignment="1">
      <alignment horizontal="right" vertical="center"/>
    </xf>
    <xf numFmtId="182" fontId="13" fillId="0" borderId="6" xfId="0" applyNumberFormat="1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center" vertical="center"/>
    </xf>
    <xf numFmtId="182" fontId="7" fillId="4" borderId="6" xfId="0" applyNumberFormat="1" applyFont="1" applyFill="1" applyBorder="1" applyAlignment="1">
      <alignment horizontal="right" vertical="center"/>
    </xf>
    <xf numFmtId="9" fontId="7" fillId="4" borderId="11" xfId="0" applyNumberFormat="1" applyFont="1" applyFill="1" applyBorder="1" applyAlignment="1">
      <alignment horizontal="right" vertical="center"/>
    </xf>
    <xf numFmtId="9" fontId="16" fillId="8" borderId="11" xfId="0" applyNumberFormat="1" applyFont="1" applyFill="1" applyBorder="1" applyAlignment="1">
      <alignment horizontal="right" vertical="center"/>
    </xf>
    <xf numFmtId="176" fontId="13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41" fontId="13" fillId="5" borderId="6" xfId="23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right" vertical="center"/>
    </xf>
    <xf numFmtId="176" fontId="14" fillId="6" borderId="8" xfId="0" quotePrefix="1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/>
    </xf>
    <xf numFmtId="176" fontId="27" fillId="4" borderId="11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 wrapText="1"/>
    </xf>
    <xf numFmtId="9" fontId="14" fillId="6" borderId="18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180" fontId="14" fillId="6" borderId="19" xfId="0" applyNumberFormat="1" applyFont="1" applyFill="1" applyBorder="1" applyAlignment="1">
      <alignment horizontal="center" vertical="center"/>
    </xf>
    <xf numFmtId="176" fontId="13" fillId="0" borderId="20" xfId="0" applyNumberFormat="1" applyFont="1" applyBorder="1" applyAlignment="1">
      <alignment horizontal="right" vertical="center"/>
    </xf>
    <xf numFmtId="176" fontId="13" fillId="4" borderId="20" xfId="0" applyNumberFormat="1" applyFont="1" applyFill="1" applyBorder="1" applyAlignment="1">
      <alignment horizontal="right" vertical="center"/>
    </xf>
    <xf numFmtId="9" fontId="13" fillId="4" borderId="20" xfId="0" quotePrefix="1" applyNumberFormat="1" applyFont="1" applyFill="1" applyBorder="1" applyAlignment="1">
      <alignment horizontal="right" vertical="center"/>
    </xf>
    <xf numFmtId="9" fontId="7" fillId="4" borderId="21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right" vertical="center"/>
    </xf>
    <xf numFmtId="9" fontId="14" fillId="8" borderId="23" xfId="0" quotePrefix="1" applyNumberFormat="1" applyFont="1" applyFill="1" applyBorder="1" applyAlignment="1">
      <alignment horizontal="right" vertical="center"/>
    </xf>
    <xf numFmtId="9" fontId="16" fillId="8" borderId="24" xfId="0" applyNumberFormat="1" applyFont="1" applyFill="1" applyBorder="1" applyAlignment="1">
      <alignment horizontal="right" vertical="center"/>
    </xf>
    <xf numFmtId="176" fontId="13" fillId="0" borderId="18" xfId="0" applyNumberFormat="1" applyFont="1" applyFill="1" applyBorder="1" applyAlignment="1">
      <alignment horizontal="right" vertical="center"/>
    </xf>
    <xf numFmtId="9" fontId="13" fillId="0" borderId="18" xfId="0" quotePrefix="1" applyNumberFormat="1" applyFont="1" applyFill="1" applyBorder="1" applyAlignment="1">
      <alignment horizontal="right" vertical="center"/>
    </xf>
    <xf numFmtId="9" fontId="7" fillId="0" borderId="19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center" vertical="center"/>
    </xf>
    <xf numFmtId="182" fontId="14" fillId="8" borderId="20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right" vertical="center"/>
    </xf>
    <xf numFmtId="9" fontId="14" fillId="8" borderId="20" xfId="0" quotePrefix="1" applyNumberFormat="1" applyFont="1" applyFill="1" applyBorder="1" applyAlignment="1">
      <alignment horizontal="right" vertical="center"/>
    </xf>
    <xf numFmtId="9" fontId="16" fillId="8" borderId="21" xfId="0" applyNumberFormat="1" applyFont="1" applyFill="1" applyBorder="1" applyAlignment="1">
      <alignment horizontal="right" vertical="center"/>
    </xf>
    <xf numFmtId="182" fontId="14" fillId="8" borderId="23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0" fontId="13" fillId="4" borderId="18" xfId="0" applyFont="1" applyFill="1" applyBorder="1" applyAlignment="1">
      <alignment horizontal="center"/>
    </xf>
    <xf numFmtId="176" fontId="13" fillId="0" borderId="18" xfId="0" applyNumberFormat="1" applyFont="1" applyBorder="1" applyAlignment="1">
      <alignment horizontal="right" vertical="center"/>
    </xf>
    <xf numFmtId="176" fontId="13" fillId="0" borderId="18" xfId="0" applyNumberFormat="1" applyFont="1" applyBorder="1" applyAlignment="1">
      <alignment horizontal="center" vertical="center"/>
    </xf>
    <xf numFmtId="176" fontId="14" fillId="4" borderId="18" xfId="0" applyNumberFormat="1" applyFont="1" applyFill="1" applyBorder="1" applyAlignment="1">
      <alignment horizontal="right" vertical="center"/>
    </xf>
    <xf numFmtId="9" fontId="16" fillId="8" borderId="20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center" vertical="center" shrinkToFit="1"/>
    </xf>
    <xf numFmtId="176" fontId="14" fillId="8" borderId="23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right" vertical="center" shrinkToFit="1"/>
    </xf>
    <xf numFmtId="9" fontId="14" fillId="8" borderId="23" xfId="0" quotePrefix="1" applyNumberFormat="1" applyFont="1" applyFill="1" applyBorder="1" applyAlignment="1">
      <alignment horizontal="right" vertical="center" shrinkToFit="1"/>
    </xf>
    <xf numFmtId="41" fontId="13" fillId="0" borderId="18" xfId="0" applyNumberFormat="1" applyFont="1" applyFill="1" applyBorder="1" applyAlignment="1">
      <alignment horizontal="center" vertical="center"/>
    </xf>
    <xf numFmtId="176" fontId="27" fillId="4" borderId="18" xfId="0" applyNumberFormat="1" applyFont="1" applyFill="1" applyBorder="1" applyAlignment="1">
      <alignment horizontal="right" vertical="center"/>
    </xf>
    <xf numFmtId="176" fontId="27" fillId="4" borderId="18" xfId="0" applyNumberFormat="1" applyFont="1" applyFill="1" applyBorder="1" applyAlignment="1">
      <alignment horizontal="center" vertical="center"/>
    </xf>
    <xf numFmtId="176" fontId="7" fillId="4" borderId="18" xfId="0" applyNumberFormat="1" applyFont="1" applyFill="1" applyBorder="1" applyAlignment="1">
      <alignment horizontal="right" vertical="center"/>
    </xf>
    <xf numFmtId="176" fontId="27" fillId="4" borderId="19" xfId="0" applyNumberFormat="1" applyFont="1" applyFill="1" applyBorder="1" applyAlignment="1">
      <alignment horizontal="center" vertical="center"/>
    </xf>
    <xf numFmtId="181" fontId="14" fillId="8" borderId="22" xfId="0" applyNumberFormat="1" applyFont="1" applyFill="1" applyBorder="1" applyAlignment="1">
      <alignment horizontal="right" vertical="center"/>
    </xf>
    <xf numFmtId="181" fontId="14" fillId="8" borderId="23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1" fillId="4" borderId="6" xfId="17" applyFont="1" applyFill="1" applyBorder="1" applyAlignment="1">
      <alignment horizontal="center" vertical="center"/>
    </xf>
    <xf numFmtId="184" fontId="14" fillId="4" borderId="6" xfId="17" quotePrefix="1" applyNumberFormat="1" applyFont="1" applyFill="1" applyBorder="1" applyAlignment="1">
      <alignment horizontal="right" vertical="center" shrinkToFit="1"/>
    </xf>
    <xf numFmtId="176" fontId="14" fillId="4" borderId="6" xfId="17" applyNumberFormat="1" applyFont="1" applyFill="1" applyBorder="1" applyAlignment="1">
      <alignment horizontal="right" vertical="center" shrinkToFit="1"/>
    </xf>
    <xf numFmtId="41" fontId="22" fillId="0" borderId="6" xfId="23" applyFont="1" applyFill="1" applyBorder="1" applyAlignment="1">
      <alignment horizontal="right" vertical="center"/>
    </xf>
    <xf numFmtId="0" fontId="21" fillId="0" borderId="6" xfId="17" applyFont="1" applyFill="1" applyBorder="1" applyAlignment="1">
      <alignment horizontal="center" vertical="center"/>
    </xf>
    <xf numFmtId="184" fontId="14" fillId="4" borderId="11" xfId="17" quotePrefix="1" applyNumberFormat="1" applyFont="1" applyFill="1" applyBorder="1" applyAlignment="1">
      <alignment horizontal="right" vertical="center" shrinkToFit="1"/>
    </xf>
    <xf numFmtId="0" fontId="21" fillId="4" borderId="13" xfId="17" applyFont="1" applyFill="1" applyBorder="1" applyAlignment="1">
      <alignment horizontal="center" vertical="center"/>
    </xf>
    <xf numFmtId="184" fontId="14" fillId="4" borderId="13" xfId="17" quotePrefix="1" applyNumberFormat="1" applyFont="1" applyFill="1" applyBorder="1" applyAlignment="1">
      <alignment horizontal="right" vertical="center" shrinkToFit="1"/>
    </xf>
    <xf numFmtId="176" fontId="14" fillId="4" borderId="13" xfId="17" applyNumberFormat="1" applyFont="1" applyFill="1" applyBorder="1" applyAlignment="1">
      <alignment horizontal="right" vertical="center" shrinkToFit="1"/>
    </xf>
    <xf numFmtId="184" fontId="14" fillId="4" borderId="14" xfId="17" quotePrefix="1" applyNumberFormat="1" applyFont="1" applyFill="1" applyBorder="1" applyAlignment="1">
      <alignment horizontal="right" vertical="center" shrinkToFit="1"/>
    </xf>
    <xf numFmtId="176" fontId="14" fillId="6" borderId="18" xfId="17" applyNumberFormat="1" applyFont="1" applyFill="1" applyBorder="1" applyAlignment="1">
      <alignment horizontal="center" vertical="center"/>
    </xf>
    <xf numFmtId="176" fontId="29" fillId="6" borderId="18" xfId="17" applyNumberFormat="1" applyFont="1" applyFill="1" applyBorder="1" applyAlignment="1">
      <alignment horizontal="center" vertical="center"/>
    </xf>
    <xf numFmtId="9" fontId="14" fillId="6" borderId="18" xfId="17" applyNumberFormat="1" applyFont="1" applyFill="1" applyBorder="1" applyAlignment="1">
      <alignment horizontal="center" vertical="center"/>
    </xf>
    <xf numFmtId="0" fontId="16" fillId="6" borderId="18" xfId="17" applyFont="1" applyFill="1" applyBorder="1" applyAlignment="1">
      <alignment horizontal="center" vertical="center"/>
    </xf>
    <xf numFmtId="180" fontId="14" fillId="6" borderId="19" xfId="17" applyNumberFormat="1" applyFont="1" applyFill="1" applyBorder="1" applyAlignment="1">
      <alignment horizontal="center" vertical="center"/>
    </xf>
    <xf numFmtId="0" fontId="21" fillId="8" borderId="28" xfId="17" applyFont="1" applyFill="1" applyBorder="1" applyAlignment="1">
      <alignment horizontal="center" vertical="center"/>
    </xf>
    <xf numFmtId="183" fontId="21" fillId="8" borderId="28" xfId="17" applyNumberFormat="1" applyFont="1" applyFill="1" applyBorder="1" applyAlignment="1">
      <alignment vertical="center" shrinkToFit="1"/>
    </xf>
    <xf numFmtId="41" fontId="21" fillId="8" borderId="28" xfId="15" applyNumberFormat="1" applyFont="1" applyFill="1" applyBorder="1" applyAlignment="1">
      <alignment horizontal="center" vertical="center" shrinkToFit="1"/>
    </xf>
    <xf numFmtId="185" fontId="14" fillId="8" borderId="28" xfId="17" applyNumberFormat="1" applyFont="1" applyFill="1" applyBorder="1" applyAlignment="1">
      <alignment horizontal="right" vertical="center" shrinkToFit="1"/>
    </xf>
    <xf numFmtId="184" fontId="14" fillId="8" borderId="28" xfId="17" quotePrefix="1" applyNumberFormat="1" applyFont="1" applyFill="1" applyBorder="1" applyAlignment="1">
      <alignment horizontal="right" vertical="center" shrinkToFit="1"/>
    </xf>
    <xf numFmtId="176" fontId="14" fillId="8" borderId="28" xfId="17" applyNumberFormat="1" applyFont="1" applyFill="1" applyBorder="1" applyAlignment="1">
      <alignment horizontal="right" vertical="center" shrinkToFit="1"/>
    </xf>
    <xf numFmtId="184" fontId="14" fillId="8" borderId="29" xfId="17" quotePrefix="1" applyNumberFormat="1" applyFont="1" applyFill="1" applyBorder="1" applyAlignment="1">
      <alignment horizontal="right" vertical="center" shrinkToFit="1"/>
    </xf>
    <xf numFmtId="0" fontId="21" fillId="8" borderId="15" xfId="17" applyFont="1" applyFill="1" applyBorder="1" applyAlignment="1">
      <alignment horizontal="center" vertical="center"/>
    </xf>
    <xf numFmtId="183" fontId="21" fillId="8" borderId="15" xfId="17" applyNumberFormat="1" applyFont="1" applyFill="1" applyBorder="1" applyAlignment="1">
      <alignment vertical="center" shrinkToFit="1"/>
    </xf>
    <xf numFmtId="41" fontId="21" fillId="8" borderId="15" xfId="15" applyNumberFormat="1" applyFont="1" applyFill="1" applyBorder="1" applyAlignment="1">
      <alignment horizontal="center" vertical="center" shrinkToFit="1"/>
    </xf>
    <xf numFmtId="185" fontId="14" fillId="8" borderId="15" xfId="17" applyNumberFormat="1" applyFont="1" applyFill="1" applyBorder="1" applyAlignment="1">
      <alignment horizontal="right" vertical="center" shrinkToFit="1"/>
    </xf>
    <xf numFmtId="184" fontId="14" fillId="8" borderId="15" xfId="17" quotePrefix="1" applyNumberFormat="1" applyFont="1" applyFill="1" applyBorder="1" applyAlignment="1">
      <alignment horizontal="right" vertical="center" shrinkToFit="1"/>
    </xf>
    <xf numFmtId="176" fontId="14" fillId="8" borderId="15" xfId="17" applyNumberFormat="1" applyFont="1" applyFill="1" applyBorder="1" applyAlignment="1">
      <alignment horizontal="right" vertical="center" shrinkToFit="1"/>
    </xf>
    <xf numFmtId="184" fontId="14" fillId="8" borderId="16" xfId="17" quotePrefix="1" applyNumberFormat="1" applyFont="1" applyFill="1" applyBorder="1" applyAlignment="1">
      <alignment horizontal="right" vertical="center" shrinkToFit="1"/>
    </xf>
    <xf numFmtId="0" fontId="21" fillId="9" borderId="6" xfId="17" applyFont="1" applyFill="1" applyBorder="1" applyAlignment="1">
      <alignment horizontal="center" vertical="center"/>
    </xf>
    <xf numFmtId="3" fontId="22" fillId="9" borderId="6" xfId="0" applyNumberFormat="1" applyFont="1" applyFill="1" applyBorder="1" applyAlignment="1">
      <alignment horizontal="right" vertical="center"/>
    </xf>
    <xf numFmtId="184" fontId="14" fillId="9" borderId="6" xfId="17" quotePrefix="1" applyNumberFormat="1" applyFont="1" applyFill="1" applyBorder="1" applyAlignment="1">
      <alignment horizontal="right" vertical="center" shrinkToFit="1"/>
    </xf>
    <xf numFmtId="176" fontId="14" fillId="9" borderId="6" xfId="17" applyNumberFormat="1" applyFont="1" applyFill="1" applyBorder="1" applyAlignment="1">
      <alignment horizontal="right" vertical="center" shrinkToFit="1"/>
    </xf>
    <xf numFmtId="184" fontId="14" fillId="9" borderId="11" xfId="17" quotePrefix="1" applyNumberFormat="1" applyFont="1" applyFill="1" applyBorder="1" applyAlignment="1">
      <alignment horizontal="right" vertical="center" shrinkToFit="1"/>
    </xf>
    <xf numFmtId="41" fontId="22" fillId="9" borderId="6" xfId="23" applyFont="1" applyFill="1" applyBorder="1" applyAlignment="1">
      <alignment horizontal="right" vertical="center"/>
    </xf>
    <xf numFmtId="0" fontId="21" fillId="6" borderId="7" xfId="0" applyFont="1" applyFill="1" applyBorder="1" applyAlignment="1">
      <alignment horizontal="center" vertical="center"/>
    </xf>
    <xf numFmtId="180" fontId="21" fillId="6" borderId="8" xfId="0" quotePrefix="1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176" fontId="22" fillId="0" borderId="13" xfId="15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88" fontId="22" fillId="0" borderId="13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76" fontId="22" fillId="0" borderId="13" xfId="15" applyFont="1" applyBorder="1" applyAlignment="1">
      <alignment horizontal="center" vertical="center" shrinkToFit="1"/>
    </xf>
    <xf numFmtId="180" fontId="21" fillId="6" borderId="31" xfId="0" quotePrefix="1" applyNumberFormat="1" applyFont="1" applyFill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/>
    </xf>
    <xf numFmtId="186" fontId="21" fillId="6" borderId="32" xfId="0" applyNumberFormat="1" applyFont="1" applyFill="1" applyBorder="1" applyAlignment="1">
      <alignment horizontal="center" vertical="center"/>
    </xf>
    <xf numFmtId="176" fontId="36" fillId="0" borderId="33" xfId="15" applyFont="1" applyBorder="1" applyAlignment="1">
      <alignment horizontal="center" vertical="center"/>
    </xf>
    <xf numFmtId="188" fontId="22" fillId="0" borderId="25" xfId="0" applyNumberFormat="1" applyFont="1" applyBorder="1" applyAlignment="1">
      <alignment horizontal="center" vertical="center"/>
    </xf>
    <xf numFmtId="187" fontId="21" fillId="6" borderId="32" xfId="0" quotePrefix="1" applyNumberFormat="1" applyFont="1" applyFill="1" applyBorder="1" applyAlignment="1">
      <alignment horizontal="center" vertical="center"/>
    </xf>
    <xf numFmtId="188" fontId="36" fillId="0" borderId="33" xfId="0" applyNumberFormat="1" applyFont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 shrinkToFit="1"/>
    </xf>
    <xf numFmtId="176" fontId="36" fillId="0" borderId="33" xfId="15" applyFont="1" applyBorder="1" applyAlignment="1">
      <alignment horizontal="center" vertical="center" shrinkToFit="1"/>
    </xf>
    <xf numFmtId="0" fontId="23" fillId="0" borderId="0" xfId="17" applyFill="1">
      <alignment vertical="center"/>
    </xf>
    <xf numFmtId="189" fontId="31" fillId="5" borderId="20" xfId="86" applyNumberFormat="1" applyFont="1" applyFill="1" applyBorder="1" applyAlignment="1">
      <alignment horizontal="right" vertical="center"/>
    </xf>
    <xf numFmtId="189" fontId="31" fillId="5" borderId="18" xfId="86" applyNumberFormat="1" applyFont="1" applyFill="1" applyBorder="1" applyAlignment="1">
      <alignment horizontal="right" vertical="center"/>
    </xf>
    <xf numFmtId="182" fontId="32" fillId="5" borderId="6" xfId="87" applyNumberFormat="1" applyFont="1" applyFill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9" fontId="22" fillId="5" borderId="6" xfId="101" applyNumberFormat="1" applyFont="1" applyFill="1" applyBorder="1" applyAlignment="1">
      <alignment horizontal="right" vertical="center"/>
    </xf>
    <xf numFmtId="0" fontId="21" fillId="9" borderId="28" xfId="17" applyFont="1" applyFill="1" applyBorder="1" applyAlignment="1">
      <alignment horizontal="center" vertical="center"/>
    </xf>
    <xf numFmtId="3" fontId="22" fillId="9" borderId="28" xfId="0" applyNumberFormat="1" applyFont="1" applyFill="1" applyBorder="1" applyAlignment="1">
      <alignment horizontal="right" vertical="center"/>
    </xf>
    <xf numFmtId="184" fontId="14" fillId="9" borderId="28" xfId="17" quotePrefix="1" applyNumberFormat="1" applyFont="1" applyFill="1" applyBorder="1" applyAlignment="1">
      <alignment horizontal="right" vertical="center" shrinkToFit="1"/>
    </xf>
    <xf numFmtId="176" fontId="14" fillId="9" borderId="28" xfId="17" applyNumberFormat="1" applyFont="1" applyFill="1" applyBorder="1" applyAlignment="1">
      <alignment horizontal="right" vertical="center" shrinkToFit="1"/>
    </xf>
    <xf numFmtId="184" fontId="14" fillId="9" borderId="35" xfId="17" quotePrefix="1" applyNumberFormat="1" applyFont="1" applyFill="1" applyBorder="1" applyAlignment="1">
      <alignment horizontal="right" vertical="center" shrinkToFit="1"/>
    </xf>
    <xf numFmtId="176" fontId="13" fillId="0" borderId="6" xfId="0" applyNumberFormat="1" applyFont="1" applyFill="1" applyBorder="1" applyAlignment="1">
      <alignment horizontal="center" vertical="center"/>
    </xf>
    <xf numFmtId="176" fontId="13" fillId="4" borderId="15" xfId="0" applyNumberFormat="1" applyFont="1" applyFill="1" applyBorder="1" applyAlignment="1">
      <alignment horizontal="center" vertical="center"/>
    </xf>
    <xf numFmtId="188" fontId="22" fillId="0" borderId="25" xfId="15" applyNumberFormat="1" applyFont="1" applyBorder="1" applyAlignment="1">
      <alignment horizontal="center" vertical="center"/>
    </xf>
    <xf numFmtId="189" fontId="22" fillId="0" borderId="6" xfId="101" applyNumberFormat="1" applyFont="1" applyFill="1" applyBorder="1" applyAlignment="1">
      <alignment horizontal="right" vertical="center"/>
    </xf>
    <xf numFmtId="182" fontId="34" fillId="0" borderId="6" xfId="22" applyNumberFormat="1" applyFont="1" applyBorder="1">
      <alignment vertical="center"/>
    </xf>
    <xf numFmtId="182" fontId="31" fillId="0" borderId="6" xfId="22" applyNumberFormat="1" applyFont="1" applyBorder="1" applyAlignment="1">
      <alignment horizontal="right" vertical="center"/>
    </xf>
    <xf numFmtId="176" fontId="13" fillId="0" borderId="20" xfId="19" applyNumberFormat="1" applyFont="1" applyFill="1" applyBorder="1" applyAlignment="1">
      <alignment horizontal="center" vertical="center"/>
    </xf>
    <xf numFmtId="176" fontId="13" fillId="0" borderId="6" xfId="19" applyNumberFormat="1" applyFont="1" applyFill="1" applyBorder="1" applyAlignment="1">
      <alignment horizontal="center" vertical="center"/>
    </xf>
    <xf numFmtId="176" fontId="13" fillId="0" borderId="18" xfId="19" applyNumberFormat="1" applyFont="1" applyFill="1" applyBorder="1" applyAlignment="1">
      <alignment horizontal="center" vertical="center"/>
    </xf>
    <xf numFmtId="176" fontId="13" fillId="0" borderId="20" xfId="19" applyNumberFormat="1" applyFont="1" applyBorder="1" applyAlignment="1">
      <alignment horizontal="right" vertical="center"/>
    </xf>
    <xf numFmtId="176" fontId="13" fillId="0" borderId="18" xfId="19" applyNumberFormat="1" applyFont="1" applyFill="1" applyBorder="1" applyAlignment="1">
      <alignment horizontal="right" vertical="center"/>
    </xf>
    <xf numFmtId="0" fontId="21" fillId="5" borderId="6" xfId="17" applyFont="1" applyFill="1" applyBorder="1" applyAlignment="1">
      <alignment horizontal="center" vertical="center"/>
    </xf>
    <xf numFmtId="184" fontId="14" fillId="5" borderId="6" xfId="17" quotePrefix="1" applyNumberFormat="1" applyFont="1" applyFill="1" applyBorder="1" applyAlignment="1">
      <alignment horizontal="right" vertical="center" shrinkToFit="1"/>
    </xf>
    <xf numFmtId="176" fontId="14" fillId="5" borderId="6" xfId="17" applyNumberFormat="1" applyFont="1" applyFill="1" applyBorder="1" applyAlignment="1">
      <alignment horizontal="right" vertical="center" shrinkToFit="1"/>
    </xf>
    <xf numFmtId="184" fontId="14" fillId="5" borderId="11" xfId="17" quotePrefix="1" applyNumberFormat="1" applyFont="1" applyFill="1" applyBorder="1" applyAlignment="1">
      <alignment horizontal="right" vertical="center" shrinkToFit="1"/>
    </xf>
    <xf numFmtId="41" fontId="22" fillId="9" borderId="36" xfId="40" applyFont="1" applyFill="1" applyBorder="1" applyAlignment="1">
      <alignment horizontal="center" vertical="center"/>
    </xf>
    <xf numFmtId="41" fontId="22" fillId="5" borderId="37" xfId="40" applyFont="1" applyFill="1" applyBorder="1" applyAlignment="1">
      <alignment horizontal="center" vertical="center"/>
    </xf>
    <xf numFmtId="41" fontId="22" fillId="9" borderId="37" xfId="40" applyFont="1" applyFill="1" applyBorder="1" applyAlignment="1">
      <alignment horizontal="center" vertical="center"/>
    </xf>
    <xf numFmtId="41" fontId="22" fillId="9" borderId="37" xfId="23" applyFont="1" applyFill="1" applyBorder="1" applyAlignment="1">
      <alignment horizontal="right" vertical="center"/>
    </xf>
    <xf numFmtId="41" fontId="22" fillId="0" borderId="37" xfId="23" applyFont="1" applyFill="1" applyBorder="1" applyAlignment="1">
      <alignment horizontal="right" vertical="center"/>
    </xf>
    <xf numFmtId="41" fontId="22" fillId="5" borderId="25" xfId="40" applyFont="1" applyFill="1" applyBorder="1" applyAlignment="1">
      <alignment horizontal="center" vertical="center"/>
    </xf>
    <xf numFmtId="185" fontId="14" fillId="9" borderId="38" xfId="17" applyNumberFormat="1" applyFont="1" applyFill="1" applyBorder="1" applyAlignment="1">
      <alignment horizontal="right" vertical="center" shrinkToFit="1"/>
    </xf>
    <xf numFmtId="185" fontId="14" fillId="5" borderId="39" xfId="17" applyNumberFormat="1" applyFont="1" applyFill="1" applyBorder="1" applyAlignment="1">
      <alignment horizontal="right" vertical="center" shrinkToFit="1"/>
    </xf>
    <xf numFmtId="185" fontId="14" fillId="9" borderId="39" xfId="17" applyNumberFormat="1" applyFont="1" applyFill="1" applyBorder="1" applyAlignment="1">
      <alignment horizontal="right" vertical="center" shrinkToFit="1"/>
    </xf>
    <xf numFmtId="185" fontId="14" fillId="4" borderId="39" xfId="17" applyNumberFormat="1" applyFont="1" applyFill="1" applyBorder="1" applyAlignment="1">
      <alignment horizontal="right" vertical="center" shrinkToFit="1"/>
    </xf>
    <xf numFmtId="185" fontId="14" fillId="4" borderId="40" xfId="17" applyNumberFormat="1" applyFont="1" applyFill="1" applyBorder="1" applyAlignment="1">
      <alignment horizontal="right" vertical="center" shrinkToFit="1"/>
    </xf>
    <xf numFmtId="3" fontId="22" fillId="5" borderId="6" xfId="0" applyNumberFormat="1" applyFont="1" applyFill="1" applyBorder="1" applyAlignment="1">
      <alignment horizontal="right" vertical="center"/>
    </xf>
    <xf numFmtId="3" fontId="32" fillId="9" borderId="6" xfId="0" applyNumberFormat="1" applyFont="1" applyFill="1" applyBorder="1" applyAlignment="1">
      <alignment horizontal="right" vertical="center"/>
    </xf>
    <xf numFmtId="3" fontId="22" fillId="0" borderId="6" xfId="0" applyNumberFormat="1" applyFont="1" applyBorder="1" applyAlignment="1">
      <alignment horizontal="right" vertical="center"/>
    </xf>
    <xf numFmtId="3" fontId="22" fillId="5" borderId="13" xfId="0" applyNumberFormat="1" applyFont="1" applyFill="1" applyBorder="1" applyAlignment="1">
      <alignment horizontal="right" vertical="center"/>
    </xf>
    <xf numFmtId="176" fontId="14" fillId="8" borderId="22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center" vertical="center"/>
    </xf>
    <xf numFmtId="0" fontId="33" fillId="7" borderId="4" xfId="65" applyFont="1" applyFill="1" applyBorder="1" applyAlignment="1">
      <alignment horizontal="center" vertical="center"/>
    </xf>
    <xf numFmtId="0" fontId="33" fillId="7" borderId="5" xfId="65" applyFont="1" applyFill="1" applyBorder="1" applyAlignment="1">
      <alignment horizontal="center" vertical="center"/>
    </xf>
    <xf numFmtId="0" fontId="33" fillId="7" borderId="3" xfId="65" applyFont="1" applyFill="1" applyBorder="1" applyAlignment="1">
      <alignment horizontal="center" vertical="center"/>
    </xf>
    <xf numFmtId="176" fontId="14" fillId="6" borderId="8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176" fontId="13" fillId="0" borderId="6" xfId="0" applyNumberFormat="1" applyFont="1" applyFill="1" applyBorder="1" applyAlignment="1">
      <alignment horizontal="center" vertical="center"/>
    </xf>
    <xf numFmtId="176" fontId="14" fillId="6" borderId="12" xfId="0" applyNumberFormat="1" applyFont="1" applyFill="1" applyBorder="1" applyAlignment="1">
      <alignment horizontal="center" vertical="center"/>
    </xf>
    <xf numFmtId="176" fontId="14" fillId="6" borderId="13" xfId="0" applyNumberFormat="1" applyFont="1" applyFill="1" applyBorder="1" applyAlignment="1">
      <alignment horizontal="center" vertical="center"/>
    </xf>
    <xf numFmtId="176" fontId="14" fillId="6" borderId="25" xfId="0" applyNumberFormat="1" applyFont="1" applyFill="1" applyBorder="1" applyAlignment="1">
      <alignment horizontal="center" vertical="center"/>
    </xf>
    <xf numFmtId="9" fontId="14" fillId="4" borderId="18" xfId="0" applyNumberFormat="1" applyFont="1" applyFill="1" applyBorder="1" applyAlignment="1">
      <alignment horizontal="right"/>
    </xf>
    <xf numFmtId="9" fontId="14" fillId="4" borderId="18" xfId="0" quotePrefix="1" applyNumberFormat="1" applyFont="1" applyFill="1" applyBorder="1" applyAlignment="1">
      <alignment horizontal="right"/>
    </xf>
    <xf numFmtId="9" fontId="14" fillId="4" borderId="19" xfId="0" quotePrefix="1" applyNumberFormat="1" applyFont="1" applyFill="1" applyBorder="1" applyAlignment="1">
      <alignment horizontal="right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10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 wrapText="1"/>
    </xf>
    <xf numFmtId="176" fontId="14" fillId="6" borderId="9" xfId="0" applyNumberFormat="1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33" fillId="7" borderId="1" xfId="65" applyFont="1" applyFill="1" applyBorder="1" applyAlignment="1">
      <alignment horizontal="center" vertical="center"/>
    </xf>
    <xf numFmtId="0" fontId="17" fillId="0" borderId="0" xfId="16" applyFont="1" applyAlignment="1">
      <alignment horizontal="left" vertical="center"/>
    </xf>
    <xf numFmtId="0" fontId="15" fillId="0" borderId="0" xfId="16" applyFont="1" applyAlignment="1">
      <alignment horizontal="left" vertical="center"/>
    </xf>
    <xf numFmtId="180" fontId="16" fillId="0" borderId="0" xfId="0" applyNumberFormat="1" applyFont="1" applyBorder="1" applyAlignment="1">
      <alignment horizontal="right"/>
    </xf>
    <xf numFmtId="176" fontId="14" fillId="6" borderId="7" xfId="17" applyNumberFormat="1" applyFont="1" applyFill="1" applyBorder="1" applyAlignment="1">
      <alignment horizontal="center" vertical="center"/>
    </xf>
    <xf numFmtId="176" fontId="14" fillId="6" borderId="26" xfId="17" applyNumberFormat="1" applyFont="1" applyFill="1" applyBorder="1" applyAlignment="1">
      <alignment horizontal="center" vertical="center"/>
    </xf>
    <xf numFmtId="0" fontId="21" fillId="8" borderId="27" xfId="17" applyFont="1" applyFill="1" applyBorder="1" applyAlignment="1">
      <alignment horizontal="center" vertical="center"/>
    </xf>
    <xf numFmtId="0" fontId="21" fillId="8" borderId="30" xfId="17" applyFont="1" applyFill="1" applyBorder="1" applyAlignment="1">
      <alignment horizontal="center" vertical="center"/>
    </xf>
    <xf numFmtId="0" fontId="22" fillId="6" borderId="34" xfId="17" applyFont="1" applyFill="1" applyBorder="1" applyAlignment="1">
      <alignment horizontal="center" vertical="center"/>
    </xf>
    <xf numFmtId="0" fontId="22" fillId="6" borderId="10" xfId="17" applyFont="1" applyFill="1" applyBorder="1" applyAlignment="1">
      <alignment horizontal="center" vertical="center"/>
    </xf>
    <xf numFmtId="176" fontId="14" fillId="6" borderId="8" xfId="17" applyNumberFormat="1" applyFont="1" applyFill="1" applyBorder="1" applyAlignment="1">
      <alignment horizontal="center" vertical="center"/>
    </xf>
    <xf numFmtId="176" fontId="14" fillId="6" borderId="9" xfId="17" applyNumberFormat="1" applyFont="1" applyFill="1" applyBorder="1" applyAlignment="1">
      <alignment horizontal="center" vertical="center"/>
    </xf>
    <xf numFmtId="0" fontId="24" fillId="6" borderId="8" xfId="17" applyFont="1" applyFill="1" applyBorder="1" applyAlignment="1">
      <alignment horizontal="center" vertical="center"/>
    </xf>
    <xf numFmtId="0" fontId="24" fillId="6" borderId="18" xfId="17" applyFont="1" applyFill="1" applyBorder="1" applyAlignment="1">
      <alignment horizontal="center" vertical="center"/>
    </xf>
    <xf numFmtId="0" fontId="22" fillId="6" borderId="12" xfId="17" applyFont="1" applyFill="1" applyBorder="1" applyAlignment="1">
      <alignment horizontal="center" vertical="center"/>
    </xf>
  </cellXfs>
  <cellStyles count="103"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2024.5.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48694823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2024.5.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369077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2024.5.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2024.5.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B3" sqref="B3:M3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12" t="s">
        <v>106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4"/>
      <c r="N3" s="39"/>
      <c r="O3" s="39"/>
      <c r="P3" s="39"/>
    </row>
    <row r="4" spans="2:16" ht="21" customHeight="1">
      <c r="B4" s="113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16" t="s">
        <v>85</v>
      </c>
      <c r="L5" s="216"/>
      <c r="M5" s="216"/>
    </row>
    <row r="6" spans="2:16" ht="21" customHeight="1">
      <c r="B6" s="228" t="s">
        <v>7</v>
      </c>
      <c r="C6" s="229"/>
      <c r="D6" s="229"/>
      <c r="E6" s="72"/>
      <c r="F6" s="215" t="s">
        <v>101</v>
      </c>
      <c r="G6" s="215"/>
      <c r="H6" s="215" t="s">
        <v>102</v>
      </c>
      <c r="I6" s="215"/>
      <c r="J6" s="215" t="s">
        <v>15</v>
      </c>
      <c r="K6" s="215"/>
      <c r="L6" s="215"/>
      <c r="M6" s="227"/>
    </row>
    <row r="7" spans="2:16" ht="21" customHeight="1" thickBot="1">
      <c r="B7" s="230"/>
      <c r="C7" s="231"/>
      <c r="D7" s="231"/>
      <c r="E7" s="75" t="s">
        <v>11</v>
      </c>
      <c r="F7" s="76" t="s">
        <v>107</v>
      </c>
      <c r="G7" s="75" t="s">
        <v>108</v>
      </c>
      <c r="H7" s="75" t="s">
        <v>109</v>
      </c>
      <c r="I7" s="75" t="s">
        <v>110</v>
      </c>
      <c r="J7" s="75" t="s">
        <v>37</v>
      </c>
      <c r="K7" s="77" t="s">
        <v>16</v>
      </c>
      <c r="L7" s="78" t="s">
        <v>18</v>
      </c>
      <c r="M7" s="79" t="s">
        <v>16</v>
      </c>
    </row>
    <row r="8" spans="2:16" ht="20.100000000000001" customHeight="1" thickBot="1">
      <c r="B8" s="224" t="s">
        <v>19</v>
      </c>
      <c r="C8" s="210" t="s">
        <v>12</v>
      </c>
      <c r="D8" s="211"/>
      <c r="E8" s="84">
        <f>SUM(E9:E10)</f>
        <v>17324</v>
      </c>
      <c r="F8" s="84">
        <f>SUM(F9:F10)</f>
        <v>1451</v>
      </c>
      <c r="G8" s="84">
        <f>SUM(G9:G10)</f>
        <v>7230</v>
      </c>
      <c r="H8" s="84">
        <f>SUM(H9:H10)</f>
        <v>1439</v>
      </c>
      <c r="I8" s="84">
        <f>SUM(I9:I10)</f>
        <v>7100</v>
      </c>
      <c r="J8" s="84">
        <f>H8-F8</f>
        <v>-12</v>
      </c>
      <c r="K8" s="85">
        <f>H8/F8</f>
        <v>0.99172984148862853</v>
      </c>
      <c r="L8" s="84">
        <f>I8-G8</f>
        <v>-130</v>
      </c>
      <c r="M8" s="86">
        <f>I8/G8</f>
        <v>0.9820193637621023</v>
      </c>
    </row>
    <row r="9" spans="2:16" ht="20.100000000000001" customHeight="1">
      <c r="B9" s="225"/>
      <c r="C9" s="232" t="s">
        <v>9</v>
      </c>
      <c r="D9" s="232"/>
      <c r="E9" s="168">
        <v>10498</v>
      </c>
      <c r="F9" s="189">
        <v>889</v>
      </c>
      <c r="G9" s="80">
        <v>4412</v>
      </c>
      <c r="H9" s="80">
        <v>915</v>
      </c>
      <c r="I9" s="80">
        <v>4353</v>
      </c>
      <c r="J9" s="81">
        <f t="shared" ref="J9:J29" si="0">H9-F9</f>
        <v>26</v>
      </c>
      <c r="K9" s="82">
        <f t="shared" ref="K9:K29" si="1">H9/F9</f>
        <v>1.0292463442069741</v>
      </c>
      <c r="L9" s="81">
        <f t="shared" ref="L9:L29" si="2">I9-G9</f>
        <v>-59</v>
      </c>
      <c r="M9" s="83">
        <f t="shared" ref="M9:M29" si="3">I9/G9</f>
        <v>0.98662737987307347</v>
      </c>
    </row>
    <row r="10" spans="2:16" ht="20.100000000000001" customHeight="1" thickBot="1">
      <c r="B10" s="225"/>
      <c r="C10" s="233" t="s">
        <v>10</v>
      </c>
      <c r="D10" s="233"/>
      <c r="E10" s="169">
        <v>6826</v>
      </c>
      <c r="F10" s="190">
        <v>562</v>
      </c>
      <c r="G10" s="87">
        <v>2818</v>
      </c>
      <c r="H10" s="87">
        <v>524</v>
      </c>
      <c r="I10" s="87">
        <v>2747</v>
      </c>
      <c r="J10" s="87">
        <f t="shared" si="0"/>
        <v>-38</v>
      </c>
      <c r="K10" s="88">
        <f t="shared" si="1"/>
        <v>0.93238434163701067</v>
      </c>
      <c r="L10" s="87">
        <f t="shared" si="2"/>
        <v>-71</v>
      </c>
      <c r="M10" s="89">
        <f t="shared" si="3"/>
        <v>0.97480482611781405</v>
      </c>
      <c r="O10" t="s">
        <v>100</v>
      </c>
    </row>
    <row r="11" spans="2:16" ht="20.100000000000001" customHeight="1" thickBot="1">
      <c r="B11" s="224" t="s">
        <v>20</v>
      </c>
      <c r="C11" s="210" t="s">
        <v>8</v>
      </c>
      <c r="D11" s="211"/>
      <c r="E11" s="95">
        <f>E12+E16</f>
        <v>116607017</v>
      </c>
      <c r="F11" s="95">
        <f>F12+F16</f>
        <v>9141009</v>
      </c>
      <c r="G11" s="95">
        <f>G12+G16</f>
        <v>50156800</v>
      </c>
      <c r="H11" s="95">
        <f>H12+H16</f>
        <v>9513589</v>
      </c>
      <c r="I11" s="95">
        <f>I12+I16</f>
        <v>48694823</v>
      </c>
      <c r="J11" s="95">
        <f t="shared" si="0"/>
        <v>372580</v>
      </c>
      <c r="K11" s="85">
        <f t="shared" si="1"/>
        <v>1.0407591765854294</v>
      </c>
      <c r="L11" s="96">
        <f>I11-G11</f>
        <v>-1461977</v>
      </c>
      <c r="M11" s="86">
        <f t="shared" si="3"/>
        <v>0.97085186854025773</v>
      </c>
    </row>
    <row r="12" spans="2:16" ht="20.100000000000001" customHeight="1">
      <c r="B12" s="225"/>
      <c r="C12" s="232" t="s">
        <v>1</v>
      </c>
      <c r="D12" s="90" t="s">
        <v>0</v>
      </c>
      <c r="E12" s="91">
        <f>SUM(E13:E15)</f>
        <v>105503891</v>
      </c>
      <c r="F12" s="91">
        <f>SUM(F13:F15)</f>
        <v>8214695</v>
      </c>
      <c r="G12" s="91">
        <f>SUM(G13:G15)</f>
        <v>45528511</v>
      </c>
      <c r="H12" s="91">
        <f>SUM(H13:H15)</f>
        <v>8683661</v>
      </c>
      <c r="I12" s="91">
        <f>SUM(I13:I15)</f>
        <v>44198270</v>
      </c>
      <c r="J12" s="92">
        <f t="shared" si="0"/>
        <v>468966</v>
      </c>
      <c r="K12" s="93">
        <f t="shared" si="1"/>
        <v>1.0570886685385155</v>
      </c>
      <c r="L12" s="92">
        <f>I12-G12</f>
        <v>-1330241</v>
      </c>
      <c r="M12" s="94">
        <f t="shared" si="3"/>
        <v>0.97078224236237376</v>
      </c>
    </row>
    <row r="13" spans="2:16" ht="20.100000000000001" customHeight="1">
      <c r="B13" s="225"/>
      <c r="C13" s="217"/>
      <c r="D13" s="61" t="s">
        <v>5</v>
      </c>
      <c r="E13" s="170">
        <v>85548211</v>
      </c>
      <c r="F13" s="184">
        <v>6523011</v>
      </c>
      <c r="G13" s="172">
        <v>36901501</v>
      </c>
      <c r="H13" s="172">
        <v>6847608</v>
      </c>
      <c r="I13" s="172">
        <v>35841577</v>
      </c>
      <c r="J13" s="57">
        <f t="shared" si="0"/>
        <v>324597</v>
      </c>
      <c r="K13" s="54">
        <f t="shared" si="1"/>
        <v>1.0497618354468512</v>
      </c>
      <c r="L13" s="57">
        <f>I13-G13</f>
        <v>-1059924</v>
      </c>
      <c r="M13" s="66">
        <f t="shared" si="3"/>
        <v>0.97127694074016124</v>
      </c>
      <c r="O13" s="29"/>
    </row>
    <row r="14" spans="2:16" ht="20.100000000000001" customHeight="1">
      <c r="B14" s="225"/>
      <c r="C14" s="217"/>
      <c r="D14" s="61" t="s">
        <v>6</v>
      </c>
      <c r="E14" s="171">
        <v>17063258</v>
      </c>
      <c r="F14" s="184">
        <v>1474254</v>
      </c>
      <c r="G14" s="172">
        <v>7224333</v>
      </c>
      <c r="H14" s="172">
        <v>1608474</v>
      </c>
      <c r="I14" s="172">
        <v>7226712</v>
      </c>
      <c r="J14" s="57">
        <f t="shared" si="0"/>
        <v>134220</v>
      </c>
      <c r="K14" s="54">
        <f t="shared" si="1"/>
        <v>1.0910426561501614</v>
      </c>
      <c r="L14" s="57">
        <f t="shared" si="2"/>
        <v>2379</v>
      </c>
      <c r="M14" s="66">
        <f t="shared" si="3"/>
        <v>1.0003293037571772</v>
      </c>
    </row>
    <row r="15" spans="2:16" ht="20.100000000000001" customHeight="1">
      <c r="B15" s="225"/>
      <c r="C15" s="217"/>
      <c r="D15" s="61" t="s">
        <v>13</v>
      </c>
      <c r="E15" s="171">
        <v>2892422</v>
      </c>
      <c r="F15" s="184">
        <v>217430</v>
      </c>
      <c r="G15" s="172">
        <v>1402677</v>
      </c>
      <c r="H15" s="172">
        <v>227579</v>
      </c>
      <c r="I15" s="172">
        <v>1129981</v>
      </c>
      <c r="J15" s="57">
        <f t="shared" si="0"/>
        <v>10149</v>
      </c>
      <c r="K15" s="54">
        <f>H15/F15</f>
        <v>1.046677091477717</v>
      </c>
      <c r="L15" s="57">
        <f t="shared" si="2"/>
        <v>-272696</v>
      </c>
      <c r="M15" s="66">
        <f t="shared" si="3"/>
        <v>0.80558888468264611</v>
      </c>
    </row>
    <row r="16" spans="2:16" ht="20.100000000000001" customHeight="1">
      <c r="B16" s="225"/>
      <c r="C16" s="217" t="s">
        <v>2</v>
      </c>
      <c r="D16" s="59" t="s">
        <v>0</v>
      </c>
      <c r="E16" s="58">
        <f>SUM(E17:E19)</f>
        <v>11103126</v>
      </c>
      <c r="F16" s="58">
        <f>SUM(F17:F19)</f>
        <v>926314</v>
      </c>
      <c r="G16" s="58">
        <f>SUM(G17:G19)</f>
        <v>4628289</v>
      </c>
      <c r="H16" s="58">
        <f>SUM(H17:H19)</f>
        <v>829928</v>
      </c>
      <c r="I16" s="58">
        <f>SUM(I17:I19)</f>
        <v>4496553</v>
      </c>
      <c r="J16" s="52">
        <f t="shared" si="0"/>
        <v>-96386</v>
      </c>
      <c r="K16" s="53">
        <f t="shared" si="1"/>
        <v>0.89594673080618448</v>
      </c>
      <c r="L16" s="60">
        <f t="shared" si="2"/>
        <v>-131736</v>
      </c>
      <c r="M16" s="67">
        <f t="shared" si="3"/>
        <v>0.97153678173510771</v>
      </c>
    </row>
    <row r="17" spans="2:13" ht="20.100000000000001" customHeight="1">
      <c r="B17" s="225"/>
      <c r="C17" s="217"/>
      <c r="D17" s="61" t="s">
        <v>3</v>
      </c>
      <c r="E17" s="173">
        <v>7713381</v>
      </c>
      <c r="F17" s="185">
        <v>666927</v>
      </c>
      <c r="G17" s="172">
        <v>3199321</v>
      </c>
      <c r="H17" s="170">
        <v>620595</v>
      </c>
      <c r="I17" s="172">
        <v>3188175</v>
      </c>
      <c r="J17" s="57">
        <f t="shared" si="0"/>
        <v>-46332</v>
      </c>
      <c r="K17" s="54">
        <f t="shared" si="1"/>
        <v>0.93052912837536939</v>
      </c>
      <c r="L17" s="57">
        <f t="shared" si="2"/>
        <v>-11146</v>
      </c>
      <c r="M17" s="66">
        <f t="shared" si="3"/>
        <v>0.99651613576755815</v>
      </c>
    </row>
    <row r="18" spans="2:13" ht="20.100000000000001" customHeight="1">
      <c r="B18" s="225"/>
      <c r="C18" s="217"/>
      <c r="D18" s="61" t="s">
        <v>4</v>
      </c>
      <c r="E18" s="173">
        <v>3389745</v>
      </c>
      <c r="F18" s="185">
        <v>259387</v>
      </c>
      <c r="G18" s="172">
        <v>1428968</v>
      </c>
      <c r="H18" s="173">
        <v>209333</v>
      </c>
      <c r="I18" s="172">
        <v>1308378</v>
      </c>
      <c r="J18" s="57">
        <f t="shared" si="0"/>
        <v>-50054</v>
      </c>
      <c r="K18" s="54">
        <f t="shared" si="1"/>
        <v>0.80702965067640242</v>
      </c>
      <c r="L18" s="57">
        <f t="shared" si="2"/>
        <v>-120590</v>
      </c>
      <c r="M18" s="66">
        <f t="shared" si="3"/>
        <v>0.91561042654559099</v>
      </c>
    </row>
    <row r="19" spans="2:13" ht="20.100000000000001" customHeight="1">
      <c r="B19" s="225"/>
      <c r="C19" s="217"/>
      <c r="D19" s="61" t="s">
        <v>17</v>
      </c>
      <c r="E19" s="172">
        <v>0</v>
      </c>
      <c r="F19" s="62">
        <v>0</v>
      </c>
      <c r="G19" s="172">
        <v>0</v>
      </c>
      <c r="H19" s="62">
        <v>0</v>
      </c>
      <c r="I19" s="172">
        <v>0</v>
      </c>
      <c r="J19" s="63">
        <f t="shared" si="0"/>
        <v>0</v>
      </c>
      <c r="K19" s="64">
        <v>0</v>
      </c>
      <c r="L19" s="65">
        <f t="shared" si="2"/>
        <v>0</v>
      </c>
      <c r="M19" s="66" t="s">
        <v>75</v>
      </c>
    </row>
    <row r="20" spans="2:13" ht="20.100000000000001" customHeight="1" thickBot="1">
      <c r="B20" s="73"/>
      <c r="C20" s="97"/>
      <c r="D20" s="181"/>
      <c r="E20" s="98"/>
      <c r="F20" s="99"/>
      <c r="G20" s="99"/>
      <c r="H20" s="99"/>
      <c r="I20" s="98"/>
      <c r="J20" s="100"/>
      <c r="K20" s="221" t="s">
        <v>21</v>
      </c>
      <c r="L20" s="222"/>
      <c r="M20" s="223"/>
    </row>
    <row r="21" spans="2:13" ht="20.100000000000001" customHeight="1" thickBot="1">
      <c r="B21" s="226" t="s">
        <v>86</v>
      </c>
      <c r="C21" s="210" t="s">
        <v>8</v>
      </c>
      <c r="D21" s="211"/>
      <c r="E21" s="102">
        <f>SUM(E22,E26)</f>
        <v>820289</v>
      </c>
      <c r="F21" s="103">
        <f>SUM(F22,F26)</f>
        <v>71745</v>
      </c>
      <c r="G21" s="103">
        <f>SUM(G22,G26)</f>
        <v>334798</v>
      </c>
      <c r="H21" s="102">
        <f>SUM(H22,H26)</f>
        <v>80320</v>
      </c>
      <c r="I21" s="102">
        <f>SUM(I22,I26)</f>
        <v>369077</v>
      </c>
      <c r="J21" s="104">
        <f t="shared" si="0"/>
        <v>8575</v>
      </c>
      <c r="K21" s="105">
        <f t="shared" si="1"/>
        <v>1.119520524078333</v>
      </c>
      <c r="L21" s="104">
        <f t="shared" si="2"/>
        <v>34279</v>
      </c>
      <c r="M21" s="86">
        <f>I21/G21</f>
        <v>1.1023871110341161</v>
      </c>
    </row>
    <row r="22" spans="2:13" ht="20.100000000000001" customHeight="1">
      <c r="B22" s="225"/>
      <c r="C22" s="232" t="s">
        <v>1</v>
      </c>
      <c r="D22" s="90" t="s">
        <v>0</v>
      </c>
      <c r="E22" s="90">
        <f>SUM(E23:E25)</f>
        <v>820289</v>
      </c>
      <c r="F22" s="90">
        <f>SUM(F23:F25)</f>
        <v>71745</v>
      </c>
      <c r="G22" s="90">
        <f>SUM(G23:G25)</f>
        <v>334798</v>
      </c>
      <c r="H22" s="90">
        <f>SUM(H23:H25)</f>
        <v>80320</v>
      </c>
      <c r="I22" s="90">
        <f>SUM(I23:I25)</f>
        <v>369077</v>
      </c>
      <c r="J22" s="92">
        <f t="shared" si="0"/>
        <v>8575</v>
      </c>
      <c r="K22" s="101">
        <f t="shared" si="1"/>
        <v>1.119520524078333</v>
      </c>
      <c r="L22" s="92">
        <f t="shared" si="2"/>
        <v>34279</v>
      </c>
      <c r="M22" s="94">
        <f t="shared" si="3"/>
        <v>1.1023871110341161</v>
      </c>
    </row>
    <row r="23" spans="2:13" ht="20.100000000000001" customHeight="1">
      <c r="B23" s="225"/>
      <c r="C23" s="217"/>
      <c r="D23" s="69" t="s">
        <v>5</v>
      </c>
      <c r="E23" s="183">
        <v>406783</v>
      </c>
      <c r="F23" s="186">
        <v>35886</v>
      </c>
      <c r="G23" s="70">
        <v>166913</v>
      </c>
      <c r="H23" s="186">
        <v>39011</v>
      </c>
      <c r="I23" s="180">
        <v>185758</v>
      </c>
      <c r="J23" s="57">
        <f t="shared" si="0"/>
        <v>3125</v>
      </c>
      <c r="K23" s="56">
        <f t="shared" si="1"/>
        <v>1.0870813130468706</v>
      </c>
      <c r="L23" s="57">
        <f t="shared" si="2"/>
        <v>18845</v>
      </c>
      <c r="M23" s="66">
        <f t="shared" si="3"/>
        <v>1.1129031291750793</v>
      </c>
    </row>
    <row r="24" spans="2:13" ht="20.100000000000001" customHeight="1">
      <c r="B24" s="225"/>
      <c r="C24" s="217"/>
      <c r="D24" s="68" t="s">
        <v>14</v>
      </c>
      <c r="E24" s="174">
        <v>405018</v>
      </c>
      <c r="F24" s="187">
        <v>35280</v>
      </c>
      <c r="G24" s="70">
        <v>164281</v>
      </c>
      <c r="H24" s="187">
        <v>40351</v>
      </c>
      <c r="I24" s="180">
        <v>179237</v>
      </c>
      <c r="J24" s="57">
        <f t="shared" si="0"/>
        <v>5071</v>
      </c>
      <c r="K24" s="56">
        <f t="shared" si="1"/>
        <v>1.1437358276643992</v>
      </c>
      <c r="L24" s="57">
        <f t="shared" si="2"/>
        <v>14956</v>
      </c>
      <c r="M24" s="66">
        <f t="shared" si="3"/>
        <v>1.0910391341664587</v>
      </c>
    </row>
    <row r="25" spans="2:13" ht="20.100000000000001" customHeight="1">
      <c r="B25" s="225"/>
      <c r="C25" s="217"/>
      <c r="D25" s="68" t="s">
        <v>13</v>
      </c>
      <c r="E25" s="180">
        <v>8488</v>
      </c>
      <c r="F25" s="188">
        <v>579</v>
      </c>
      <c r="G25" s="180">
        <v>3604</v>
      </c>
      <c r="H25" s="188">
        <v>958</v>
      </c>
      <c r="I25" s="180">
        <v>4082</v>
      </c>
      <c r="J25" s="57">
        <f t="shared" si="0"/>
        <v>379</v>
      </c>
      <c r="K25" s="56">
        <f t="shared" si="1"/>
        <v>1.6545768566493955</v>
      </c>
      <c r="L25" s="57">
        <f t="shared" si="2"/>
        <v>478</v>
      </c>
      <c r="M25" s="66">
        <f t="shared" si="3"/>
        <v>1.1326304106548279</v>
      </c>
    </row>
    <row r="26" spans="2:13" ht="20.100000000000001" customHeight="1">
      <c r="B26" s="225"/>
      <c r="C26" s="217" t="s">
        <v>2</v>
      </c>
      <c r="D26" s="61" t="s">
        <v>49</v>
      </c>
      <c r="E26" s="64">
        <f>SUM(E27:E28)</f>
        <v>0</v>
      </c>
      <c r="F26" s="64">
        <f>SUM(F27:F28)</f>
        <v>0</v>
      </c>
      <c r="G26" s="64">
        <f>SUM(G27:G28)</f>
        <v>0</v>
      </c>
      <c r="H26" s="64">
        <v>0</v>
      </c>
      <c r="I26" s="64">
        <f>SUM(I27:I28)</f>
        <v>0</v>
      </c>
      <c r="J26" s="71">
        <f t="shared" si="0"/>
        <v>0</v>
      </c>
      <c r="K26" s="64">
        <v>0</v>
      </c>
      <c r="L26" s="55">
        <f t="shared" si="2"/>
        <v>0</v>
      </c>
      <c r="M26" s="74">
        <v>0</v>
      </c>
    </row>
    <row r="27" spans="2:13" ht="20.100000000000001" customHeight="1">
      <c r="B27" s="225"/>
      <c r="C27" s="217"/>
      <c r="D27" s="61" t="s">
        <v>49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71">
        <f t="shared" si="0"/>
        <v>0</v>
      </c>
      <c r="K27" s="64">
        <v>0</v>
      </c>
      <c r="L27" s="55">
        <f t="shared" si="2"/>
        <v>0</v>
      </c>
      <c r="M27" s="74">
        <v>0</v>
      </c>
    </row>
    <row r="28" spans="2:13" ht="20.100000000000001" customHeight="1" thickBot="1">
      <c r="B28" s="225"/>
      <c r="C28" s="217"/>
      <c r="D28" s="61" t="s">
        <v>49</v>
      </c>
      <c r="E28" s="106">
        <v>0</v>
      </c>
      <c r="F28" s="106">
        <v>0</v>
      </c>
      <c r="G28" s="106">
        <v>0</v>
      </c>
      <c r="H28" s="106">
        <v>0</v>
      </c>
      <c r="I28" s="106">
        <v>0</v>
      </c>
      <c r="J28" s="107">
        <f t="shared" si="0"/>
        <v>0</v>
      </c>
      <c r="K28" s="108">
        <v>0</v>
      </c>
      <c r="L28" s="109">
        <f t="shared" si="2"/>
        <v>0</v>
      </c>
      <c r="M28" s="110">
        <v>0</v>
      </c>
    </row>
    <row r="29" spans="2:13" s="27" customFormat="1" ht="20.100000000000001" customHeight="1" thickBot="1">
      <c r="B29" s="218" t="s">
        <v>47</v>
      </c>
      <c r="C29" s="219"/>
      <c r="D29" s="220"/>
      <c r="E29" s="111">
        <v>1616558</v>
      </c>
      <c r="F29" s="112">
        <v>149334</v>
      </c>
      <c r="G29" s="112">
        <v>751238</v>
      </c>
      <c r="H29" s="112">
        <v>142270</v>
      </c>
      <c r="I29" s="112">
        <v>672226</v>
      </c>
      <c r="J29" s="104">
        <f t="shared" si="0"/>
        <v>-7064</v>
      </c>
      <c r="K29" s="85">
        <f t="shared" si="1"/>
        <v>0.95269663974714403</v>
      </c>
      <c r="L29" s="104">
        <f t="shared" si="2"/>
        <v>-79012</v>
      </c>
      <c r="M29" s="86">
        <f t="shared" si="3"/>
        <v>0.89482427672721565</v>
      </c>
    </row>
    <row r="30" spans="2:13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  <mergeCell ref="C26:C28"/>
  </mergeCells>
  <phoneticPr fontId="8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B7" sqref="B7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34" t="s">
        <v>87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37" t="s">
        <v>50</v>
      </c>
      <c r="H5" s="237"/>
      <c r="I5" s="43"/>
      <c r="J5"/>
      <c r="K5"/>
      <c r="L5"/>
      <c r="M5" s="42"/>
      <c r="N5" s="42"/>
      <c r="O5" s="237" t="s">
        <v>88</v>
      </c>
      <c r="P5" s="237"/>
    </row>
    <row r="6" spans="2:29" s="12" customFormat="1" ht="32.25" customHeight="1">
      <c r="B6" s="150" t="s">
        <v>94</v>
      </c>
      <c r="C6" s="151">
        <v>2019</v>
      </c>
      <c r="D6" s="151">
        <v>2020</v>
      </c>
      <c r="E6" s="151">
        <v>2021</v>
      </c>
      <c r="F6" s="158">
        <v>2022</v>
      </c>
      <c r="G6" s="158">
        <v>2023</v>
      </c>
      <c r="H6" s="160" t="s">
        <v>112</v>
      </c>
      <c r="I6" s="47"/>
      <c r="J6" s="150" t="s">
        <v>94</v>
      </c>
      <c r="K6" s="151">
        <v>2019</v>
      </c>
      <c r="L6" s="151">
        <v>2020</v>
      </c>
      <c r="M6" s="151">
        <v>2021</v>
      </c>
      <c r="N6" s="158">
        <v>2022</v>
      </c>
      <c r="O6" s="158">
        <v>2023</v>
      </c>
      <c r="P6" s="163" t="str">
        <f>$H$6</f>
        <v>2024.5.</v>
      </c>
    </row>
    <row r="7" spans="2:29" s="12" customFormat="1" ht="39.200000000000003" customHeight="1" thickBot="1">
      <c r="B7" s="152" t="s">
        <v>92</v>
      </c>
      <c r="C7" s="153">
        <v>18416</v>
      </c>
      <c r="D7" s="153">
        <v>17409</v>
      </c>
      <c r="E7" s="153">
        <v>16473</v>
      </c>
      <c r="F7" s="159">
        <v>16626</v>
      </c>
      <c r="G7" s="159">
        <v>17324</v>
      </c>
      <c r="H7" s="161">
        <f>통계요약!I8</f>
        <v>7100</v>
      </c>
      <c r="I7" s="48"/>
      <c r="J7" s="154" t="s">
        <v>91</v>
      </c>
      <c r="K7" s="155">
        <v>113201331</v>
      </c>
      <c r="L7" s="155">
        <v>106847350</v>
      </c>
      <c r="M7" s="155">
        <v>116876152</v>
      </c>
      <c r="N7" s="162">
        <v>116171568</v>
      </c>
      <c r="O7" s="182">
        <f>통계요약!E11</f>
        <v>116607017</v>
      </c>
      <c r="P7" s="164">
        <f>통계요약!I11</f>
        <v>48694823</v>
      </c>
    </row>
    <row r="8" spans="2:29" s="12" customFormat="1" ht="21" customHeight="1" thickBot="1">
      <c r="B8"/>
      <c r="C8"/>
      <c r="D8"/>
      <c r="E8" s="42"/>
      <c r="F8" s="42"/>
      <c r="G8" s="237" t="s">
        <v>89</v>
      </c>
      <c r="H8" s="237"/>
      <c r="I8" s="43"/>
      <c r="J8" s="13"/>
      <c r="K8" s="14"/>
      <c r="L8" s="14"/>
      <c r="M8" s="42"/>
      <c r="N8" s="42"/>
      <c r="O8" s="237" t="s">
        <v>90</v>
      </c>
      <c r="P8" s="237"/>
    </row>
    <row r="9" spans="2:29" s="12" customFormat="1" ht="32.25" customHeight="1">
      <c r="B9" s="150" t="s">
        <v>94</v>
      </c>
      <c r="C9" s="151">
        <v>2019</v>
      </c>
      <c r="D9" s="151">
        <v>2020</v>
      </c>
      <c r="E9" s="151">
        <v>2021</v>
      </c>
      <c r="F9" s="158">
        <v>2022</v>
      </c>
      <c r="G9" s="158">
        <v>2023</v>
      </c>
      <c r="H9" s="163" t="str">
        <f>$H$6</f>
        <v>2024.5.</v>
      </c>
      <c r="I9" s="49"/>
      <c r="J9" s="150" t="s">
        <v>94</v>
      </c>
      <c r="K9" s="151">
        <v>2019</v>
      </c>
      <c r="L9" s="151">
        <v>2020</v>
      </c>
      <c r="M9" s="151">
        <v>2021</v>
      </c>
      <c r="N9" s="158">
        <v>2022</v>
      </c>
      <c r="O9" s="158">
        <v>2023</v>
      </c>
      <c r="P9" s="163" t="str">
        <f>$H$6</f>
        <v>2024.5.</v>
      </c>
    </row>
    <row r="10" spans="2:29" s="12" customFormat="1" ht="37.5" customHeight="1" thickBot="1">
      <c r="B10" s="156" t="s">
        <v>22</v>
      </c>
      <c r="C10" s="157">
        <v>725047</v>
      </c>
      <c r="D10" s="157">
        <v>792643</v>
      </c>
      <c r="E10" s="157">
        <v>936246</v>
      </c>
      <c r="F10" s="165">
        <v>851953</v>
      </c>
      <c r="G10" s="159">
        <v>820289</v>
      </c>
      <c r="H10" s="166">
        <f>통계요약!I21</f>
        <v>369077</v>
      </c>
      <c r="I10" s="50"/>
      <c r="J10" s="156" t="s">
        <v>93</v>
      </c>
      <c r="K10" s="153">
        <v>623733</v>
      </c>
      <c r="L10" s="153">
        <v>40267</v>
      </c>
      <c r="M10" s="153">
        <v>0</v>
      </c>
      <c r="N10" s="159">
        <v>0</v>
      </c>
      <c r="O10" s="159">
        <v>0</v>
      </c>
      <c r="P10" s="166"/>
      <c r="S10" s="26" t="s">
        <v>105</v>
      </c>
      <c r="AC10" s="26"/>
    </row>
    <row r="11" spans="2:29" ht="21" customHeight="1"/>
    <row r="12" spans="2:29" s="19" customFormat="1" ht="21" customHeight="1">
      <c r="B12" s="236" t="s">
        <v>98</v>
      </c>
      <c r="C12" s="236"/>
      <c r="D12" s="236"/>
      <c r="I12" s="51"/>
    </row>
    <row r="13" spans="2:29" s="12" customFormat="1" ht="21" customHeight="1">
      <c r="B13" s="235" t="s">
        <v>95</v>
      </c>
      <c r="C13" s="235"/>
      <c r="I13" s="46"/>
      <c r="J13" s="235" t="s">
        <v>96</v>
      </c>
      <c r="K13" s="235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35" t="s">
        <v>97</v>
      </c>
      <c r="C23" s="235"/>
      <c r="I23" s="46"/>
      <c r="J23" s="235" t="s">
        <v>99</v>
      </c>
      <c r="K23" s="235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19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0" zoomScaleNormal="90" workbookViewId="0">
      <selection activeCell="B3" sqref="B3:L3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12" t="s">
        <v>111</v>
      </c>
      <c r="C3" s="213"/>
      <c r="D3" s="213"/>
      <c r="E3" s="213"/>
      <c r="F3" s="213"/>
      <c r="G3" s="213"/>
      <c r="H3" s="213"/>
      <c r="I3" s="213"/>
      <c r="J3" s="213"/>
      <c r="K3" s="213"/>
      <c r="L3" s="214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38" t="s">
        <v>23</v>
      </c>
      <c r="C6" s="246" t="s">
        <v>24</v>
      </c>
      <c r="D6" s="244" t="s">
        <v>103</v>
      </c>
      <c r="E6" s="244"/>
      <c r="F6" s="244"/>
      <c r="G6" s="244" t="s">
        <v>104</v>
      </c>
      <c r="H6" s="244"/>
      <c r="I6" s="244" t="s">
        <v>25</v>
      </c>
      <c r="J6" s="244"/>
      <c r="K6" s="244"/>
      <c r="L6" s="245"/>
      <c r="X6" s="20" t="s">
        <v>84</v>
      </c>
    </row>
    <row r="7" spans="1:35" ht="21.95" customHeight="1" thickBot="1">
      <c r="B7" s="239"/>
      <c r="C7" s="247"/>
      <c r="D7" s="125" t="s">
        <v>26</v>
      </c>
      <c r="E7" s="125" t="str">
        <f>통계요약!F7</f>
        <v>5월(A)</v>
      </c>
      <c r="F7" s="125" t="str">
        <f>통계요약!G7</f>
        <v xml:space="preserve"> 5월누계(B) </v>
      </c>
      <c r="G7" s="126" t="str">
        <f>통계요약!H7</f>
        <v>5월(C)</v>
      </c>
      <c r="H7" s="125" t="str">
        <f>통계요약!I7</f>
        <v xml:space="preserve"> 5월누계(D) </v>
      </c>
      <c r="I7" s="125" t="s">
        <v>27</v>
      </c>
      <c r="J7" s="127" t="s">
        <v>28</v>
      </c>
      <c r="K7" s="128" t="s">
        <v>29</v>
      </c>
      <c r="L7" s="129" t="s">
        <v>28</v>
      </c>
    </row>
    <row r="8" spans="1:35" ht="21.95" customHeight="1">
      <c r="B8" s="240" t="s">
        <v>30</v>
      </c>
      <c r="C8" s="130" t="s">
        <v>31</v>
      </c>
      <c r="D8" s="131">
        <f>SUM(D10,D12,D14,D16,D18,D20,D22,D26,D24,D30,D32,D34,D36,D28)</f>
        <v>820289</v>
      </c>
      <c r="E8" s="131">
        <f>SUM(E10,E12,E14,E16,E18,E20,E22,E26,E24,E30,E32,E34,E36,E28)</f>
        <v>71745</v>
      </c>
      <c r="F8" s="131">
        <f>SUM(F10,F12,F14,F16,F18,F20,F22,F26,F24,F30,F32,F34,F36,F28)</f>
        <v>334798</v>
      </c>
      <c r="G8" s="131">
        <f>SUM(G10,G12,G14,G16,G18,G20,G22,G26,G24,G30,G32,G34,G36,G28,)</f>
        <v>80320</v>
      </c>
      <c r="H8" s="132">
        <f>SUM(H10,H12,H14,H16,H18,H20,H22,H26,H24,H30,H32,H34,H36,H28,)</f>
        <v>369077</v>
      </c>
      <c r="I8" s="133">
        <f t="shared" ref="I8:I9" si="0">G8-E8</f>
        <v>8575</v>
      </c>
      <c r="J8" s="134">
        <f t="shared" ref="J8:J9" si="1">(G8/E8*100)-100</f>
        <v>11.952052407833307</v>
      </c>
      <c r="K8" s="135">
        <f t="shared" ref="K8:K9" si="2">H8-F8</f>
        <v>34279</v>
      </c>
      <c r="L8" s="136">
        <f t="shared" ref="L8:L9" si="3">(H8/F8*100)-100</f>
        <v>10.238711103411617</v>
      </c>
    </row>
    <row r="9" spans="1:35" ht="21.95" customHeight="1" thickBot="1">
      <c r="B9" s="241"/>
      <c r="C9" s="137" t="s">
        <v>32</v>
      </c>
      <c r="D9" s="138">
        <f>SUM(D11,D13,D15,D17,D19,D21,D23,D25,D27,D31,D33,D35,D37,D29)</f>
        <v>12332332</v>
      </c>
      <c r="E9" s="138">
        <f>SUM(E11,E13,E15,E17,E19,E21,E23,E25,E27,E31,E33,E35,E37,E29)</f>
        <v>1088251</v>
      </c>
      <c r="F9" s="138">
        <f>SUM(F11,F13,F15,F17,F19,F21,F23,F25,F27,F31,F33,F35,F37,F29)</f>
        <v>5064172</v>
      </c>
      <c r="G9" s="138">
        <f>SUM(G11,G13,G15,G17,G19,G21,G23,G25,G27,G31,G33,G35,G37,G29)</f>
        <v>1187146</v>
      </c>
      <c r="H9" s="139">
        <f>SUM(H11,H13,H15,H17,H19,H21,H23,H25,H27,H31,H33,H35,H37,H29)</f>
        <v>5579913</v>
      </c>
      <c r="I9" s="140">
        <f t="shared" si="0"/>
        <v>98895</v>
      </c>
      <c r="J9" s="141">
        <f t="shared" si="1"/>
        <v>9.0875174936664536</v>
      </c>
      <c r="K9" s="142">
        <f t="shared" si="2"/>
        <v>515741</v>
      </c>
      <c r="L9" s="143">
        <f t="shared" si="3"/>
        <v>10.184113019857932</v>
      </c>
    </row>
    <row r="10" spans="1:35" ht="21.2" customHeight="1">
      <c r="B10" s="242" t="s">
        <v>33</v>
      </c>
      <c r="C10" s="175" t="s">
        <v>31</v>
      </c>
      <c r="D10" s="195">
        <v>55094</v>
      </c>
      <c r="E10" s="176">
        <v>4626</v>
      </c>
      <c r="F10" s="176">
        <v>23503</v>
      </c>
      <c r="G10" s="176">
        <v>4926</v>
      </c>
      <c r="H10" s="176">
        <v>22437</v>
      </c>
      <c r="I10" s="201">
        <f>IFERROR(G10-E10,"-")</f>
        <v>300</v>
      </c>
      <c r="J10" s="177">
        <f>IFERROR((G10/E10*100)-100,"-")</f>
        <v>6.4850843060959846</v>
      </c>
      <c r="K10" s="178">
        <f>IFERROR(H10-F10,"-")</f>
        <v>-1066</v>
      </c>
      <c r="L10" s="179">
        <f>IFERROR((H10/F10*100)-100,"-")</f>
        <v>-4.5355912011232533</v>
      </c>
      <c r="M10" s="30"/>
      <c r="O10" s="20" t="s">
        <v>51</v>
      </c>
      <c r="U10" s="167"/>
      <c r="V10" s="167"/>
    </row>
    <row r="11" spans="1:35" ht="21.2" customHeight="1">
      <c r="B11" s="243"/>
      <c r="C11" s="191" t="s">
        <v>32</v>
      </c>
      <c r="D11" s="196">
        <v>1043982</v>
      </c>
      <c r="E11" s="206">
        <v>88590</v>
      </c>
      <c r="F11" s="206">
        <v>445991</v>
      </c>
      <c r="G11" s="206">
        <v>89635</v>
      </c>
      <c r="H11" s="206">
        <v>418076</v>
      </c>
      <c r="I11" s="202">
        <f t="shared" ref="I11:I37" si="4">IFERROR(G11-E11,"-")</f>
        <v>1045</v>
      </c>
      <c r="J11" s="192">
        <f t="shared" ref="J11:J37" si="5">IFERROR((G11/E11*100)-100,"-")</f>
        <v>1.1795913760018095</v>
      </c>
      <c r="K11" s="193">
        <f t="shared" ref="K11:K37" si="6">IFERROR(H11-F11,"-")</f>
        <v>-27915</v>
      </c>
      <c r="L11" s="194">
        <f t="shared" ref="L11:L37" si="7">IFERROR((H11/F11*100)-100,"-")</f>
        <v>-6.2590949144713619</v>
      </c>
      <c r="O11" s="20" t="s">
        <v>51</v>
      </c>
      <c r="U11" s="167"/>
      <c r="V11" s="167"/>
    </row>
    <row r="12" spans="1:35" ht="21.2" customHeight="1">
      <c r="B12" s="243" t="s">
        <v>34</v>
      </c>
      <c r="C12" s="144" t="s">
        <v>31</v>
      </c>
      <c r="D12" s="197">
        <v>45643</v>
      </c>
      <c r="E12" s="207">
        <v>3262</v>
      </c>
      <c r="F12" s="207">
        <v>20268</v>
      </c>
      <c r="G12" s="207">
        <v>3888</v>
      </c>
      <c r="H12" s="207">
        <v>19814</v>
      </c>
      <c r="I12" s="203">
        <f t="shared" si="4"/>
        <v>626</v>
      </c>
      <c r="J12" s="146">
        <f t="shared" si="5"/>
        <v>19.190680564071116</v>
      </c>
      <c r="K12" s="147">
        <f t="shared" si="6"/>
        <v>-454</v>
      </c>
      <c r="L12" s="148">
        <f t="shared" si="7"/>
        <v>-2.2399842115650301</v>
      </c>
      <c r="O12" s="20" t="s">
        <v>52</v>
      </c>
      <c r="U12" s="167"/>
      <c r="V12" s="167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43"/>
      <c r="C13" s="191" t="s">
        <v>32</v>
      </c>
      <c r="D13" s="196">
        <v>634252</v>
      </c>
      <c r="E13" s="206">
        <v>45596</v>
      </c>
      <c r="F13" s="206">
        <v>285545</v>
      </c>
      <c r="G13" s="206">
        <v>57064</v>
      </c>
      <c r="H13" s="206">
        <v>279033</v>
      </c>
      <c r="I13" s="202">
        <f t="shared" si="4"/>
        <v>11468</v>
      </c>
      <c r="J13" s="192">
        <f t="shared" si="5"/>
        <v>25.151329063952986</v>
      </c>
      <c r="K13" s="193">
        <f t="shared" si="6"/>
        <v>-6512</v>
      </c>
      <c r="L13" s="194">
        <f t="shared" si="7"/>
        <v>-2.2805512266017587</v>
      </c>
      <c r="O13" s="20" t="s">
        <v>52</v>
      </c>
      <c r="U13" s="167"/>
      <c r="V13" s="167"/>
      <c r="AC13" s="33" t="s">
        <v>82</v>
      </c>
      <c r="AD13" s="35">
        <f>E10+E12</f>
        <v>7888</v>
      </c>
      <c r="AE13" s="35">
        <f>F10+F12</f>
        <v>43771</v>
      </c>
      <c r="AF13" s="35">
        <f>G10+G12</f>
        <v>8814</v>
      </c>
      <c r="AG13" s="35">
        <f>H10+H12</f>
        <v>42251</v>
      </c>
      <c r="AH13" s="36">
        <f t="shared" ref="AH13:AI15" si="8">(AF13/AD13*100)-100</f>
        <v>11.739350912778917</v>
      </c>
      <c r="AI13" s="36">
        <f t="shared" si="8"/>
        <v>-3.472618857234238</v>
      </c>
    </row>
    <row r="14" spans="1:35" ht="21.2" customHeight="1">
      <c r="B14" s="243" t="s">
        <v>72</v>
      </c>
      <c r="C14" s="144" t="s">
        <v>31</v>
      </c>
      <c r="D14" s="197">
        <v>0</v>
      </c>
      <c r="E14" s="149">
        <v>0</v>
      </c>
      <c r="F14" s="149">
        <v>0</v>
      </c>
      <c r="G14" s="149">
        <v>0</v>
      </c>
      <c r="H14" s="149">
        <v>0</v>
      </c>
      <c r="I14" s="203">
        <f t="shared" si="4"/>
        <v>0</v>
      </c>
      <c r="J14" s="146" t="str">
        <f t="shared" si="5"/>
        <v>-</v>
      </c>
      <c r="K14" s="147">
        <f t="shared" si="6"/>
        <v>0</v>
      </c>
      <c r="L14" s="148" t="str">
        <f t="shared" si="7"/>
        <v>-</v>
      </c>
      <c r="O14" s="20" t="s">
        <v>73</v>
      </c>
      <c r="U14" s="167"/>
      <c r="V14" s="167"/>
      <c r="AC14" s="33" t="s">
        <v>83</v>
      </c>
      <c r="AD14" s="35">
        <f>E18+E20+E22</f>
        <v>45383</v>
      </c>
      <c r="AE14" s="35">
        <f>F18+F20+F22</f>
        <v>199009</v>
      </c>
      <c r="AF14" s="35">
        <f>G18+G20+G22</f>
        <v>49814</v>
      </c>
      <c r="AG14" s="35">
        <f>H18+H20+H22</f>
        <v>228792</v>
      </c>
      <c r="AH14" s="36">
        <f t="shared" si="8"/>
        <v>9.7635678558050358</v>
      </c>
      <c r="AI14" s="36">
        <f t="shared" si="8"/>
        <v>14.965654819631283</v>
      </c>
    </row>
    <row r="15" spans="1:35" ht="21.2" customHeight="1">
      <c r="B15" s="243"/>
      <c r="C15" s="115" t="s">
        <v>32</v>
      </c>
      <c r="D15" s="196">
        <v>0</v>
      </c>
      <c r="E15" s="118">
        <v>0</v>
      </c>
      <c r="F15" s="118">
        <v>0</v>
      </c>
      <c r="G15" s="118">
        <v>0</v>
      </c>
      <c r="H15" s="118">
        <v>0</v>
      </c>
      <c r="I15" s="204">
        <f t="shared" si="4"/>
        <v>0</v>
      </c>
      <c r="J15" s="116" t="str">
        <f t="shared" si="5"/>
        <v>-</v>
      </c>
      <c r="K15" s="117">
        <f t="shared" si="6"/>
        <v>0</v>
      </c>
      <c r="L15" s="120" t="str">
        <f t="shared" si="7"/>
        <v>-</v>
      </c>
      <c r="O15" s="20" t="s">
        <v>73</v>
      </c>
      <c r="AC15" s="33" t="s">
        <v>76</v>
      </c>
      <c r="AD15" s="35">
        <f>E32+E34+E36</f>
        <v>18474</v>
      </c>
      <c r="AE15" s="35">
        <f>F32+F34+F36</f>
        <v>92018</v>
      </c>
      <c r="AF15" s="35">
        <f>G32+G34+G36</f>
        <v>21692</v>
      </c>
      <c r="AG15" s="35">
        <f>H32+H34+H36</f>
        <v>97822</v>
      </c>
      <c r="AH15" s="36">
        <f t="shared" si="8"/>
        <v>17.419075457399586</v>
      </c>
      <c r="AI15" s="36">
        <f t="shared" si="8"/>
        <v>6.3074615836031995</v>
      </c>
    </row>
    <row r="16" spans="1:35" ht="21.2" customHeight="1">
      <c r="B16" s="243" t="s">
        <v>46</v>
      </c>
      <c r="C16" s="144" t="s">
        <v>31</v>
      </c>
      <c r="D16" s="198">
        <v>0</v>
      </c>
      <c r="E16" s="149">
        <v>0</v>
      </c>
      <c r="F16" s="149">
        <v>0</v>
      </c>
      <c r="G16" s="149">
        <v>0</v>
      </c>
      <c r="H16" s="149">
        <v>212</v>
      </c>
      <c r="I16" s="203">
        <f t="shared" si="4"/>
        <v>0</v>
      </c>
      <c r="J16" s="146" t="str">
        <f t="shared" si="5"/>
        <v>-</v>
      </c>
      <c r="K16" s="147">
        <f t="shared" si="6"/>
        <v>212</v>
      </c>
      <c r="L16" s="148" t="str">
        <f t="shared" si="7"/>
        <v>-</v>
      </c>
      <c r="O16" s="20" t="s">
        <v>53</v>
      </c>
    </row>
    <row r="17" spans="2:15" ht="21.2" customHeight="1">
      <c r="B17" s="243"/>
      <c r="C17" s="115" t="s">
        <v>45</v>
      </c>
      <c r="D17" s="199">
        <v>0</v>
      </c>
      <c r="E17" s="118">
        <v>0</v>
      </c>
      <c r="F17" s="118">
        <v>0</v>
      </c>
      <c r="G17" s="118">
        <v>0</v>
      </c>
      <c r="H17" s="118">
        <v>5372</v>
      </c>
      <c r="I17" s="204">
        <f t="shared" si="4"/>
        <v>0</v>
      </c>
      <c r="J17" s="116" t="str">
        <f t="shared" si="5"/>
        <v>-</v>
      </c>
      <c r="K17" s="117">
        <f t="shared" si="6"/>
        <v>5372</v>
      </c>
      <c r="L17" s="120" t="str">
        <f t="shared" si="7"/>
        <v>-</v>
      </c>
      <c r="O17" s="20" t="s">
        <v>53</v>
      </c>
    </row>
    <row r="18" spans="2:15" ht="21.2" customHeight="1">
      <c r="B18" s="243" t="s">
        <v>35</v>
      </c>
      <c r="C18" s="144" t="s">
        <v>31</v>
      </c>
      <c r="D18" s="197">
        <v>128500</v>
      </c>
      <c r="E18" s="145">
        <v>14041</v>
      </c>
      <c r="F18" s="145">
        <v>52340</v>
      </c>
      <c r="G18" s="145">
        <v>14777</v>
      </c>
      <c r="H18" s="145">
        <v>59086</v>
      </c>
      <c r="I18" s="203">
        <f t="shared" si="4"/>
        <v>736</v>
      </c>
      <c r="J18" s="146">
        <f t="shared" si="5"/>
        <v>5.2417918951641553</v>
      </c>
      <c r="K18" s="147">
        <f t="shared" si="6"/>
        <v>6746</v>
      </c>
      <c r="L18" s="148">
        <f t="shared" si="7"/>
        <v>12.888803974016042</v>
      </c>
      <c r="M18" s="30"/>
      <c r="O18" s="20" t="s">
        <v>54</v>
      </c>
    </row>
    <row r="19" spans="2:15" ht="21.2" customHeight="1">
      <c r="B19" s="243"/>
      <c r="C19" s="115" t="s">
        <v>32</v>
      </c>
      <c r="D19" s="196">
        <v>2073957</v>
      </c>
      <c r="E19" s="208">
        <v>214862</v>
      </c>
      <c r="F19" s="206">
        <v>846525</v>
      </c>
      <c r="G19" s="206">
        <v>235822</v>
      </c>
      <c r="H19" s="206">
        <v>980625</v>
      </c>
      <c r="I19" s="204">
        <f t="shared" si="4"/>
        <v>20960</v>
      </c>
      <c r="J19" s="116">
        <f t="shared" si="5"/>
        <v>9.7550986214407516</v>
      </c>
      <c r="K19" s="117">
        <f t="shared" si="6"/>
        <v>134100</v>
      </c>
      <c r="L19" s="120">
        <f t="shared" si="7"/>
        <v>15.841233277221576</v>
      </c>
      <c r="O19" s="20" t="s">
        <v>55</v>
      </c>
    </row>
    <row r="20" spans="2:15" ht="21.2" customHeight="1">
      <c r="B20" s="243" t="s">
        <v>42</v>
      </c>
      <c r="C20" s="144" t="s">
        <v>31</v>
      </c>
      <c r="D20" s="197">
        <v>206337</v>
      </c>
      <c r="E20" s="145">
        <v>15406</v>
      </c>
      <c r="F20" s="145">
        <v>82235</v>
      </c>
      <c r="G20" s="145">
        <v>20670</v>
      </c>
      <c r="H20" s="145">
        <v>98023</v>
      </c>
      <c r="I20" s="203">
        <f t="shared" si="4"/>
        <v>5264</v>
      </c>
      <c r="J20" s="146">
        <f t="shared" si="5"/>
        <v>34.168505776970022</v>
      </c>
      <c r="K20" s="147">
        <f t="shared" si="6"/>
        <v>15788</v>
      </c>
      <c r="L20" s="148">
        <f t="shared" si="7"/>
        <v>19.198638049492317</v>
      </c>
      <c r="O20" s="20" t="s">
        <v>56</v>
      </c>
    </row>
    <row r="21" spans="2:15" ht="21.2" customHeight="1">
      <c r="B21" s="243"/>
      <c r="C21" s="115" t="s">
        <v>32</v>
      </c>
      <c r="D21" s="196">
        <v>2793148</v>
      </c>
      <c r="E21" s="208">
        <v>200383</v>
      </c>
      <c r="F21" s="206">
        <v>1104640</v>
      </c>
      <c r="G21" s="206">
        <v>260342</v>
      </c>
      <c r="H21" s="206">
        <v>1285046</v>
      </c>
      <c r="I21" s="204">
        <f t="shared" si="4"/>
        <v>59959</v>
      </c>
      <c r="J21" s="116">
        <f t="shared" si="5"/>
        <v>29.922198988936174</v>
      </c>
      <c r="K21" s="117">
        <f t="shared" si="6"/>
        <v>180406</v>
      </c>
      <c r="L21" s="120">
        <f t="shared" si="7"/>
        <v>16.331655561993045</v>
      </c>
      <c r="O21" s="20" t="s">
        <v>57</v>
      </c>
    </row>
    <row r="22" spans="2:15" ht="21.2" customHeight="1">
      <c r="B22" s="243" t="s">
        <v>36</v>
      </c>
      <c r="C22" s="144" t="s">
        <v>31</v>
      </c>
      <c r="D22" s="197">
        <v>160865</v>
      </c>
      <c r="E22" s="145">
        <v>15936</v>
      </c>
      <c r="F22" s="145">
        <v>64434</v>
      </c>
      <c r="G22" s="145">
        <v>14367</v>
      </c>
      <c r="H22" s="145">
        <v>71683</v>
      </c>
      <c r="I22" s="203">
        <f t="shared" si="4"/>
        <v>-1569</v>
      </c>
      <c r="J22" s="146">
        <f t="shared" si="5"/>
        <v>-9.8456325301204828</v>
      </c>
      <c r="K22" s="147">
        <f t="shared" si="6"/>
        <v>7249</v>
      </c>
      <c r="L22" s="148">
        <f t="shared" si="7"/>
        <v>11.250271595741367</v>
      </c>
      <c r="O22" s="20" t="s">
        <v>58</v>
      </c>
    </row>
    <row r="23" spans="2:15" ht="21.2" customHeight="1">
      <c r="B23" s="243"/>
      <c r="C23" s="115" t="s">
        <v>32</v>
      </c>
      <c r="D23" s="196">
        <v>2398781</v>
      </c>
      <c r="E23" s="208">
        <v>256189</v>
      </c>
      <c r="F23" s="206">
        <v>1016213</v>
      </c>
      <c r="G23" s="206">
        <v>220119</v>
      </c>
      <c r="H23" s="206">
        <v>1117516</v>
      </c>
      <c r="I23" s="204">
        <f t="shared" si="4"/>
        <v>-36070</v>
      </c>
      <c r="J23" s="116">
        <f t="shared" si="5"/>
        <v>-14.079449156677299</v>
      </c>
      <c r="K23" s="117">
        <f t="shared" si="6"/>
        <v>101303</v>
      </c>
      <c r="L23" s="120">
        <f t="shared" si="7"/>
        <v>9.9686778264005653</v>
      </c>
      <c r="O23" s="20" t="s">
        <v>59</v>
      </c>
    </row>
    <row r="24" spans="2:15" ht="21.2" customHeight="1">
      <c r="B24" s="243" t="s">
        <v>48</v>
      </c>
      <c r="C24" s="144" t="s">
        <v>31</v>
      </c>
      <c r="D24" s="198">
        <v>0</v>
      </c>
      <c r="E24" s="149">
        <v>0</v>
      </c>
      <c r="F24" s="149">
        <v>0</v>
      </c>
      <c r="G24" s="149">
        <v>0</v>
      </c>
      <c r="H24" s="149">
        <v>0</v>
      </c>
      <c r="I24" s="203">
        <f t="shared" si="4"/>
        <v>0</v>
      </c>
      <c r="J24" s="146" t="str">
        <f t="shared" si="5"/>
        <v>-</v>
      </c>
      <c r="K24" s="147">
        <f t="shared" si="6"/>
        <v>0</v>
      </c>
      <c r="L24" s="148" t="str">
        <f t="shared" si="7"/>
        <v>-</v>
      </c>
      <c r="O24" s="20" t="s">
        <v>60</v>
      </c>
    </row>
    <row r="25" spans="2:15" ht="21.2" customHeight="1">
      <c r="B25" s="243"/>
      <c r="C25" s="119" t="s">
        <v>32</v>
      </c>
      <c r="D25" s="199">
        <v>0</v>
      </c>
      <c r="E25" s="118">
        <v>0</v>
      </c>
      <c r="F25" s="118">
        <v>0</v>
      </c>
      <c r="G25" s="118">
        <v>0</v>
      </c>
      <c r="H25" s="118">
        <v>0</v>
      </c>
      <c r="I25" s="204">
        <f t="shared" si="4"/>
        <v>0</v>
      </c>
      <c r="J25" s="116" t="str">
        <f t="shared" si="5"/>
        <v>-</v>
      </c>
      <c r="K25" s="117">
        <f t="shared" si="6"/>
        <v>0</v>
      </c>
      <c r="L25" s="120" t="str">
        <f t="shared" si="7"/>
        <v>-</v>
      </c>
      <c r="O25" s="20" t="s">
        <v>61</v>
      </c>
    </row>
    <row r="26" spans="2:15" ht="21.2" customHeight="1">
      <c r="B26" s="243" t="s">
        <v>71</v>
      </c>
      <c r="C26" s="144" t="s">
        <v>31</v>
      </c>
      <c r="D26" s="198">
        <v>0</v>
      </c>
      <c r="E26" s="149">
        <v>0</v>
      </c>
      <c r="F26" s="149">
        <v>0</v>
      </c>
      <c r="G26" s="149">
        <v>0</v>
      </c>
      <c r="H26" s="149">
        <v>0</v>
      </c>
      <c r="I26" s="203">
        <f t="shared" si="4"/>
        <v>0</v>
      </c>
      <c r="J26" s="146" t="str">
        <f t="shared" si="5"/>
        <v>-</v>
      </c>
      <c r="K26" s="147">
        <f t="shared" si="6"/>
        <v>0</v>
      </c>
      <c r="L26" s="148" t="str">
        <f t="shared" si="7"/>
        <v>-</v>
      </c>
      <c r="O26" s="20" t="s">
        <v>74</v>
      </c>
    </row>
    <row r="27" spans="2:15" ht="21.2" customHeight="1">
      <c r="B27" s="243"/>
      <c r="C27" s="115" t="s">
        <v>32</v>
      </c>
      <c r="D27" s="199">
        <v>0</v>
      </c>
      <c r="E27" s="118">
        <v>0</v>
      </c>
      <c r="F27" s="118">
        <v>0</v>
      </c>
      <c r="G27" s="118">
        <v>0</v>
      </c>
      <c r="H27" s="118">
        <v>0</v>
      </c>
      <c r="I27" s="204">
        <f t="shared" si="4"/>
        <v>0</v>
      </c>
      <c r="J27" s="116" t="str">
        <f t="shared" si="5"/>
        <v>-</v>
      </c>
      <c r="K27" s="117">
        <f t="shared" si="6"/>
        <v>0</v>
      </c>
      <c r="L27" s="120" t="str">
        <f t="shared" si="7"/>
        <v>-</v>
      </c>
      <c r="O27" s="20" t="s">
        <v>74</v>
      </c>
    </row>
    <row r="28" spans="2:15" ht="21.2" customHeight="1">
      <c r="B28" s="243" t="s">
        <v>43</v>
      </c>
      <c r="C28" s="144" t="s">
        <v>44</v>
      </c>
      <c r="D28" s="197">
        <v>0</v>
      </c>
      <c r="E28" s="149">
        <v>0</v>
      </c>
      <c r="F28" s="149">
        <v>0</v>
      </c>
      <c r="G28" s="149">
        <v>0</v>
      </c>
      <c r="H28" s="149">
        <v>0</v>
      </c>
      <c r="I28" s="203">
        <f t="shared" si="4"/>
        <v>0</v>
      </c>
      <c r="J28" s="146" t="str">
        <f t="shared" si="5"/>
        <v>-</v>
      </c>
      <c r="K28" s="147">
        <f t="shared" si="6"/>
        <v>0</v>
      </c>
      <c r="L28" s="148" t="str">
        <f t="shared" si="7"/>
        <v>-</v>
      </c>
      <c r="O28" s="20" t="s">
        <v>62</v>
      </c>
    </row>
    <row r="29" spans="2:15" ht="21.2" customHeight="1">
      <c r="B29" s="243"/>
      <c r="C29" s="115" t="s">
        <v>45</v>
      </c>
      <c r="D29" s="196">
        <v>0</v>
      </c>
      <c r="E29" s="118">
        <v>0</v>
      </c>
      <c r="F29" s="118">
        <v>0</v>
      </c>
      <c r="G29" s="118">
        <v>0</v>
      </c>
      <c r="H29" s="118">
        <v>0</v>
      </c>
      <c r="I29" s="204">
        <f t="shared" si="4"/>
        <v>0</v>
      </c>
      <c r="J29" s="116" t="str">
        <f t="shared" si="5"/>
        <v>-</v>
      </c>
      <c r="K29" s="117">
        <f t="shared" si="6"/>
        <v>0</v>
      </c>
      <c r="L29" s="120" t="str">
        <f t="shared" si="7"/>
        <v>-</v>
      </c>
      <c r="O29" s="20" t="s">
        <v>62</v>
      </c>
    </row>
    <row r="30" spans="2:15" ht="21.2" customHeight="1">
      <c r="B30" s="243" t="s">
        <v>38</v>
      </c>
      <c r="C30" s="144" t="s">
        <v>31</v>
      </c>
      <c r="D30" s="197">
        <v>0</v>
      </c>
      <c r="E30" s="149">
        <v>0</v>
      </c>
      <c r="F30" s="149">
        <v>0</v>
      </c>
      <c r="G30" s="149">
        <v>0</v>
      </c>
      <c r="H30" s="149">
        <v>0</v>
      </c>
      <c r="I30" s="203">
        <f t="shared" si="4"/>
        <v>0</v>
      </c>
      <c r="J30" s="146" t="str">
        <f t="shared" si="5"/>
        <v>-</v>
      </c>
      <c r="K30" s="147">
        <f t="shared" si="6"/>
        <v>0</v>
      </c>
      <c r="L30" s="148" t="str">
        <f t="shared" si="7"/>
        <v>-</v>
      </c>
      <c r="O30" s="20" t="s">
        <v>63</v>
      </c>
    </row>
    <row r="31" spans="2:15" ht="21.2" customHeight="1">
      <c r="B31" s="243"/>
      <c r="C31" s="115" t="s">
        <v>32</v>
      </c>
      <c r="D31" s="196">
        <v>0</v>
      </c>
      <c r="E31" s="118">
        <v>0</v>
      </c>
      <c r="F31" s="118">
        <v>0</v>
      </c>
      <c r="G31" s="118">
        <v>0</v>
      </c>
      <c r="H31" s="118">
        <v>0</v>
      </c>
      <c r="I31" s="204">
        <f t="shared" si="4"/>
        <v>0</v>
      </c>
      <c r="J31" s="116" t="str">
        <f t="shared" si="5"/>
        <v>-</v>
      </c>
      <c r="K31" s="117">
        <f t="shared" si="6"/>
        <v>0</v>
      </c>
      <c r="L31" s="120" t="str">
        <f t="shared" si="7"/>
        <v>-</v>
      </c>
      <c r="O31" s="20" t="s">
        <v>64</v>
      </c>
    </row>
    <row r="32" spans="2:15" ht="21.2" customHeight="1">
      <c r="B32" s="243" t="s">
        <v>39</v>
      </c>
      <c r="C32" s="144" t="s">
        <v>31</v>
      </c>
      <c r="D32" s="197">
        <v>53812</v>
      </c>
      <c r="E32" s="145">
        <v>5080</v>
      </c>
      <c r="F32" s="145">
        <v>22412</v>
      </c>
      <c r="G32" s="145">
        <v>6321</v>
      </c>
      <c r="H32" s="145">
        <v>26863</v>
      </c>
      <c r="I32" s="203">
        <f t="shared" si="4"/>
        <v>1241</v>
      </c>
      <c r="J32" s="146">
        <f t="shared" si="5"/>
        <v>24.429133858267733</v>
      </c>
      <c r="K32" s="147">
        <f t="shared" si="6"/>
        <v>4451</v>
      </c>
      <c r="L32" s="148">
        <f t="shared" si="7"/>
        <v>19.859896484026422</v>
      </c>
      <c r="O32" s="20" t="s">
        <v>65</v>
      </c>
    </row>
    <row r="33" spans="2:15" ht="21.2" customHeight="1">
      <c r="B33" s="243"/>
      <c r="C33" s="115" t="s">
        <v>32</v>
      </c>
      <c r="D33" s="196">
        <v>904930</v>
      </c>
      <c r="E33" s="206">
        <v>82626</v>
      </c>
      <c r="F33" s="206">
        <v>368447</v>
      </c>
      <c r="G33" s="206">
        <v>100789</v>
      </c>
      <c r="H33" s="206">
        <v>429849</v>
      </c>
      <c r="I33" s="204">
        <f t="shared" si="4"/>
        <v>18163</v>
      </c>
      <c r="J33" s="116">
        <f t="shared" si="5"/>
        <v>21.982184784450425</v>
      </c>
      <c r="K33" s="117">
        <f t="shared" si="6"/>
        <v>61402</v>
      </c>
      <c r="L33" s="120">
        <f t="shared" si="7"/>
        <v>16.665083444837393</v>
      </c>
      <c r="O33" s="20" t="s">
        <v>66</v>
      </c>
    </row>
    <row r="34" spans="2:15" ht="21.2" customHeight="1">
      <c r="B34" s="243" t="s">
        <v>40</v>
      </c>
      <c r="C34" s="144" t="s">
        <v>31</v>
      </c>
      <c r="D34" s="197">
        <v>123326</v>
      </c>
      <c r="E34" s="145">
        <v>9962</v>
      </c>
      <c r="F34" s="145">
        <v>49717</v>
      </c>
      <c r="G34" s="145">
        <v>10836</v>
      </c>
      <c r="H34" s="145">
        <v>53387</v>
      </c>
      <c r="I34" s="203">
        <f t="shared" si="4"/>
        <v>874</v>
      </c>
      <c r="J34" s="146">
        <f t="shared" si="5"/>
        <v>8.77333868701065</v>
      </c>
      <c r="K34" s="147">
        <f t="shared" si="6"/>
        <v>3670</v>
      </c>
      <c r="L34" s="148">
        <f t="shared" si="7"/>
        <v>7.3817808797795408</v>
      </c>
      <c r="O34" s="20" t="s">
        <v>67</v>
      </c>
    </row>
    <row r="35" spans="2:15" ht="21.2" customHeight="1">
      <c r="B35" s="243"/>
      <c r="C35" s="115" t="s">
        <v>32</v>
      </c>
      <c r="D35" s="196">
        <v>1781224</v>
      </c>
      <c r="E35" s="206">
        <v>148955</v>
      </c>
      <c r="F35" s="206">
        <v>697960</v>
      </c>
      <c r="G35" s="206">
        <v>155972</v>
      </c>
      <c r="H35" s="206">
        <v>788012</v>
      </c>
      <c r="I35" s="204">
        <f t="shared" si="4"/>
        <v>7017</v>
      </c>
      <c r="J35" s="116">
        <f t="shared" si="5"/>
        <v>4.7108187036353257</v>
      </c>
      <c r="K35" s="117">
        <f t="shared" si="6"/>
        <v>90052</v>
      </c>
      <c r="L35" s="120">
        <f t="shared" si="7"/>
        <v>12.902172044243216</v>
      </c>
      <c r="O35" s="20" t="s">
        <v>68</v>
      </c>
    </row>
    <row r="36" spans="2:15" ht="21.2" customHeight="1">
      <c r="B36" s="243" t="s">
        <v>41</v>
      </c>
      <c r="C36" s="144" t="s">
        <v>31</v>
      </c>
      <c r="D36" s="197">
        <v>46712</v>
      </c>
      <c r="E36" s="145">
        <v>3432</v>
      </c>
      <c r="F36" s="145">
        <v>19889</v>
      </c>
      <c r="G36" s="145">
        <v>4535</v>
      </c>
      <c r="H36" s="145">
        <v>17572</v>
      </c>
      <c r="I36" s="203">
        <f t="shared" si="4"/>
        <v>1103</v>
      </c>
      <c r="J36" s="146">
        <f t="shared" si="5"/>
        <v>32.138694638694631</v>
      </c>
      <c r="K36" s="147">
        <f t="shared" si="6"/>
        <v>-2317</v>
      </c>
      <c r="L36" s="148">
        <f t="shared" si="7"/>
        <v>-11.649655588516268</v>
      </c>
      <c r="O36" s="20" t="s">
        <v>69</v>
      </c>
    </row>
    <row r="37" spans="2:15" ht="21.2" customHeight="1">
      <c r="B37" s="248"/>
      <c r="C37" s="121" t="s">
        <v>32</v>
      </c>
      <c r="D37" s="200">
        <v>702058</v>
      </c>
      <c r="E37" s="209">
        <v>51050</v>
      </c>
      <c r="F37" s="209">
        <v>298851</v>
      </c>
      <c r="G37" s="209">
        <v>67403</v>
      </c>
      <c r="H37" s="209">
        <v>276384</v>
      </c>
      <c r="I37" s="205">
        <f t="shared" si="4"/>
        <v>16353</v>
      </c>
      <c r="J37" s="122">
        <f t="shared" si="5"/>
        <v>32.033300685602342</v>
      </c>
      <c r="K37" s="123">
        <f t="shared" si="6"/>
        <v>-22467</v>
      </c>
      <c r="L37" s="124">
        <f t="shared" si="7"/>
        <v>-7.5177931477558957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0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2024-08-27T06:28:31Z</dcterms:modified>
</cp:coreProperties>
</file>