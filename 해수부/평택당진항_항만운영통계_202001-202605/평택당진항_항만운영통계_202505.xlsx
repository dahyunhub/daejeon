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I29" i="21" l="1"/>
  <c r="H23" i="32" l="1"/>
  <c r="H22" i="32"/>
  <c r="H21" i="32"/>
  <c r="H20" i="32"/>
  <c r="H19" i="32"/>
  <c r="H18" i="32"/>
  <c r="H37" i="32"/>
  <c r="H36" i="32"/>
  <c r="H35" i="32"/>
  <c r="H34" i="32"/>
  <c r="H33" i="32"/>
  <c r="H32" i="32"/>
  <c r="H13" i="32"/>
  <c r="H12" i="32"/>
  <c r="I18" i="21"/>
  <c r="I17" i="21"/>
  <c r="I15" i="21"/>
  <c r="I14" i="21"/>
  <c r="I13" i="21"/>
  <c r="H15" i="21"/>
  <c r="H10" i="21"/>
  <c r="H9" i="21"/>
  <c r="I10" i="21"/>
  <c r="I9" i="21"/>
  <c r="F9" i="32" l="1"/>
  <c r="F8" i="32"/>
  <c r="E9" i="32"/>
  <c r="E8" i="32"/>
  <c r="D9" i="32"/>
  <c r="D8" i="32"/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10" i="32"/>
  <c r="J24" i="21" l="1"/>
  <c r="J25" i="21"/>
  <c r="J23" i="21"/>
  <c r="L18" i="21"/>
  <c r="L17" i="21"/>
  <c r="J18" i="21"/>
  <c r="J17" i="21"/>
  <c r="L13" i="21"/>
  <c r="J13" i="21"/>
  <c r="J14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H12" i="21" l="1"/>
  <c r="I16" i="21" l="1"/>
  <c r="I12" i="21"/>
  <c r="H16" i="21"/>
  <c r="H11" i="21" s="1"/>
  <c r="I11" i="21" l="1"/>
  <c r="P7" i="33" s="1"/>
  <c r="F16" i="21"/>
  <c r="F12" i="21"/>
  <c r="J12" i="21" s="1"/>
  <c r="G16" i="21"/>
  <c r="G12" i="21"/>
  <c r="F11" i="21" l="1"/>
  <c r="G11" i="21"/>
  <c r="H8" i="32" l="1"/>
  <c r="G8" i="32"/>
  <c r="H9" i="32" l="1"/>
  <c r="G9" i="32"/>
  <c r="E16" i="21" l="1"/>
  <c r="E12" i="21"/>
  <c r="E11" i="21" l="1"/>
  <c r="H22" i="21"/>
  <c r="G22" i="21" l="1"/>
  <c r="L12" i="21"/>
  <c r="G8" i="21" l="1"/>
  <c r="E7" i="32" l="1"/>
  <c r="I8" i="21" l="1"/>
  <c r="H7" i="33" s="1"/>
  <c r="H8" i="21" l="1"/>
  <c r="P9" i="33" l="1"/>
  <c r="H9" i="33"/>
  <c r="P6" i="33"/>
  <c r="H7" i="32" l="1"/>
  <c r="G7" i="32"/>
  <c r="F7" i="32"/>
  <c r="E8" i="21" l="1"/>
  <c r="L29" i="21" l="1"/>
  <c r="J29" i="21"/>
  <c r="K29" i="21"/>
  <c r="L27" i="21"/>
  <c r="L28" i="21"/>
  <c r="L19" i="21"/>
  <c r="J27" i="21" l="1"/>
  <c r="J28" i="21"/>
  <c r="J19" i="21"/>
  <c r="I26" i="21" l="1"/>
  <c r="I22" i="2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M8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<sst xmlns="http://schemas.openxmlformats.org/spreadsheetml/2006/main" count="159" uniqueCount="111">
  <si>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</si>
  <si>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</si>
  <si>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</si>
  <si>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</si>
  <si>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</si>
  <si>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</si>
  <si>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</si>
  <si>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9" type="noConversion"/>
  </si>
  <si>
    <t xml:space="preserve"> 합  계</t>
    <phoneticPr fontId="9" type="noConversion"/>
  </si>
  <si>
    <t xml:space="preserve"> 외  항</t>
    <phoneticPr fontId="9" type="noConversion"/>
  </si>
  <si>
    <t xml:space="preserve"> 내  항</t>
    <phoneticPr fontId="9" type="noConversion"/>
  </si>
  <si>
    <t>연간누계</t>
    <phoneticPr fontId="9" type="noConversion"/>
  </si>
  <si>
    <t>계</t>
    <phoneticPr fontId="9" type="noConversion"/>
  </si>
  <si>
    <t>환적</t>
    <phoneticPr fontId="9" type="noConversion"/>
  </si>
  <si>
    <t>수출</t>
    <phoneticPr fontId="9" type="noConversion"/>
  </si>
  <si>
    <t>전년동기대비</t>
    <phoneticPr fontId="9" type="noConversion"/>
  </si>
  <si>
    <t>(%)</t>
    <phoneticPr fontId="9" type="noConversion"/>
  </si>
  <si>
    <t>환적</t>
    <phoneticPr fontId="9" type="noConversion"/>
  </si>
  <si>
    <t>D-B</t>
    <phoneticPr fontId="9" type="noConversion"/>
  </si>
  <si>
    <t>선박</t>
    <phoneticPr fontId="9" type="noConversion"/>
  </si>
  <si>
    <t>화물</t>
    <phoneticPr fontId="9" type="noConversion"/>
  </si>
  <si>
    <t>(단위:TEU, 100% 기준)</t>
    <phoneticPr fontId="9" type="noConversion"/>
  </si>
  <si>
    <t>컨테이너</t>
    <phoneticPr fontId="9" type="noConversion"/>
  </si>
  <si>
    <t>구     분</t>
    <phoneticPr fontId="9" type="noConversion"/>
  </si>
  <si>
    <t>단위</t>
    <phoneticPr fontId="21" type="noConversion"/>
  </si>
  <si>
    <t>전년동기대비</t>
    <phoneticPr fontId="9" type="noConversion"/>
  </si>
  <si>
    <t>연간누계</t>
    <phoneticPr fontId="9" type="noConversion"/>
  </si>
  <si>
    <t>C-A</t>
    <phoneticPr fontId="9" type="noConversion"/>
  </si>
  <si>
    <t>(%)</t>
    <phoneticPr fontId="9" type="noConversion"/>
  </si>
  <si>
    <t>D-B</t>
    <phoneticPr fontId="9" type="noConversion"/>
  </si>
  <si>
    <t>합  계</t>
    <phoneticPr fontId="9" type="noConversion"/>
  </si>
  <si>
    <t>TEU</t>
    <phoneticPr fontId="21" type="noConversion"/>
  </si>
  <si>
    <t>톤</t>
    <phoneticPr fontId="21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</si>
  <si>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</si>
  <si>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</si>
  <si>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</si>
  <si>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</si>
  <si>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9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</si>
  <si>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</si>
  <si>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</si>
  <si>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</si>
  <si>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</si>
  <si>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</si>
  <si>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</si>
  <si>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</si>
  <si>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</si>
  <si>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</si>
  <si>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자동차(대)</t>
    <phoneticPr fontId="9" type="noConversion"/>
  </si>
  <si>
    <t>동부두 9</t>
    <phoneticPr fontId="21" type="noConversion"/>
  </si>
  <si>
    <t>소계</t>
    <phoneticPr fontId="9" type="noConversion"/>
  </si>
  <si>
    <t>(단위 : 척)</t>
    <phoneticPr fontId="9" type="noConversion"/>
  </si>
  <si>
    <t>국제여객부두 1번선석</t>
  </si>
  <si>
    <t>국제여객부두 2번선석</t>
    <phoneticPr fontId="21" type="noConversion"/>
  </si>
  <si>
    <t>동부두 5번선석</t>
    <phoneticPr fontId="21" type="noConversion"/>
  </si>
  <si>
    <t>동부두 6번선석</t>
    <phoneticPr fontId="21" type="noConversion"/>
  </si>
  <si>
    <t>동부두 6번선석</t>
    <phoneticPr fontId="21" type="noConversion"/>
  </si>
  <si>
    <t>동부두 7번선석</t>
    <phoneticPr fontId="21" type="noConversion"/>
  </si>
  <si>
    <t>동부두 7번선석</t>
    <phoneticPr fontId="21" type="noConversion"/>
  </si>
  <si>
    <t>동부두 8번선석</t>
    <phoneticPr fontId="21" type="noConversion"/>
  </si>
  <si>
    <t>동부두 8번선석</t>
    <phoneticPr fontId="21" type="noConversion"/>
  </si>
  <si>
    <t>동부두 9번선석</t>
    <phoneticPr fontId="21" type="noConversion"/>
  </si>
  <si>
    <t>동부두 9번선석</t>
    <phoneticPr fontId="21" type="noConversion"/>
  </si>
  <si>
    <t>동부두 11번선석</t>
    <phoneticPr fontId="21" type="noConversion"/>
  </si>
  <si>
    <t>동부두 12번선석</t>
    <phoneticPr fontId="21" type="noConversion"/>
  </si>
  <si>
    <t>동부두 12번선석</t>
    <phoneticPr fontId="21" type="noConversion"/>
  </si>
  <si>
    <t>동부두 14번선석</t>
    <phoneticPr fontId="21" type="noConversion"/>
  </si>
  <si>
    <t>동부두 14번선석</t>
    <phoneticPr fontId="21" type="noConversion"/>
  </si>
  <si>
    <t>동부두 15번선석</t>
    <phoneticPr fontId="21" type="noConversion"/>
  </si>
  <si>
    <t>동부두 15번선석</t>
    <phoneticPr fontId="21" type="noConversion"/>
  </si>
  <si>
    <t>동부두 16번선석</t>
    <phoneticPr fontId="21" type="noConversion"/>
  </si>
  <si>
    <t>동부두 16번선석</t>
    <phoneticPr fontId="21" type="noConversion"/>
  </si>
  <si>
    <t>동부두 10</t>
    <phoneticPr fontId="21" type="noConversion"/>
  </si>
  <si>
    <t>동부두 1</t>
    <phoneticPr fontId="21" type="noConversion"/>
  </si>
  <si>
    <t>동부두 1번선석</t>
    <phoneticPr fontId="21" type="noConversion"/>
  </si>
  <si>
    <t>동부두 10번선석</t>
    <phoneticPr fontId="21" type="noConversion"/>
  </si>
  <si>
    <t>순증</t>
    <phoneticPr fontId="9" type="noConversion"/>
  </si>
  <si>
    <t>PNCT</t>
    <phoneticPr fontId="21" type="noConversion"/>
  </si>
  <si>
    <t>터미널별</t>
    <phoneticPr fontId="21" type="noConversion"/>
  </si>
  <si>
    <t>2022년 월별</t>
    <phoneticPr fontId="21" type="noConversion"/>
  </si>
  <si>
    <t>2022년 누계</t>
    <phoneticPr fontId="21" type="noConversion"/>
  </si>
  <si>
    <t>2023년 월별</t>
    <phoneticPr fontId="21" type="noConversion"/>
  </si>
  <si>
    <t>2023년 누계</t>
    <phoneticPr fontId="21" type="noConversion"/>
  </si>
  <si>
    <t>여객부두</t>
    <phoneticPr fontId="21" type="noConversion"/>
  </si>
  <si>
    <t>HPCTC</t>
    <phoneticPr fontId="21" type="noConversion"/>
  </si>
  <si>
    <t>`</t>
    <phoneticPr fontId="21" type="noConversion"/>
  </si>
  <si>
    <t>(단위 : 척, 천톤, 100% 기준)</t>
  </si>
  <si>
    <t>컨테이너</t>
    <phoneticPr fontId="9" type="noConversion"/>
  </si>
  <si>
    <t>연도별 수송실적</t>
    <phoneticPr fontId="9" type="noConversion"/>
  </si>
  <si>
    <t>(단위 : 천톤)</t>
    <phoneticPr fontId="9" type="noConversion"/>
  </si>
  <si>
    <t>(단위 : TEU)</t>
    <phoneticPr fontId="9" type="noConversion"/>
  </si>
  <si>
    <t>(단위 : 명)</t>
    <phoneticPr fontId="9" type="noConversion"/>
  </si>
  <si>
    <t>화물
입출항</t>
    <phoneticPr fontId="9" type="noConversion"/>
  </si>
  <si>
    <t>선박
입출항</t>
    <phoneticPr fontId="9" type="noConversion"/>
  </si>
  <si>
    <t>여  객</t>
    <phoneticPr fontId="9" type="noConversion"/>
  </si>
  <si>
    <t>구 분</t>
    <phoneticPr fontId="9" type="noConversion"/>
  </si>
  <si>
    <t>(선박입출항)</t>
    <phoneticPr fontId="9" type="noConversion"/>
  </si>
  <si>
    <t>(화물입출항)</t>
    <phoneticPr fontId="9" type="noConversion"/>
  </si>
  <si>
    <t>(컨테이너)</t>
    <phoneticPr fontId="9" type="noConversion"/>
  </si>
  <si>
    <t xml:space="preserve">□ 연도별 추이 </t>
    <phoneticPr fontId="20" type="noConversion"/>
  </si>
  <si>
    <t>(여 객)</t>
    <phoneticPr fontId="9" type="noConversion"/>
  </si>
  <si>
    <t>`</t>
    <phoneticPr fontId="9" type="noConversion"/>
  </si>
  <si>
    <t xml:space="preserve"> </t>
    <phoneticPr fontId="20" type="noConversion"/>
  </si>
  <si>
    <t>항만운영통계(5월)</t>
    <phoneticPr fontId="9" type="noConversion"/>
  </si>
  <si>
    <t>5월(A)</t>
    <phoneticPr fontId="9" type="noConversion"/>
  </si>
  <si>
    <t xml:space="preserve"> 5월누계(B) </t>
    <phoneticPr fontId="9" type="noConversion"/>
  </si>
  <si>
    <t>5월(C)</t>
    <phoneticPr fontId="9" type="noConversion"/>
  </si>
  <si>
    <t xml:space="preserve"> 5월누계(D) </t>
    <phoneticPr fontId="9" type="noConversion"/>
  </si>
  <si>
    <t>부두별 컨테이너 물동량(5월)</t>
    <phoneticPr fontId="21" type="noConversion"/>
  </si>
  <si>
    <t>2024년도</t>
    <phoneticPr fontId="9" type="noConversion"/>
  </si>
  <si>
    <t>2025년도</t>
    <phoneticPr fontId="9" type="noConversion"/>
  </si>
  <si>
    <t>2025.5.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</si>
</sst>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39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sz val="10"/>
      <color theme="1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3"/>
      </bottom>
      <diagonal/>
    </border>
  </borders>
  <cellStyleXfs count="295">
    <xf numFmtId="0" fontId="0" fillId="0" borderId="0"/>
    <xf numFmtId="38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13" fillId="2" borderId="0" applyNumberFormat="0" applyBorder="0" applyAlignment="0" applyProtection="0"/>
    <xf numFmtId="10" fontId="13" fillId="3" borderId="1" applyNumberFormat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1" fillId="0" borderId="0"/>
    <xf numFmtId="0" fontId="10" fillId="0" borderId="0"/>
    <xf numFmtId="10" fontId="11" fillId="0" borderId="0" applyFont="0" applyFill="0" applyBorder="0" applyAlignment="0" applyProtection="0"/>
    <xf numFmtId="9" fontId="12" fillId="0" borderId="2" applyNumberFormat="0" applyBorder="0"/>
    <xf numFmtId="176" fontId="7" fillId="0" borderId="0" applyFont="0" applyFill="0" applyBorder="0" applyAlignment="0" applyProtection="0"/>
    <xf numFmtId="0" fontId="7" fillId="0" borderId="0"/>
    <xf numFmtId="0" fontId="24" fillId="0" borderId="0">
      <alignment vertical="center"/>
    </xf>
    <xf numFmtId="0" fontId="5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4" fillId="0" borderId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5" fillId="0" borderId="0"/>
    <xf numFmtId="0" fontId="24" fillId="0" borderId="0">
      <alignment vertical="center"/>
    </xf>
    <xf numFmtId="0" fontId="36" fillId="0" borderId="0">
      <alignment vertical="center"/>
    </xf>
    <xf numFmtId="0" fontId="2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6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vertical="center"/>
    </xf>
    <xf numFmtId="180" fontId="8" fillId="0" borderId="0" xfId="0" applyNumberFormat="1" applyFont="1" applyAlignment="1">
      <alignment horizontal="right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right" vertical="center"/>
    </xf>
    <xf numFmtId="181" fontId="15" fillId="0" borderId="0" xfId="0" applyNumberFormat="1" applyFont="1" applyFill="1" applyBorder="1" applyAlignment="1">
      <alignment horizontal="right" vertical="center"/>
    </xf>
    <xf numFmtId="9" fontId="15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0" fontId="19" fillId="0" borderId="0" xfId="0" applyFont="1"/>
    <xf numFmtId="0" fontId="7" fillId="0" borderId="0" xfId="16"/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7" fillId="0" borderId="0" xfId="16" applyAlignment="1">
      <alignment horizontal="right"/>
    </xf>
    <xf numFmtId="180" fontId="7" fillId="0" borderId="0" xfId="16" applyNumberFormat="1" applyAlignment="1">
      <alignment horizontal="right"/>
    </xf>
    <xf numFmtId="0" fontId="8" fillId="0" borderId="0" xfId="16" applyFont="1" applyAlignment="1">
      <alignment horizontal="right" vertical="center"/>
    </xf>
    <xf numFmtId="180" fontId="8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8" fillId="0" borderId="0" xfId="17" applyFont="1" applyAlignment="1">
      <alignment horizontal="right" vertical="center"/>
    </xf>
    <xf numFmtId="180" fontId="8" fillId="0" borderId="0" xfId="17" applyNumberFormat="1" applyFont="1" applyAlignment="1">
      <alignment horizontal="right" vertical="center"/>
    </xf>
    <xf numFmtId="0" fontId="27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4" fillId="0" borderId="0" xfId="17" applyFont="1">
      <alignment vertical="center"/>
    </xf>
    <xf numFmtId="3" fontId="0" fillId="0" borderId="0" xfId="0" applyNumberFormat="1"/>
    <xf numFmtId="43" fontId="24" fillId="0" borderId="0" xfId="17" applyNumberFormat="1">
      <alignment vertical="center"/>
    </xf>
    <xf numFmtId="0" fontId="24" fillId="0" borderId="0" xfId="17" applyFont="1" applyAlignment="1">
      <alignment horizontal="center" vertical="center"/>
    </xf>
    <xf numFmtId="0" fontId="24" fillId="0" borderId="0" xfId="17" applyAlignment="1">
      <alignment horizontal="center" vertical="center"/>
    </xf>
    <xf numFmtId="176" fontId="24" fillId="0" borderId="1" xfId="15" applyFont="1" applyBorder="1" applyAlignment="1">
      <alignment horizontal="center" vertical="center"/>
    </xf>
    <xf numFmtId="0" fontId="24" fillId="0" borderId="1" xfId="15" applyNumberFormat="1" applyFont="1" applyBorder="1" applyAlignment="1">
      <alignment horizontal="center" vertical="center"/>
    </xf>
    <xf numFmtId="41" fontId="24" fillId="0" borderId="1" xfId="15" applyNumberFormat="1" applyFont="1" applyBorder="1" applyAlignment="1">
      <alignment horizontal="center" vertical="center"/>
    </xf>
    <xf numFmtId="189" fontId="24" fillId="0" borderId="0" xfId="17" applyNumberFormat="1">
      <alignment vertical="center"/>
    </xf>
    <xf numFmtId="176" fontId="15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24" fillId="0" borderId="0" xfId="65">
      <alignment vertical="center"/>
    </xf>
    <xf numFmtId="0" fontId="24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4" fillId="0" borderId="0" xfId="65" applyFill="1" applyBorder="1">
      <alignment vertical="center"/>
    </xf>
    <xf numFmtId="0" fontId="7" fillId="0" borderId="0" xfId="16" applyFill="1" applyBorder="1"/>
    <xf numFmtId="186" fontId="22" fillId="0" borderId="0" xfId="0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/>
    </xf>
    <xf numFmtId="187" fontId="22" fillId="0" borderId="0" xfId="0" quotePrefix="1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 shrinkToFit="1"/>
    </xf>
    <xf numFmtId="0" fontId="16" fillId="0" borderId="0" xfId="16" applyFont="1" applyFill="1" applyBorder="1" applyAlignment="1">
      <alignment vertical="center"/>
    </xf>
    <xf numFmtId="176" fontId="15" fillId="8" borderId="6" xfId="0" applyNumberFormat="1" applyFont="1" applyFill="1" applyBorder="1" applyAlignment="1">
      <alignment horizontal="right" vertical="center"/>
    </xf>
    <xf numFmtId="9" fontId="15" fillId="8" borderId="6" xfId="0" quotePrefix="1" applyNumberFormat="1" applyFont="1" applyFill="1" applyBorder="1" applyAlignment="1">
      <alignment horizontal="right" vertical="center"/>
    </xf>
    <xf numFmtId="9" fontId="14" fillId="4" borderId="6" xfId="0" quotePrefix="1" applyNumberFormat="1" applyFont="1" applyFill="1" applyBorder="1" applyAlignment="1">
      <alignment horizontal="right" vertical="center"/>
    </xf>
    <xf numFmtId="176" fontId="8" fillId="4" borderId="6" xfId="0" applyNumberFormat="1" applyFont="1" applyFill="1" applyBorder="1" applyAlignment="1">
      <alignment horizontal="right" vertical="center"/>
    </xf>
    <xf numFmtId="9" fontId="8" fillId="4" borderId="6" xfId="0" applyNumberFormat="1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right" vertical="center"/>
    </xf>
    <xf numFmtId="182" fontId="15" fillId="8" borderId="6" xfId="0" applyNumberFormat="1" applyFont="1" applyFill="1" applyBorder="1" applyAlignment="1">
      <alignment horizontal="right" vertical="center"/>
    </xf>
    <xf numFmtId="176" fontId="15" fillId="8" borderId="6" xfId="0" applyNumberFormat="1" applyFont="1" applyFill="1" applyBorder="1" applyAlignment="1">
      <alignment horizontal="center" vertical="center"/>
    </xf>
    <xf numFmtId="181" fontId="17" fillId="8" borderId="6" xfId="0" applyNumberFormat="1" applyFont="1" applyFill="1" applyBorder="1" applyAlignment="1">
      <alignment horizontal="right" vertical="center"/>
    </xf>
    <xf numFmtId="176" fontId="14" fillId="4" borderId="6" xfId="0" applyNumberFormat="1" applyFont="1" applyFill="1" applyBorder="1" applyAlignment="1">
      <alignment horizontal="center" vertical="center"/>
    </xf>
    <xf numFmtId="182" fontId="14" fillId="0" borderId="6" xfId="0" applyNumberFormat="1" applyFont="1" applyBorder="1" applyAlignment="1">
      <alignment horizontal="right" vertical="center"/>
    </xf>
    <xf numFmtId="182" fontId="14" fillId="0" borderId="6" xfId="0" applyNumberFormat="1" applyFont="1" applyFill="1" applyBorder="1" applyAlignment="1">
      <alignment horizontal="right" vertical="center"/>
    </xf>
    <xf numFmtId="176" fontId="28" fillId="4" borderId="6" xfId="0" applyNumberFormat="1" applyFont="1" applyFill="1" applyBorder="1" applyAlignment="1">
      <alignment horizontal="center" vertical="center"/>
    </xf>
    <xf numFmtId="182" fontId="8" fillId="4" borderId="6" xfId="0" applyNumberFormat="1" applyFont="1" applyFill="1" applyBorder="1" applyAlignment="1">
      <alignment horizontal="right" vertical="center"/>
    </xf>
    <xf numFmtId="9" fontId="8" fillId="4" borderId="11" xfId="0" applyNumberFormat="1" applyFont="1" applyFill="1" applyBorder="1" applyAlignment="1">
      <alignment horizontal="right" vertical="center"/>
    </xf>
    <xf numFmtId="9" fontId="17" fillId="8" borderId="11" xfId="0" applyNumberFormat="1" applyFont="1" applyFill="1" applyBorder="1" applyAlignment="1">
      <alignment horizontal="right" vertical="center"/>
    </xf>
    <xf numFmtId="176" fontId="14" fillId="0" borderId="6" xfId="0" applyNumberFormat="1" applyFont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176" fontId="28" fillId="4" borderId="6" xfId="0" applyNumberFormat="1" applyFont="1" applyFill="1" applyBorder="1" applyAlignment="1">
      <alignment horizontal="right" vertical="center"/>
    </xf>
    <xf numFmtId="176" fontId="15" fillId="6" borderId="8" xfId="0" quotePrefix="1" applyNumberFormat="1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left"/>
    </xf>
    <xf numFmtId="176" fontId="28" fillId="4" borderId="11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 wrapText="1"/>
    </xf>
    <xf numFmtId="9" fontId="15" fillId="6" borderId="18" xfId="0" applyNumberFormat="1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180" fontId="15" fillId="6" borderId="19" xfId="0" applyNumberFormat="1" applyFont="1" applyFill="1" applyBorder="1" applyAlignment="1">
      <alignment horizontal="center" vertical="center"/>
    </xf>
    <xf numFmtId="176" fontId="14" fillId="0" borderId="20" xfId="0" applyNumberFormat="1" applyFont="1" applyBorder="1" applyAlignment="1">
      <alignment horizontal="right" vertical="center"/>
    </xf>
    <xf numFmtId="176" fontId="14" fillId="4" borderId="20" xfId="0" applyNumberFormat="1" applyFont="1" applyFill="1" applyBorder="1" applyAlignment="1">
      <alignment horizontal="right" vertical="center"/>
    </xf>
    <xf numFmtId="9" fontId="14" fillId="4" borderId="20" xfId="0" quotePrefix="1" applyNumberFormat="1" applyFont="1" applyFill="1" applyBorder="1" applyAlignment="1">
      <alignment horizontal="right" vertical="center"/>
    </xf>
    <xf numFmtId="9" fontId="8" fillId="4" borderId="21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right" vertical="center"/>
    </xf>
    <xf numFmtId="9" fontId="15" fillId="8" borderId="23" xfId="0" quotePrefix="1" applyNumberFormat="1" applyFont="1" applyFill="1" applyBorder="1" applyAlignment="1">
      <alignment horizontal="right" vertical="center"/>
    </xf>
    <xf numFmtId="9" fontId="17" fillId="8" borderId="24" xfId="0" applyNumberFormat="1" applyFont="1" applyFill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right" vertical="center"/>
    </xf>
    <xf numFmtId="9" fontId="14" fillId="0" borderId="18" xfId="0" quotePrefix="1" applyNumberFormat="1" applyFont="1" applyFill="1" applyBorder="1" applyAlignment="1">
      <alignment horizontal="right" vertical="center"/>
    </xf>
    <xf numFmtId="9" fontId="8" fillId="0" borderId="19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center" vertical="center"/>
    </xf>
    <xf numFmtId="182" fontId="15" fillId="8" borderId="20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right" vertical="center"/>
    </xf>
    <xf numFmtId="9" fontId="15" fillId="8" borderId="20" xfId="0" quotePrefix="1" applyNumberFormat="1" applyFont="1" applyFill="1" applyBorder="1" applyAlignment="1">
      <alignment horizontal="right" vertical="center"/>
    </xf>
    <xf numFmtId="9" fontId="17" fillId="8" borderId="21" xfId="0" applyNumberFormat="1" applyFont="1" applyFill="1" applyBorder="1" applyAlignment="1">
      <alignment horizontal="right" vertical="center"/>
    </xf>
    <xf numFmtId="182" fontId="15" fillId="8" borderId="23" xfId="0" applyNumberFormat="1" applyFont="1" applyFill="1" applyBorder="1" applyAlignment="1">
      <alignment horizontal="right" vertical="center"/>
    </xf>
    <xf numFmtId="182" fontId="17" fillId="8" borderId="23" xfId="0" applyNumberFormat="1" applyFont="1" applyFill="1" applyBorder="1" applyAlignment="1">
      <alignment horizontal="right" vertical="center"/>
    </xf>
    <xf numFmtId="0" fontId="14" fillId="4" borderId="18" xfId="0" applyFont="1" applyFill="1" applyBorder="1" applyAlignment="1">
      <alignment horizontal="center"/>
    </xf>
    <xf numFmtId="176" fontId="14" fillId="0" borderId="18" xfId="0" applyNumberFormat="1" applyFont="1" applyBorder="1" applyAlignment="1">
      <alignment horizontal="right" vertical="center"/>
    </xf>
    <xf numFmtId="176" fontId="14" fillId="0" borderId="18" xfId="0" applyNumberFormat="1" applyFont="1" applyBorder="1" applyAlignment="1">
      <alignment horizontal="center" vertical="center"/>
    </xf>
    <xf numFmtId="176" fontId="15" fillId="4" borderId="18" xfId="0" applyNumberFormat="1" applyFont="1" applyFill="1" applyBorder="1" applyAlignment="1">
      <alignment horizontal="right" vertical="center"/>
    </xf>
    <xf numFmtId="9" fontId="17" fillId="8" borderId="20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center" vertical="center" shrinkToFit="1"/>
    </xf>
    <xf numFmtId="176" fontId="15" fillId="8" borderId="23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right" vertical="center" shrinkToFit="1"/>
    </xf>
    <xf numFmtId="9" fontId="15" fillId="8" borderId="23" xfId="0" quotePrefix="1" applyNumberFormat="1" applyFont="1" applyFill="1" applyBorder="1" applyAlignment="1">
      <alignment horizontal="right" vertical="center" shrinkToFit="1"/>
    </xf>
    <xf numFmtId="41" fontId="14" fillId="0" borderId="18" xfId="0" applyNumberFormat="1" applyFont="1" applyFill="1" applyBorder="1" applyAlignment="1">
      <alignment horizontal="center" vertical="center"/>
    </xf>
    <xf numFmtId="176" fontId="28" fillId="4" borderId="18" xfId="0" applyNumberFormat="1" applyFont="1" applyFill="1" applyBorder="1" applyAlignment="1">
      <alignment horizontal="right" vertical="center"/>
    </xf>
    <xf numFmtId="176" fontId="28" fillId="4" borderId="18" xfId="0" applyNumberFormat="1" applyFont="1" applyFill="1" applyBorder="1" applyAlignment="1">
      <alignment horizontal="center" vertical="center"/>
    </xf>
    <xf numFmtId="176" fontId="8" fillId="4" borderId="18" xfId="0" applyNumberFormat="1" applyFont="1" applyFill="1" applyBorder="1" applyAlignment="1">
      <alignment horizontal="right" vertical="center"/>
    </xf>
    <xf numFmtId="176" fontId="28" fillId="4" borderId="19" xfId="0" applyNumberFormat="1" applyFont="1" applyFill="1" applyBorder="1" applyAlignment="1">
      <alignment horizontal="center" vertical="center"/>
    </xf>
    <xf numFmtId="181" fontId="15" fillId="8" borderId="22" xfId="0" applyNumberFormat="1" applyFont="1" applyFill="1" applyBorder="1" applyAlignment="1">
      <alignment horizontal="right" vertical="center"/>
    </xf>
    <xf numFmtId="181" fontId="15" fillId="8" borderId="23" xfId="0" applyNumberFormat="1" applyFont="1" applyFill="1" applyBorder="1" applyAlignment="1">
      <alignment horizontal="right" vertical="center"/>
    </xf>
    <xf numFmtId="176" fontId="14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2" fillId="4" borderId="6" xfId="17" applyFont="1" applyFill="1" applyBorder="1" applyAlignment="1">
      <alignment horizontal="center" vertical="center"/>
    </xf>
    <xf numFmtId="184" fontId="15" fillId="4" borderId="6" xfId="17" quotePrefix="1" applyNumberFormat="1" applyFont="1" applyFill="1" applyBorder="1" applyAlignment="1">
      <alignment horizontal="right" vertical="center" shrinkToFit="1"/>
    </xf>
    <xf numFmtId="176" fontId="15" fillId="4" borderId="6" xfId="17" applyNumberFormat="1" applyFont="1" applyFill="1" applyBorder="1" applyAlignment="1">
      <alignment horizontal="right" vertical="center" shrinkToFit="1"/>
    </xf>
    <xf numFmtId="41" fontId="23" fillId="0" borderId="6" xfId="23" applyFont="1" applyFill="1" applyBorder="1" applyAlignment="1">
      <alignment horizontal="right" vertical="center"/>
    </xf>
    <xf numFmtId="0" fontId="22" fillId="0" borderId="6" xfId="17" applyFont="1" applyFill="1" applyBorder="1" applyAlignment="1">
      <alignment horizontal="center" vertical="center"/>
    </xf>
    <xf numFmtId="184" fontId="15" fillId="4" borderId="11" xfId="17" quotePrefix="1" applyNumberFormat="1" applyFont="1" applyFill="1" applyBorder="1" applyAlignment="1">
      <alignment horizontal="right" vertical="center" shrinkToFit="1"/>
    </xf>
    <xf numFmtId="0" fontId="22" fillId="4" borderId="13" xfId="17" applyFont="1" applyFill="1" applyBorder="1" applyAlignment="1">
      <alignment horizontal="center" vertical="center"/>
    </xf>
    <xf numFmtId="184" fontId="15" fillId="4" borderId="13" xfId="17" quotePrefix="1" applyNumberFormat="1" applyFont="1" applyFill="1" applyBorder="1" applyAlignment="1">
      <alignment horizontal="right" vertical="center" shrinkToFit="1"/>
    </xf>
    <xf numFmtId="176" fontId="15" fillId="4" borderId="13" xfId="17" applyNumberFormat="1" applyFont="1" applyFill="1" applyBorder="1" applyAlignment="1">
      <alignment horizontal="right" vertical="center" shrinkToFit="1"/>
    </xf>
    <xf numFmtId="184" fontId="15" fillId="4" borderId="14" xfId="17" quotePrefix="1" applyNumberFormat="1" applyFont="1" applyFill="1" applyBorder="1" applyAlignment="1">
      <alignment horizontal="right" vertical="center" shrinkToFit="1"/>
    </xf>
    <xf numFmtId="176" fontId="15" fillId="6" borderId="18" xfId="17" applyNumberFormat="1" applyFont="1" applyFill="1" applyBorder="1" applyAlignment="1">
      <alignment horizontal="center" vertical="center"/>
    </xf>
    <xf numFmtId="176" fontId="30" fillId="6" borderId="18" xfId="17" applyNumberFormat="1" applyFont="1" applyFill="1" applyBorder="1" applyAlignment="1">
      <alignment horizontal="center" vertical="center"/>
    </xf>
    <xf numFmtId="9" fontId="15" fillId="6" borderId="18" xfId="17" applyNumberFormat="1" applyFont="1" applyFill="1" applyBorder="1" applyAlignment="1">
      <alignment horizontal="center" vertical="center"/>
    </xf>
    <xf numFmtId="0" fontId="17" fillId="6" borderId="18" xfId="17" applyFont="1" applyFill="1" applyBorder="1" applyAlignment="1">
      <alignment horizontal="center" vertical="center"/>
    </xf>
    <xf numFmtId="180" fontId="15" fillId="6" borderId="19" xfId="17" applyNumberFormat="1" applyFont="1" applyFill="1" applyBorder="1" applyAlignment="1">
      <alignment horizontal="center" vertical="center"/>
    </xf>
    <xf numFmtId="0" fontId="22" fillId="8" borderId="28" xfId="17" applyFont="1" applyFill="1" applyBorder="1" applyAlignment="1">
      <alignment horizontal="center" vertical="center"/>
    </xf>
    <xf numFmtId="183" fontId="22" fillId="8" borderId="28" xfId="17" applyNumberFormat="1" applyFont="1" applyFill="1" applyBorder="1" applyAlignment="1">
      <alignment vertical="center" shrinkToFit="1"/>
    </xf>
    <xf numFmtId="41" fontId="22" fillId="8" borderId="28" xfId="15" applyNumberFormat="1" applyFont="1" applyFill="1" applyBorder="1" applyAlignment="1">
      <alignment horizontal="center" vertical="center" shrinkToFit="1"/>
    </xf>
    <xf numFmtId="185" fontId="15" fillId="8" borderId="28" xfId="17" applyNumberFormat="1" applyFont="1" applyFill="1" applyBorder="1" applyAlignment="1">
      <alignment horizontal="right" vertical="center" shrinkToFit="1"/>
    </xf>
    <xf numFmtId="184" fontId="15" fillId="8" borderId="28" xfId="17" quotePrefix="1" applyNumberFormat="1" applyFont="1" applyFill="1" applyBorder="1" applyAlignment="1">
      <alignment horizontal="right" vertical="center" shrinkToFit="1"/>
    </xf>
    <xf numFmtId="176" fontId="15" fillId="8" borderId="28" xfId="17" applyNumberFormat="1" applyFont="1" applyFill="1" applyBorder="1" applyAlignment="1">
      <alignment horizontal="right" vertical="center" shrinkToFit="1"/>
    </xf>
    <xf numFmtId="184" fontId="15" fillId="8" borderId="29" xfId="17" quotePrefix="1" applyNumberFormat="1" applyFont="1" applyFill="1" applyBorder="1" applyAlignment="1">
      <alignment horizontal="right" vertical="center" shrinkToFit="1"/>
    </xf>
    <xf numFmtId="0" fontId="22" fillId="8" borderId="15" xfId="17" applyFont="1" applyFill="1" applyBorder="1" applyAlignment="1">
      <alignment horizontal="center" vertical="center"/>
    </xf>
    <xf numFmtId="183" fontId="22" fillId="8" borderId="15" xfId="17" applyNumberFormat="1" applyFont="1" applyFill="1" applyBorder="1" applyAlignment="1">
      <alignment vertical="center" shrinkToFit="1"/>
    </xf>
    <xf numFmtId="41" fontId="22" fillId="8" borderId="15" xfId="15" applyNumberFormat="1" applyFont="1" applyFill="1" applyBorder="1" applyAlignment="1">
      <alignment horizontal="center" vertical="center" shrinkToFit="1"/>
    </xf>
    <xf numFmtId="185" fontId="15" fillId="8" borderId="15" xfId="17" applyNumberFormat="1" applyFont="1" applyFill="1" applyBorder="1" applyAlignment="1">
      <alignment horizontal="right" vertical="center" shrinkToFit="1"/>
    </xf>
    <xf numFmtId="184" fontId="15" fillId="8" borderId="15" xfId="17" quotePrefix="1" applyNumberFormat="1" applyFont="1" applyFill="1" applyBorder="1" applyAlignment="1">
      <alignment horizontal="right" vertical="center" shrinkToFit="1"/>
    </xf>
    <xf numFmtId="176" fontId="15" fillId="8" borderId="15" xfId="17" applyNumberFormat="1" applyFont="1" applyFill="1" applyBorder="1" applyAlignment="1">
      <alignment horizontal="right" vertical="center" shrinkToFit="1"/>
    </xf>
    <xf numFmtId="184" fontId="15" fillId="8" borderId="16" xfId="17" quotePrefix="1" applyNumberFormat="1" applyFont="1" applyFill="1" applyBorder="1" applyAlignment="1">
      <alignment horizontal="right" vertical="center" shrinkToFit="1"/>
    </xf>
    <xf numFmtId="0" fontId="22" fillId="9" borderId="6" xfId="17" applyFont="1" applyFill="1" applyBorder="1" applyAlignment="1">
      <alignment horizontal="center" vertical="center"/>
    </xf>
    <xf numFmtId="3" fontId="23" fillId="9" borderId="6" xfId="0" applyNumberFormat="1" applyFont="1" applyFill="1" applyBorder="1" applyAlignment="1">
      <alignment horizontal="right" vertical="center"/>
    </xf>
    <xf numFmtId="184" fontId="15" fillId="9" borderId="6" xfId="17" quotePrefix="1" applyNumberFormat="1" applyFont="1" applyFill="1" applyBorder="1" applyAlignment="1">
      <alignment horizontal="right" vertical="center" shrinkToFit="1"/>
    </xf>
    <xf numFmtId="176" fontId="15" fillId="9" borderId="6" xfId="17" applyNumberFormat="1" applyFont="1" applyFill="1" applyBorder="1" applyAlignment="1">
      <alignment horizontal="right" vertical="center" shrinkToFit="1"/>
    </xf>
    <xf numFmtId="184" fontId="15" fillId="9" borderId="11" xfId="17" quotePrefix="1" applyNumberFormat="1" applyFont="1" applyFill="1" applyBorder="1" applyAlignment="1">
      <alignment horizontal="right" vertical="center" shrinkToFit="1"/>
    </xf>
    <xf numFmtId="41" fontId="23" fillId="9" borderId="6" xfId="23" applyFont="1" applyFill="1" applyBorder="1" applyAlignment="1">
      <alignment horizontal="right" vertical="center"/>
    </xf>
    <xf numFmtId="0" fontId="22" fillId="6" borderId="7" xfId="0" applyFont="1" applyFill="1" applyBorder="1" applyAlignment="1">
      <alignment horizontal="center" vertical="center"/>
    </xf>
    <xf numFmtId="180" fontId="22" fillId="6" borderId="8" xfId="0" quotePrefix="1" applyNumberFormat="1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176" fontId="23" fillId="0" borderId="13" xfId="15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188" fontId="23" fillId="0" borderId="13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76" fontId="23" fillId="0" borderId="13" xfId="15" applyFont="1" applyBorder="1" applyAlignment="1">
      <alignment horizontal="center" vertical="center" shrinkToFit="1"/>
    </xf>
    <xf numFmtId="180" fontId="22" fillId="6" borderId="31" xfId="0" quotePrefix="1" applyNumberFormat="1" applyFont="1" applyFill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/>
    </xf>
    <xf numFmtId="186" fontId="22" fillId="6" borderId="32" xfId="0" applyNumberFormat="1" applyFont="1" applyFill="1" applyBorder="1" applyAlignment="1">
      <alignment horizontal="center" vertical="center"/>
    </xf>
    <xf numFmtId="176" fontId="37" fillId="0" borderId="33" xfId="15" applyFont="1" applyBorder="1" applyAlignment="1">
      <alignment horizontal="center" vertical="center"/>
    </xf>
    <xf numFmtId="188" fontId="23" fillId="0" borderId="25" xfId="0" applyNumberFormat="1" applyFont="1" applyBorder="1" applyAlignment="1">
      <alignment horizontal="center" vertical="center"/>
    </xf>
    <xf numFmtId="187" fontId="22" fillId="6" borderId="32" xfId="0" quotePrefix="1" applyNumberFormat="1" applyFont="1" applyFill="1" applyBorder="1" applyAlignment="1">
      <alignment horizontal="center" vertical="center"/>
    </xf>
    <xf numFmtId="188" fontId="37" fillId="0" borderId="33" xfId="0" applyNumberFormat="1" applyFont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 shrinkToFit="1"/>
    </xf>
    <xf numFmtId="176" fontId="37" fillId="0" borderId="33" xfId="15" applyFont="1" applyBorder="1" applyAlignment="1">
      <alignment horizontal="center" vertical="center" shrinkToFit="1"/>
    </xf>
    <xf numFmtId="0" fontId="24" fillId="0" borderId="0" xfId="17" applyFill="1">
      <alignment vertical="center"/>
    </xf>
    <xf numFmtId="182" fontId="33" fillId="5" borderId="6" xfId="87" applyNumberFormat="1" applyFont="1" applyFill="1" applyBorder="1" applyAlignment="1">
      <alignment horizontal="right" vertical="center"/>
    </xf>
    <xf numFmtId="182" fontId="14" fillId="0" borderId="6" xfId="0" applyNumberFormat="1" applyFont="1" applyBorder="1" applyAlignment="1">
      <alignment horizontal="right" vertical="center"/>
    </xf>
    <xf numFmtId="182" fontId="33" fillId="5" borderId="6" xfId="101" applyNumberFormat="1" applyFont="1" applyFill="1" applyBorder="1" applyAlignment="1">
      <alignment horizontal="right" vertical="center"/>
    </xf>
    <xf numFmtId="0" fontId="22" fillId="9" borderId="28" xfId="17" applyFont="1" applyFill="1" applyBorder="1" applyAlignment="1">
      <alignment horizontal="center" vertical="center"/>
    </xf>
    <xf numFmtId="3" fontId="23" fillId="9" borderId="28" xfId="0" applyNumberFormat="1" applyFont="1" applyFill="1" applyBorder="1" applyAlignment="1">
      <alignment horizontal="right" vertical="center"/>
    </xf>
    <xf numFmtId="184" fontId="15" fillId="9" borderId="28" xfId="17" quotePrefix="1" applyNumberFormat="1" applyFont="1" applyFill="1" applyBorder="1" applyAlignment="1">
      <alignment horizontal="right" vertical="center" shrinkToFit="1"/>
    </xf>
    <xf numFmtId="176" fontId="15" fillId="9" borderId="28" xfId="17" applyNumberFormat="1" applyFont="1" applyFill="1" applyBorder="1" applyAlignment="1">
      <alignment horizontal="right" vertical="center" shrinkToFit="1"/>
    </xf>
    <xf numFmtId="184" fontId="15" fillId="9" borderId="35" xfId="17" quotePrefix="1" applyNumberFormat="1" applyFont="1" applyFill="1" applyBorder="1" applyAlignment="1">
      <alignment horizontal="right" vertical="center" shrinkToFit="1"/>
    </xf>
    <xf numFmtId="176" fontId="14" fillId="4" borderId="15" xfId="0" applyNumberFormat="1" applyFont="1" applyFill="1" applyBorder="1" applyAlignment="1">
      <alignment horizontal="center" vertical="center"/>
    </xf>
    <xf numFmtId="188" fontId="23" fillId="0" borderId="25" xfId="15" applyNumberFormat="1" applyFont="1" applyBorder="1" applyAlignment="1">
      <alignment horizontal="center" vertical="center"/>
    </xf>
    <xf numFmtId="182" fontId="35" fillId="0" borderId="6" xfId="22" applyNumberFormat="1" applyFont="1" applyBorder="1">
      <alignment vertical="center"/>
    </xf>
    <xf numFmtId="176" fontId="14" fillId="0" borderId="20" xfId="19" applyNumberFormat="1" applyFont="1" applyFill="1" applyBorder="1" applyAlignment="1">
      <alignment horizontal="center" vertical="center"/>
    </xf>
    <xf numFmtId="176" fontId="14" fillId="0" borderId="6" xfId="19" applyNumberFormat="1" applyFont="1" applyFill="1" applyBorder="1" applyAlignment="1">
      <alignment horizontal="center" vertical="center"/>
    </xf>
    <xf numFmtId="176" fontId="14" fillId="0" borderId="18" xfId="19" applyNumberFormat="1" applyFont="1" applyFill="1" applyBorder="1" applyAlignment="1">
      <alignment horizontal="center" vertical="center"/>
    </xf>
    <xf numFmtId="0" fontId="22" fillId="5" borderId="6" xfId="17" applyFont="1" applyFill="1" applyBorder="1" applyAlignment="1">
      <alignment horizontal="center" vertical="center"/>
    </xf>
    <xf numFmtId="184" fontId="15" fillId="5" borderId="6" xfId="17" quotePrefix="1" applyNumberFormat="1" applyFont="1" applyFill="1" applyBorder="1" applyAlignment="1">
      <alignment horizontal="right" vertical="center" shrinkToFit="1"/>
    </xf>
    <xf numFmtId="176" fontId="15" fillId="5" borderId="6" xfId="17" applyNumberFormat="1" applyFont="1" applyFill="1" applyBorder="1" applyAlignment="1">
      <alignment horizontal="right" vertical="center" shrinkToFit="1"/>
    </xf>
    <xf numFmtId="184" fontId="15" fillId="5" borderId="11" xfId="17" quotePrefix="1" applyNumberFormat="1" applyFont="1" applyFill="1" applyBorder="1" applyAlignment="1">
      <alignment horizontal="right" vertical="center" shrinkToFit="1"/>
    </xf>
    <xf numFmtId="185" fontId="15" fillId="9" borderId="36" xfId="17" applyNumberFormat="1" applyFont="1" applyFill="1" applyBorder="1" applyAlignment="1">
      <alignment horizontal="right" vertical="center" shrinkToFit="1"/>
    </xf>
    <xf numFmtId="185" fontId="15" fillId="5" borderId="37" xfId="17" applyNumberFormat="1" applyFont="1" applyFill="1" applyBorder="1" applyAlignment="1">
      <alignment horizontal="right" vertical="center" shrinkToFit="1"/>
    </xf>
    <xf numFmtId="185" fontId="15" fillId="9" borderId="37" xfId="17" applyNumberFormat="1" applyFont="1" applyFill="1" applyBorder="1" applyAlignment="1">
      <alignment horizontal="right" vertical="center" shrinkToFit="1"/>
    </xf>
    <xf numFmtId="185" fontId="15" fillId="4" borderId="37" xfId="17" applyNumberFormat="1" applyFont="1" applyFill="1" applyBorder="1" applyAlignment="1">
      <alignment horizontal="right" vertical="center" shrinkToFit="1"/>
    </xf>
    <xf numFmtId="185" fontId="15" fillId="4" borderId="38" xfId="17" applyNumberFormat="1" applyFont="1" applyFill="1" applyBorder="1" applyAlignment="1">
      <alignment horizontal="right" vertical="center" shrinkToFit="1"/>
    </xf>
    <xf numFmtId="3" fontId="23" fillId="5" borderId="6" xfId="0" applyNumberFormat="1" applyFont="1" applyFill="1" applyBorder="1" applyAlignment="1">
      <alignment horizontal="right" vertical="center"/>
    </xf>
    <xf numFmtId="3" fontId="33" fillId="9" borderId="6" xfId="0" applyNumberFormat="1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center" vertical="center"/>
    </xf>
    <xf numFmtId="3" fontId="23" fillId="5" borderId="13" xfId="0" applyNumberFormat="1" applyFont="1" applyFill="1" applyBorder="1" applyAlignment="1">
      <alignment horizontal="right" vertical="center"/>
    </xf>
    <xf numFmtId="41" fontId="23" fillId="9" borderId="28" xfId="40" applyNumberFormat="1" applyFont="1" applyFill="1" applyBorder="1" applyAlignment="1">
      <alignment horizontal="center" vertical="center"/>
    </xf>
    <xf numFmtId="41" fontId="23" fillId="5" borderId="6" xfId="40" applyNumberFormat="1" applyFont="1" applyFill="1" applyBorder="1" applyAlignment="1">
      <alignment horizontal="center" vertical="center"/>
    </xf>
    <xf numFmtId="41" fontId="23" fillId="9" borderId="6" xfId="40" applyNumberFormat="1" applyFont="1" applyFill="1" applyBorder="1" applyAlignment="1">
      <alignment horizontal="center" vertical="center"/>
    </xf>
    <xf numFmtId="41" fontId="23" fillId="9" borderId="6" xfId="23" applyNumberFormat="1" applyFont="1" applyFill="1" applyBorder="1" applyAlignment="1">
      <alignment horizontal="right" vertical="center"/>
    </xf>
    <xf numFmtId="41" fontId="23" fillId="0" borderId="6" xfId="23" applyNumberFormat="1" applyFont="1" applyFill="1" applyBorder="1" applyAlignment="1">
      <alignment horizontal="right" vertical="center"/>
    </xf>
    <xf numFmtId="41" fontId="23" fillId="5" borderId="13" xfId="40" applyNumberFormat="1" applyFont="1" applyFill="1" applyBorder="1" applyAlignment="1">
      <alignment horizontal="center" vertical="center"/>
    </xf>
    <xf numFmtId="176" fontId="32" fillId="5" borderId="20" xfId="15" applyFont="1" applyFill="1" applyBorder="1" applyAlignment="1">
      <alignment horizontal="right" vertical="center"/>
    </xf>
    <xf numFmtId="176" fontId="32" fillId="5" borderId="18" xfId="15" applyFont="1" applyFill="1" applyBorder="1" applyAlignment="1">
      <alignment horizontal="right" vertical="center"/>
    </xf>
    <xf numFmtId="182" fontId="38" fillId="5" borderId="6" xfId="15" applyNumberFormat="1" applyFont="1" applyFill="1" applyBorder="1" applyAlignment="1">
      <alignment horizontal="right" vertical="center"/>
    </xf>
    <xf numFmtId="176" fontId="14" fillId="0" borderId="6" xfId="15" applyFont="1" applyFill="1" applyBorder="1" applyAlignment="1">
      <alignment horizontal="right" vertical="center"/>
    </xf>
    <xf numFmtId="176" fontId="14" fillId="5" borderId="6" xfId="15" applyFont="1" applyFill="1" applyBorder="1" applyAlignment="1">
      <alignment horizontal="right" vertical="center"/>
    </xf>
    <xf numFmtId="176" fontId="14" fillId="0" borderId="6" xfId="15" applyFont="1" applyFill="1" applyBorder="1" applyAlignment="1">
      <alignment horizontal="center" vertical="center"/>
    </xf>
    <xf numFmtId="182" fontId="38" fillId="5" borderId="6" xfId="87" applyNumberFormat="1" applyFont="1" applyFill="1" applyBorder="1" applyAlignment="1">
      <alignment horizontal="right" vertical="center"/>
    </xf>
    <xf numFmtId="182" fontId="38" fillId="5" borderId="6" xfId="101" applyNumberFormat="1" applyFont="1" applyFill="1" applyBorder="1" applyAlignment="1">
      <alignment horizontal="right" vertical="center"/>
    </xf>
    <xf numFmtId="182" fontId="14" fillId="0" borderId="6" xfId="0" applyNumberFormat="1" applyFont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right" vertical="center"/>
    </xf>
    <xf numFmtId="182" fontId="14" fillId="0" borderId="6" xfId="0" applyNumberFormat="1" applyFont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center" vertical="center"/>
    </xf>
    <xf numFmtId="3" fontId="23" fillId="9" borderId="6" xfId="0" applyNumberFormat="1" applyFont="1" applyFill="1" applyBorder="1" applyAlignment="1">
      <alignment horizontal="right" vertical="center"/>
    </xf>
    <xf numFmtId="3" fontId="23" fillId="9" borderId="28" xfId="0" applyNumberFormat="1" applyFont="1" applyFill="1" applyBorder="1" applyAlignment="1">
      <alignment horizontal="right" vertical="center"/>
    </xf>
    <xf numFmtId="176" fontId="14" fillId="0" borderId="20" xfId="19" applyNumberFormat="1" applyFont="1" applyFill="1" applyBorder="1" applyAlignment="1">
      <alignment horizontal="center" vertical="center"/>
    </xf>
    <xf numFmtId="176" fontId="14" fillId="0" borderId="6" xfId="19" applyNumberFormat="1" applyFont="1" applyFill="1" applyBorder="1" applyAlignment="1">
      <alignment horizontal="center" vertical="center"/>
    </xf>
    <xf numFmtId="176" fontId="14" fillId="0" borderId="18" xfId="19" applyNumberFormat="1" applyFont="1" applyFill="1" applyBorder="1" applyAlignment="1">
      <alignment horizontal="center" vertical="center"/>
    </xf>
    <xf numFmtId="3" fontId="23" fillId="5" borderId="6" xfId="0" applyNumberFormat="1" applyFont="1" applyFill="1" applyBorder="1" applyAlignment="1">
      <alignment horizontal="right" vertical="center"/>
    </xf>
    <xf numFmtId="3" fontId="33" fillId="9" borderId="6" xfId="0" applyNumberFormat="1" applyFont="1" applyFill="1" applyBorder="1" applyAlignment="1">
      <alignment horizontal="right" vertical="center"/>
    </xf>
    <xf numFmtId="41" fontId="23" fillId="0" borderId="6" xfId="23" applyFont="1" applyFill="1" applyBorder="1" applyAlignment="1">
      <alignment horizontal="right" vertical="center"/>
    </xf>
    <xf numFmtId="3" fontId="23" fillId="9" borderId="6" xfId="0" applyNumberFormat="1" applyFont="1" applyFill="1" applyBorder="1" applyAlignment="1">
      <alignment horizontal="right" vertical="center"/>
    </xf>
    <xf numFmtId="41" fontId="23" fillId="9" borderId="6" xfId="23" applyFont="1" applyFill="1" applyBorder="1" applyAlignment="1">
      <alignment horizontal="right" vertical="center"/>
    </xf>
    <xf numFmtId="3" fontId="23" fillId="5" borderId="6" xfId="0" applyNumberFormat="1" applyFont="1" applyFill="1" applyBorder="1" applyAlignment="1">
      <alignment horizontal="right" vertical="center"/>
    </xf>
    <xf numFmtId="3" fontId="33" fillId="9" borderId="6" xfId="0" applyNumberFormat="1" applyFont="1" applyFill="1" applyBorder="1" applyAlignment="1">
      <alignment horizontal="right" vertical="center"/>
    </xf>
    <xf numFmtId="3" fontId="23" fillId="5" borderId="39" xfId="0" applyNumberFormat="1" applyFont="1" applyFill="1" applyBorder="1" applyAlignment="1">
      <alignment horizontal="right" vertical="center"/>
    </xf>
    <xf numFmtId="41" fontId="23" fillId="9" borderId="28" xfId="0" applyNumberFormat="1" applyFont="1" applyFill="1" applyBorder="1" applyAlignment="1">
      <alignment vertical="center"/>
    </xf>
    <xf numFmtId="41" fontId="23" fillId="5" borderId="6" xfId="0" applyNumberFormat="1" applyFont="1" applyFill="1" applyBorder="1" applyAlignment="1">
      <alignment vertical="center"/>
    </xf>
    <xf numFmtId="176" fontId="15" fillId="8" borderId="22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center" vertical="center"/>
    </xf>
    <xf numFmtId="0" fontId="34" fillId="7" borderId="4" xfId="65" applyFont="1" applyFill="1" applyBorder="1" applyAlignment="1">
      <alignment horizontal="center" vertical="center"/>
    </xf>
    <xf numFmtId="0" fontId="34" fillId="7" borderId="5" xfId="65" applyFont="1" applyFill="1" applyBorder="1" applyAlignment="1">
      <alignment horizontal="center" vertical="center"/>
    </xf>
    <xf numFmtId="0" fontId="34" fillId="7" borderId="3" xfId="65" applyFont="1" applyFill="1" applyBorder="1" applyAlignment="1">
      <alignment horizontal="center" vertical="center"/>
    </xf>
    <xf numFmtId="176" fontId="15" fillId="6" borderId="8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right"/>
    </xf>
    <xf numFmtId="176" fontId="14" fillId="0" borderId="6" xfId="0" applyNumberFormat="1" applyFont="1" applyFill="1" applyBorder="1" applyAlignment="1">
      <alignment horizontal="center" vertical="center"/>
    </xf>
    <xf numFmtId="176" fontId="15" fillId="6" borderId="12" xfId="0" applyNumberFormat="1" applyFont="1" applyFill="1" applyBorder="1" applyAlignment="1">
      <alignment horizontal="center" vertical="center"/>
    </xf>
    <xf numFmtId="176" fontId="15" fillId="6" borderId="13" xfId="0" applyNumberFormat="1" applyFont="1" applyFill="1" applyBorder="1" applyAlignment="1">
      <alignment horizontal="center" vertical="center"/>
    </xf>
    <xf numFmtId="176" fontId="15" fillId="6" borderId="25" xfId="0" applyNumberFormat="1" applyFont="1" applyFill="1" applyBorder="1" applyAlignment="1">
      <alignment horizontal="center" vertical="center"/>
    </xf>
    <xf numFmtId="9" fontId="15" fillId="4" borderId="18" xfId="0" applyNumberFormat="1" applyFont="1" applyFill="1" applyBorder="1" applyAlignment="1">
      <alignment horizontal="right"/>
    </xf>
    <xf numFmtId="9" fontId="15" fillId="4" borderId="18" xfId="0" quotePrefix="1" applyNumberFormat="1" applyFont="1" applyFill="1" applyBorder="1" applyAlignment="1">
      <alignment horizontal="right"/>
    </xf>
    <xf numFmtId="9" fontId="15" fillId="4" borderId="19" xfId="0" quotePrefix="1" applyNumberFormat="1" applyFont="1" applyFill="1" applyBorder="1" applyAlignment="1">
      <alignment horizontal="right"/>
    </xf>
    <xf numFmtId="176" fontId="15" fillId="6" borderId="17" xfId="0" applyNumberFormat="1" applyFont="1" applyFill="1" applyBorder="1" applyAlignment="1">
      <alignment horizontal="center" vertical="center"/>
    </xf>
    <xf numFmtId="176" fontId="15" fillId="6" borderId="10" xfId="0" applyNumberFormat="1" applyFont="1" applyFill="1" applyBorder="1" applyAlignment="1">
      <alignment horizontal="center" vertical="center"/>
    </xf>
    <xf numFmtId="176" fontId="15" fillId="6" borderId="17" xfId="0" applyNumberFormat="1" applyFont="1" applyFill="1" applyBorder="1" applyAlignment="1">
      <alignment horizontal="center" vertical="center" wrapText="1"/>
    </xf>
    <xf numFmtId="176" fontId="15" fillId="6" borderId="9" xfId="0" applyNumberFormat="1" applyFont="1" applyFill="1" applyBorder="1" applyAlignment="1">
      <alignment horizontal="center" vertical="center"/>
    </xf>
    <xf numFmtId="176" fontId="14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4" fillId="0" borderId="20" xfId="0" applyNumberFormat="1" applyFont="1" applyFill="1" applyBorder="1" applyAlignment="1">
      <alignment horizontal="center" vertical="center"/>
    </xf>
    <xf numFmtId="176" fontId="14" fillId="0" borderId="18" xfId="0" applyNumberFormat="1" applyFont="1" applyFill="1" applyBorder="1" applyAlignment="1">
      <alignment horizontal="center" vertical="center"/>
    </xf>
    <xf numFmtId="0" fontId="34" fillId="7" borderId="1" xfId="65" applyFont="1" applyFill="1" applyBorder="1" applyAlignment="1">
      <alignment horizontal="center" vertical="center"/>
    </xf>
    <xf numFmtId="0" fontId="18" fillId="0" borderId="0" xfId="16" applyFont="1" applyAlignment="1">
      <alignment horizontal="left" vertical="center"/>
    </xf>
    <xf numFmtId="0" fontId="16" fillId="0" borderId="0" xfId="16" applyFont="1" applyAlignment="1">
      <alignment horizontal="left" vertical="center"/>
    </xf>
    <xf numFmtId="180" fontId="17" fillId="0" borderId="0" xfId="0" applyNumberFormat="1" applyFont="1" applyBorder="1" applyAlignment="1">
      <alignment horizontal="right"/>
    </xf>
    <xf numFmtId="176" fontId="15" fillId="6" borderId="7" xfId="17" applyNumberFormat="1" applyFont="1" applyFill="1" applyBorder="1" applyAlignment="1">
      <alignment horizontal="center" vertical="center"/>
    </xf>
    <xf numFmtId="176" fontId="15" fillId="6" borderId="26" xfId="17" applyNumberFormat="1" applyFont="1" applyFill="1" applyBorder="1" applyAlignment="1">
      <alignment horizontal="center" vertical="center"/>
    </xf>
    <xf numFmtId="0" fontId="22" fillId="8" borderId="27" xfId="17" applyFont="1" applyFill="1" applyBorder="1" applyAlignment="1">
      <alignment horizontal="center" vertical="center"/>
    </xf>
    <xf numFmtId="0" fontId="22" fillId="8" borderId="30" xfId="17" applyFont="1" applyFill="1" applyBorder="1" applyAlignment="1">
      <alignment horizontal="center" vertical="center"/>
    </xf>
    <xf numFmtId="0" fontId="23" fillId="6" borderId="34" xfId="17" applyFont="1" applyFill="1" applyBorder="1" applyAlignment="1">
      <alignment horizontal="center" vertical="center"/>
    </xf>
    <xf numFmtId="0" fontId="23" fillId="6" borderId="10" xfId="17" applyFont="1" applyFill="1" applyBorder="1" applyAlignment="1">
      <alignment horizontal="center" vertical="center"/>
    </xf>
    <xf numFmtId="176" fontId="15" fillId="6" borderId="8" xfId="17" applyNumberFormat="1" applyFont="1" applyFill="1" applyBorder="1" applyAlignment="1">
      <alignment horizontal="center" vertical="center"/>
    </xf>
    <xf numFmtId="176" fontId="15" fillId="6" borderId="9" xfId="17" applyNumberFormat="1" applyFont="1" applyFill="1" applyBorder="1" applyAlignment="1">
      <alignment horizontal="center" vertical="center"/>
    </xf>
    <xf numFmtId="0" fontId="25" fillId="6" borderId="8" xfId="17" applyFont="1" applyFill="1" applyBorder="1" applyAlignment="1">
      <alignment horizontal="center" vertical="center"/>
    </xf>
    <xf numFmtId="0" fontId="25" fillId="6" borderId="18" xfId="17" applyFont="1" applyFill="1" applyBorder="1" applyAlignment="1">
      <alignment horizontal="center" vertical="center"/>
    </xf>
    <xf numFmtId="0" fontId="23" fillId="6" borderId="12" xfId="17" applyFont="1" applyFill="1" applyBorder="1" applyAlignment="1">
      <alignment horizontal="center" vertical="center"/>
    </xf>
  </cellXfs>
  <cellStyles count="295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5 2" xfId="102"/>
    <cellStyle name="쉼표 [0] 5 2 2" xfId="230"/>
    <cellStyle name="쉼표 [0] 5 2 3" xfId="294"/>
    <cellStyle name="쉼표 [0] 5 2 4" xfId="166"/>
    <cellStyle name="쉼표 [0] 5 3" xfId="198"/>
    <cellStyle name="쉼표 [0] 5 4" xfId="262"/>
    <cellStyle name="쉼표 [0] 5 5" xfId="134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10 2" xfId="199"/>
    <cellStyle name="표준 3 10 3" xfId="263"/>
    <cellStyle name="표준 3 10 4" xfId="135"/>
    <cellStyle name="표준 3 11" xfId="167"/>
    <cellStyle name="표준 3 12" xfId="231"/>
    <cellStyle name="표준 3 13" xfId="103"/>
    <cellStyle name="표준 3 2" xfId="21"/>
    <cellStyle name="표준 3 2 10" xfId="104"/>
    <cellStyle name="표준 3 2 2" xfId="29"/>
    <cellStyle name="표준 3 2 2 2" xfId="39"/>
    <cellStyle name="표준 3 2 2 2 2" xfId="55"/>
    <cellStyle name="표준 3 2 2 2 2 2" xfId="101"/>
    <cellStyle name="표준 3 2 2 2 2 2 2" xfId="229"/>
    <cellStyle name="표준 3 2 2 2 2 2 3" xfId="293"/>
    <cellStyle name="표준 3 2 2 2 2 2 4" xfId="165"/>
    <cellStyle name="표준 3 2 2 2 2 3" xfId="197"/>
    <cellStyle name="표준 3 2 2 2 2 4" xfId="261"/>
    <cellStyle name="표준 3 2 2 2 2 5" xfId="133"/>
    <cellStyle name="표준 3 2 2 2 3" xfId="86"/>
    <cellStyle name="표준 3 2 2 2 3 2" xfId="214"/>
    <cellStyle name="표준 3 2 2 2 3 3" xfId="278"/>
    <cellStyle name="표준 3 2 2 2 3 4" xfId="150"/>
    <cellStyle name="표준 3 2 2 2 4" xfId="182"/>
    <cellStyle name="표준 3 2 2 2 5" xfId="246"/>
    <cellStyle name="표준 3 2 2 2 6" xfId="118"/>
    <cellStyle name="표준 3 2 2 3" xfId="47"/>
    <cellStyle name="표준 3 2 2 3 2" xfId="93"/>
    <cellStyle name="표준 3 2 2 3 2 2" xfId="221"/>
    <cellStyle name="표준 3 2 2 3 2 3" xfId="285"/>
    <cellStyle name="표준 3 2 2 3 2 4" xfId="157"/>
    <cellStyle name="표준 3 2 2 3 3" xfId="189"/>
    <cellStyle name="표준 3 2 2 3 4" xfId="253"/>
    <cellStyle name="표준 3 2 2 3 5" xfId="125"/>
    <cellStyle name="표준 3 2 2 4" xfId="78"/>
    <cellStyle name="표준 3 2 2 4 2" xfId="206"/>
    <cellStyle name="표준 3 2 2 4 3" xfId="270"/>
    <cellStyle name="표준 3 2 2 4 4" xfId="142"/>
    <cellStyle name="표준 3 2 2 5" xfId="174"/>
    <cellStyle name="표준 3 2 2 6" xfId="238"/>
    <cellStyle name="표준 3 2 2 7" xfId="110"/>
    <cellStyle name="표준 3 2 3" xfId="27"/>
    <cellStyle name="표준 3 2 3 2" xfId="37"/>
    <cellStyle name="표준 3 2 3 2 2" xfId="53"/>
    <cellStyle name="표준 3 2 3 2 2 2" xfId="99"/>
    <cellStyle name="표준 3 2 3 2 2 2 2" xfId="227"/>
    <cellStyle name="표준 3 2 3 2 2 2 3" xfId="291"/>
    <cellStyle name="표준 3 2 3 2 2 2 4" xfId="163"/>
    <cellStyle name="표준 3 2 3 2 2 3" xfId="195"/>
    <cellStyle name="표준 3 2 3 2 2 4" xfId="259"/>
    <cellStyle name="표준 3 2 3 2 2 5" xfId="131"/>
    <cellStyle name="표준 3 2 3 2 3" xfId="84"/>
    <cellStyle name="표준 3 2 3 2 3 2" xfId="212"/>
    <cellStyle name="표준 3 2 3 2 3 3" xfId="276"/>
    <cellStyle name="표준 3 2 3 2 3 4" xfId="148"/>
    <cellStyle name="표준 3 2 3 2 4" xfId="180"/>
    <cellStyle name="표준 3 2 3 2 5" xfId="244"/>
    <cellStyle name="표준 3 2 3 2 6" xfId="116"/>
    <cellStyle name="표준 3 2 3 3" xfId="45"/>
    <cellStyle name="표준 3 2 3 3 2" xfId="91"/>
    <cellStyle name="표준 3 2 3 3 2 2" xfId="219"/>
    <cellStyle name="표준 3 2 3 3 2 3" xfId="283"/>
    <cellStyle name="표준 3 2 3 3 2 4" xfId="155"/>
    <cellStyle name="표준 3 2 3 3 3" xfId="187"/>
    <cellStyle name="표준 3 2 3 3 4" xfId="251"/>
    <cellStyle name="표준 3 2 3 3 5" xfId="123"/>
    <cellStyle name="표준 3 2 3 4" xfId="76"/>
    <cellStyle name="표준 3 2 3 4 2" xfId="204"/>
    <cellStyle name="표준 3 2 3 4 3" xfId="268"/>
    <cellStyle name="표준 3 2 3 4 4" xfId="140"/>
    <cellStyle name="표준 3 2 3 5" xfId="172"/>
    <cellStyle name="표준 3 2 3 6" xfId="236"/>
    <cellStyle name="표준 3 2 3 7" xfId="108"/>
    <cellStyle name="표준 3 2 4" xfId="35"/>
    <cellStyle name="표준 3 2 4 2" xfId="51"/>
    <cellStyle name="표준 3 2 4 2 2" xfId="97"/>
    <cellStyle name="표준 3 2 4 2 2 2" xfId="225"/>
    <cellStyle name="표준 3 2 4 2 2 3" xfId="289"/>
    <cellStyle name="표준 3 2 4 2 2 4" xfId="161"/>
    <cellStyle name="표준 3 2 4 2 3" xfId="193"/>
    <cellStyle name="표준 3 2 4 2 4" xfId="257"/>
    <cellStyle name="표준 3 2 4 2 5" xfId="129"/>
    <cellStyle name="표준 3 2 4 3" xfId="82"/>
    <cellStyle name="표준 3 2 4 3 2" xfId="210"/>
    <cellStyle name="표준 3 2 4 3 3" xfId="274"/>
    <cellStyle name="표준 3 2 4 3 4" xfId="146"/>
    <cellStyle name="표준 3 2 4 4" xfId="178"/>
    <cellStyle name="표준 3 2 4 5" xfId="242"/>
    <cellStyle name="표준 3 2 4 6" xfId="114"/>
    <cellStyle name="표준 3 2 5" xfId="43"/>
    <cellStyle name="표준 3 2 5 2" xfId="89"/>
    <cellStyle name="표준 3 2 5 2 2" xfId="217"/>
    <cellStyle name="표준 3 2 5 2 3" xfId="281"/>
    <cellStyle name="표준 3 2 5 2 4" xfId="153"/>
    <cellStyle name="표준 3 2 5 3" xfId="185"/>
    <cellStyle name="표준 3 2 5 4" xfId="249"/>
    <cellStyle name="표준 3 2 5 5" xfId="121"/>
    <cellStyle name="표준 3 2 6" xfId="25"/>
    <cellStyle name="표준 3 2 6 2" xfId="74"/>
    <cellStyle name="표준 3 2 6 2 2" xfId="202"/>
    <cellStyle name="표준 3 2 6 2 3" xfId="266"/>
    <cellStyle name="표준 3 2 6 2 4" xfId="138"/>
    <cellStyle name="표준 3 2 6 3" xfId="170"/>
    <cellStyle name="표준 3 2 6 4" xfId="234"/>
    <cellStyle name="표준 3 2 6 5" xfId="106"/>
    <cellStyle name="표준 3 2 7" xfId="72"/>
    <cellStyle name="표준 3 2 7 2" xfId="200"/>
    <cellStyle name="표준 3 2 7 3" xfId="264"/>
    <cellStyle name="표준 3 2 7 4" xfId="136"/>
    <cellStyle name="표준 3 2 8" xfId="168"/>
    <cellStyle name="표준 3 2 9" xfId="232"/>
    <cellStyle name="표준 3 3" xfId="28"/>
    <cellStyle name="표준 3 3 2" xfId="38"/>
    <cellStyle name="표준 3 3 2 2" xfId="54"/>
    <cellStyle name="표준 3 3 2 2 2" xfId="100"/>
    <cellStyle name="표준 3 3 2 2 2 2" xfId="228"/>
    <cellStyle name="표준 3 3 2 2 2 3" xfId="292"/>
    <cellStyle name="표준 3 3 2 2 2 4" xfId="164"/>
    <cellStyle name="표준 3 3 2 2 3" xfId="196"/>
    <cellStyle name="표준 3 3 2 2 4" xfId="260"/>
    <cellStyle name="표준 3 3 2 2 5" xfId="132"/>
    <cellStyle name="표준 3 3 2 3" xfId="85"/>
    <cellStyle name="표준 3 3 2 3 2" xfId="213"/>
    <cellStyle name="표준 3 3 2 3 3" xfId="277"/>
    <cellStyle name="표준 3 3 2 3 4" xfId="149"/>
    <cellStyle name="표준 3 3 2 4" xfId="181"/>
    <cellStyle name="표준 3 3 2 5" xfId="245"/>
    <cellStyle name="표준 3 3 2 6" xfId="117"/>
    <cellStyle name="표준 3 3 3" xfId="46"/>
    <cellStyle name="표준 3 3 3 2" xfId="92"/>
    <cellStyle name="표준 3 3 3 2 2" xfId="220"/>
    <cellStyle name="표준 3 3 3 2 3" xfId="284"/>
    <cellStyle name="표준 3 3 3 2 4" xfId="156"/>
    <cellStyle name="표준 3 3 3 3" xfId="188"/>
    <cellStyle name="표준 3 3 3 4" xfId="252"/>
    <cellStyle name="표준 3 3 3 5" xfId="124"/>
    <cellStyle name="표준 3 3 4" xfId="77"/>
    <cellStyle name="표준 3 3 4 2" xfId="205"/>
    <cellStyle name="표준 3 3 4 3" xfId="269"/>
    <cellStyle name="표준 3 3 4 4" xfId="141"/>
    <cellStyle name="표준 3 3 5" xfId="173"/>
    <cellStyle name="표준 3 3 6" xfId="237"/>
    <cellStyle name="표준 3 3 7" xfId="109"/>
    <cellStyle name="표준 3 4" xfId="26"/>
    <cellStyle name="표준 3 4 2" xfId="36"/>
    <cellStyle name="표준 3 4 2 2" xfId="52"/>
    <cellStyle name="표준 3 4 2 2 2" xfId="98"/>
    <cellStyle name="표준 3 4 2 2 2 2" xfId="226"/>
    <cellStyle name="표준 3 4 2 2 2 3" xfId="290"/>
    <cellStyle name="표준 3 4 2 2 2 4" xfId="162"/>
    <cellStyle name="표준 3 4 2 2 3" xfId="194"/>
    <cellStyle name="표준 3 4 2 2 4" xfId="258"/>
    <cellStyle name="표준 3 4 2 2 5" xfId="130"/>
    <cellStyle name="표준 3 4 2 3" xfId="83"/>
    <cellStyle name="표준 3 4 2 3 2" xfId="211"/>
    <cellStyle name="표준 3 4 2 3 3" xfId="275"/>
    <cellStyle name="표준 3 4 2 3 4" xfId="147"/>
    <cellStyle name="표준 3 4 2 4" xfId="179"/>
    <cellStyle name="표준 3 4 2 5" xfId="243"/>
    <cellStyle name="표준 3 4 2 6" xfId="115"/>
    <cellStyle name="표준 3 4 3" xfId="44"/>
    <cellStyle name="표준 3 4 3 2" xfId="90"/>
    <cellStyle name="표준 3 4 3 2 2" xfId="218"/>
    <cellStyle name="표준 3 4 3 2 3" xfId="282"/>
    <cellStyle name="표준 3 4 3 2 4" xfId="154"/>
    <cellStyle name="표준 3 4 3 3" xfId="186"/>
    <cellStyle name="표준 3 4 3 4" xfId="250"/>
    <cellStyle name="표준 3 4 3 5" xfId="122"/>
    <cellStyle name="표준 3 4 4" xfId="75"/>
    <cellStyle name="표준 3 4 4 2" xfId="203"/>
    <cellStyle name="표준 3 4 4 3" xfId="267"/>
    <cellStyle name="표준 3 4 4 4" xfId="139"/>
    <cellStyle name="표준 3 4 5" xfId="171"/>
    <cellStyle name="표준 3 4 6" xfId="235"/>
    <cellStyle name="표준 3 4 7" xfId="107"/>
    <cellStyle name="표준 3 5" xfId="30"/>
    <cellStyle name="표준 3 5 2" xfId="48"/>
    <cellStyle name="표준 3 5 2 2" xfId="94"/>
    <cellStyle name="표준 3 5 2 2 2" xfId="222"/>
    <cellStyle name="표준 3 5 2 2 3" xfId="286"/>
    <cellStyle name="표준 3 5 2 2 4" xfId="158"/>
    <cellStyle name="표준 3 5 2 3" xfId="190"/>
    <cellStyle name="표준 3 5 2 4" xfId="254"/>
    <cellStyle name="표준 3 5 2 5" xfId="126"/>
    <cellStyle name="표준 3 5 3" xfId="79"/>
    <cellStyle name="표준 3 5 3 2" xfId="207"/>
    <cellStyle name="표준 3 5 3 3" xfId="271"/>
    <cellStyle name="표준 3 5 3 4" xfId="143"/>
    <cellStyle name="표준 3 5 4" xfId="175"/>
    <cellStyle name="표준 3 5 5" xfId="239"/>
    <cellStyle name="표준 3 5 6" xfId="111"/>
    <cellStyle name="표준 3 6" xfId="34"/>
    <cellStyle name="표준 3 6 2" xfId="50"/>
    <cellStyle name="표준 3 6 2 2" xfId="96"/>
    <cellStyle name="표준 3 6 2 2 2" xfId="224"/>
    <cellStyle name="표준 3 6 2 2 3" xfId="288"/>
    <cellStyle name="표준 3 6 2 2 4" xfId="160"/>
    <cellStyle name="표준 3 6 2 3" xfId="192"/>
    <cellStyle name="표준 3 6 2 4" xfId="256"/>
    <cellStyle name="표준 3 6 2 5" xfId="128"/>
    <cellStyle name="표준 3 6 3" xfId="81"/>
    <cellStyle name="표준 3 6 3 2" xfId="209"/>
    <cellStyle name="표준 3 6 3 3" xfId="273"/>
    <cellStyle name="표준 3 6 3 4" xfId="145"/>
    <cellStyle name="표준 3 6 4" xfId="177"/>
    <cellStyle name="표준 3 6 5" xfId="241"/>
    <cellStyle name="표준 3 6 6" xfId="113"/>
    <cellStyle name="표준 3 7" xfId="42"/>
    <cellStyle name="표준 3 7 2" xfId="88"/>
    <cellStyle name="표준 3 7 2 2" xfId="216"/>
    <cellStyle name="표준 3 7 2 3" xfId="280"/>
    <cellStyle name="표준 3 7 2 4" xfId="152"/>
    <cellStyle name="표준 3 7 3" xfId="184"/>
    <cellStyle name="표준 3 7 4" xfId="248"/>
    <cellStyle name="표준 3 7 5" xfId="120"/>
    <cellStyle name="표준 3 8" xfId="24"/>
    <cellStyle name="표준 3 8 2" xfId="73"/>
    <cellStyle name="표준 3 8 2 2" xfId="201"/>
    <cellStyle name="표준 3 8 2 3" xfId="265"/>
    <cellStyle name="표준 3 8 2 4" xfId="137"/>
    <cellStyle name="표준 3 8 3" xfId="169"/>
    <cellStyle name="표준 3 8 4" xfId="233"/>
    <cellStyle name="표준 3 8 5" xfId="105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2 2 2" xfId="223"/>
    <cellStyle name="표준 6 2 2 3" xfId="287"/>
    <cellStyle name="표준 6 2 2 4" xfId="159"/>
    <cellStyle name="표준 6 2 3" xfId="191"/>
    <cellStyle name="표준 6 2 4" xfId="255"/>
    <cellStyle name="표준 6 2 5" xfId="127"/>
    <cellStyle name="표준 6 3" xfId="68"/>
    <cellStyle name="표준 6 4" xfId="80"/>
    <cellStyle name="표준 6 4 2" xfId="208"/>
    <cellStyle name="표준 6 4 3" xfId="272"/>
    <cellStyle name="표준 6 4 4" xfId="144"/>
    <cellStyle name="표준 6 5" xfId="176"/>
    <cellStyle name="표준 6 6" xfId="240"/>
    <cellStyle name="표준 6 7" xfId="112"/>
    <cellStyle name="표준 7" xfId="41"/>
    <cellStyle name="표준 7 2" xfId="69"/>
    <cellStyle name="표준 7 3" xfId="87"/>
    <cellStyle name="표준 7 3 2" xfId="215"/>
    <cellStyle name="표준 7 3 3" xfId="279"/>
    <cellStyle name="표준 7 3 4" xfId="151"/>
    <cellStyle name="표준 7 4" xfId="183"/>
    <cellStyle name="표준 7 5" xfId="247"/>
    <cellStyle name="표준 7 6" xfId="119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2025.5.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106847350</c:v>
                </c:pt>
                <c:pt idx="1">
                  <c:v>116876152</c:v>
                </c:pt>
                <c:pt idx="2">
                  <c:v>116171568</c:v>
                </c:pt>
                <c:pt idx="3">
                  <c:v>116607017</c:v>
                </c:pt>
                <c:pt idx="4">
                  <c:v>116714212</c:v>
                </c:pt>
                <c:pt idx="5">
                  <c:v>47570087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35936"/>
        <c:axId val="152150400"/>
      </c:lineChart>
      <c:catAx>
        <c:axId val="152135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2150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1504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213593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2025.5.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792643</c:v>
                </c:pt>
                <c:pt idx="1">
                  <c:v>936246</c:v>
                </c:pt>
                <c:pt idx="2">
                  <c:v>851953</c:v>
                </c:pt>
                <c:pt idx="3">
                  <c:v>820289</c:v>
                </c:pt>
                <c:pt idx="4">
                  <c:v>924735.5</c:v>
                </c:pt>
                <c:pt idx="5">
                  <c:v>375708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61696"/>
        <c:axId val="152463616"/>
      </c:lineChart>
      <c:catAx>
        <c:axId val="152461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2463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4636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246169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2025.5.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40267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84096"/>
        <c:axId val="152498560"/>
      </c:lineChart>
      <c:catAx>
        <c:axId val="15248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2498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4985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248409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2025.5.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17409</c:v>
                </c:pt>
                <c:pt idx="1">
                  <c:v>16473</c:v>
                </c:pt>
                <c:pt idx="2">
                  <c:v>16626</c:v>
                </c:pt>
                <c:pt idx="3">
                  <c:v>17324</c:v>
                </c:pt>
                <c:pt idx="4">
                  <c:v>17502</c:v>
                </c:pt>
                <c:pt idx="5">
                  <c:v>5736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98752"/>
        <c:axId val="173500672"/>
      </c:lineChart>
      <c:catAx>
        <c:axId val="173498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735006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35006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734987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9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showGridLines="0" tabSelected="1" topLeftCell="A10" zoomScaleNormal="100" zoomScaleSheetLayoutView="110" workbookViewId="0">
      <selection activeCell="E29" sqref="E29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29" t="s">
        <v>102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1"/>
      <c r="N3" s="39"/>
      <c r="O3" s="39"/>
      <c r="P3" s="39"/>
    </row>
    <row r="4" spans="2:16" ht="21" customHeight="1">
      <c r="B4" s="112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33" t="s">
        <v>85</v>
      </c>
      <c r="L5" s="233"/>
      <c r="M5" s="233"/>
    </row>
    <row r="6" spans="2:16" ht="21" customHeight="1">
      <c r="B6" s="245" t="s">
        <v>7</v>
      </c>
      <c r="C6" s="246"/>
      <c r="D6" s="246"/>
      <c r="E6" s="71"/>
      <c r="F6" s="232" t="s">
        <v>108</v>
      </c>
      <c r="G6" s="232"/>
      <c r="H6" s="232" t="s">
        <v>109</v>
      </c>
      <c r="I6" s="232"/>
      <c r="J6" s="232" t="s">
        <v>15</v>
      </c>
      <c r="K6" s="232"/>
      <c r="L6" s="232"/>
      <c r="M6" s="244"/>
    </row>
    <row r="7" spans="2:16" ht="21" customHeight="1" thickBot="1">
      <c r="B7" s="247"/>
      <c r="C7" s="248"/>
      <c r="D7" s="248"/>
      <c r="E7" s="74" t="s">
        <v>11</v>
      </c>
      <c r="F7" s="75" t="s">
        <v>103</v>
      </c>
      <c r="G7" s="74" t="s">
        <v>104</v>
      </c>
      <c r="H7" s="74" t="s">
        <v>105</v>
      </c>
      <c r="I7" s="74" t="s">
        <v>106</v>
      </c>
      <c r="J7" s="74" t="s">
        <v>37</v>
      </c>
      <c r="K7" s="76" t="s">
        <v>16</v>
      </c>
      <c r="L7" s="77" t="s">
        <v>18</v>
      </c>
      <c r="M7" s="78" t="s">
        <v>16</v>
      </c>
    </row>
    <row r="8" spans="2:16" ht="20.100000000000001" customHeight="1" thickBot="1">
      <c r="B8" s="241" t="s">
        <v>19</v>
      </c>
      <c r="C8" s="227" t="s">
        <v>12</v>
      </c>
      <c r="D8" s="228"/>
      <c r="E8" s="83">
        <f>SUM(E9:E10)</f>
        <v>17502</v>
      </c>
      <c r="F8" s="83">
        <f>SUM(F9:F10)</f>
        <v>1439</v>
      </c>
      <c r="G8" s="83">
        <f>SUM(G9:G10)</f>
        <v>7100</v>
      </c>
      <c r="H8" s="83">
        <f>SUM(H9:H10)</f>
        <v>1570</v>
      </c>
      <c r="I8" s="83">
        <f>SUM(I9:I10)</f>
        <v>5736</v>
      </c>
      <c r="J8" s="83">
        <f>H8-F8</f>
        <v>131</v>
      </c>
      <c r="K8" s="84">
        <f>H8/F8</f>
        <v>1.0910354412786658</v>
      </c>
      <c r="L8" s="83">
        <f>I8-G8</f>
        <v>-1364</v>
      </c>
      <c r="M8" s="85">
        <f>I8/G8</f>
        <v>0.80788732394366192</v>
      </c>
    </row>
    <row r="9" spans="2:16" ht="20.100000000000001" customHeight="1">
      <c r="B9" s="242"/>
      <c r="C9" s="249" t="s">
        <v>9</v>
      </c>
      <c r="D9" s="249"/>
      <c r="E9" s="200">
        <v>10370</v>
      </c>
      <c r="F9" s="79">
        <v>915</v>
      </c>
      <c r="G9" s="79">
        <v>4353</v>
      </c>
      <c r="H9" s="79">
        <f>440+452</f>
        <v>892</v>
      </c>
      <c r="I9" s="79">
        <f>1698+1697</f>
        <v>3395</v>
      </c>
      <c r="J9" s="80">
        <f t="shared" ref="J9:J29" si="0">H9-F9</f>
        <v>-23</v>
      </c>
      <c r="K9" s="81">
        <f t="shared" ref="K9:K29" si="1">H9/F9</f>
        <v>0.97486338797814209</v>
      </c>
      <c r="L9" s="80">
        <f t="shared" ref="L9:L29" si="2">I9-G9</f>
        <v>-958</v>
      </c>
      <c r="M9" s="82">
        <f t="shared" ref="M9:M29" si="3">I9/G9</f>
        <v>0.77992189294739256</v>
      </c>
    </row>
    <row r="10" spans="2:16" ht="20.100000000000001" customHeight="1" thickBot="1">
      <c r="B10" s="242"/>
      <c r="C10" s="250" t="s">
        <v>10</v>
      </c>
      <c r="D10" s="250"/>
      <c r="E10" s="201">
        <v>7132</v>
      </c>
      <c r="F10" s="86">
        <v>524</v>
      </c>
      <c r="G10" s="86">
        <v>2747</v>
      </c>
      <c r="H10" s="86">
        <f>338+340</f>
        <v>678</v>
      </c>
      <c r="I10" s="209">
        <f>1178+1163</f>
        <v>2341</v>
      </c>
      <c r="J10" s="86">
        <f t="shared" si="0"/>
        <v>154</v>
      </c>
      <c r="K10" s="87">
        <f t="shared" si="1"/>
        <v>1.2938931297709924</v>
      </c>
      <c r="L10" s="86">
        <f t="shared" si="2"/>
        <v>-406</v>
      </c>
      <c r="M10" s="88">
        <f t="shared" si="3"/>
        <v>0.85220240262104119</v>
      </c>
      <c r="O10" t="s">
        <v>100</v>
      </c>
    </row>
    <row r="11" spans="2:16" ht="20.100000000000001" customHeight="1" thickBot="1">
      <c r="B11" s="241" t="s">
        <v>20</v>
      </c>
      <c r="C11" s="227" t="s">
        <v>8</v>
      </c>
      <c r="D11" s="228"/>
      <c r="E11" s="94">
        <f>E12+E16</f>
        <v>116714212</v>
      </c>
      <c r="F11" s="94">
        <f>F12+F16</f>
        <v>9513589</v>
      </c>
      <c r="G11" s="94">
        <f>G12+G16</f>
        <v>48694823</v>
      </c>
      <c r="H11" s="94">
        <f>H12+H16</f>
        <v>9588126</v>
      </c>
      <c r="I11" s="94">
        <f>I12+I16</f>
        <v>47570087</v>
      </c>
      <c r="J11" s="94">
        <f t="shared" si="0"/>
        <v>74537</v>
      </c>
      <c r="K11" s="84">
        <f t="shared" si="1"/>
        <v>1.0078347929472253</v>
      </c>
      <c r="L11" s="95">
        <f>I11-G11</f>
        <v>-1124736</v>
      </c>
      <c r="M11" s="85">
        <f t="shared" si="3"/>
        <v>0.97690234955777533</v>
      </c>
    </row>
    <row r="12" spans="2:16" ht="20.100000000000001" customHeight="1">
      <c r="B12" s="242"/>
      <c r="C12" s="249" t="s">
        <v>1</v>
      </c>
      <c r="D12" s="89" t="s">
        <v>0</v>
      </c>
      <c r="E12" s="90">
        <f>SUM(E13:E15)</f>
        <v>106101439</v>
      </c>
      <c r="F12" s="90">
        <f>SUM(F13:F15)</f>
        <v>8683661</v>
      </c>
      <c r="G12" s="90">
        <f>SUM(G13:G15)</f>
        <v>44198270</v>
      </c>
      <c r="H12" s="90">
        <f>SUM(H13:H15)</f>
        <v>8629286</v>
      </c>
      <c r="I12" s="90">
        <f>SUM(I13:I15)</f>
        <v>43265100</v>
      </c>
      <c r="J12" s="91">
        <f t="shared" si="0"/>
        <v>-54375</v>
      </c>
      <c r="K12" s="92">
        <f t="shared" si="1"/>
        <v>0.99373824012706158</v>
      </c>
      <c r="L12" s="91">
        <f>I12-G12</f>
        <v>-933170</v>
      </c>
      <c r="M12" s="93">
        <f t="shared" si="3"/>
        <v>0.97888673018197314</v>
      </c>
    </row>
    <row r="13" spans="2:16" ht="20.100000000000001" customHeight="1">
      <c r="B13" s="242"/>
      <c r="C13" s="234"/>
      <c r="D13" s="61" t="s">
        <v>5</v>
      </c>
      <c r="E13" s="177">
        <v>86063790</v>
      </c>
      <c r="F13" s="168">
        <v>6847608</v>
      </c>
      <c r="G13" s="168">
        <v>35841577</v>
      </c>
      <c r="H13" s="210">
        <v>6783325</v>
      </c>
      <c r="I13" s="208">
        <f>7265437+5866795+7390254+7172456+6783325</f>
        <v>34478267</v>
      </c>
      <c r="J13" s="57">
        <f t="shared" si="0"/>
        <v>-64283</v>
      </c>
      <c r="K13" s="54">
        <f t="shared" si="1"/>
        <v>0.99061234229529493</v>
      </c>
      <c r="L13" s="57">
        <f>I13-G13</f>
        <v>-1363310</v>
      </c>
      <c r="M13" s="66">
        <f t="shared" si="3"/>
        <v>0.96196289019314074</v>
      </c>
      <c r="O13" s="29"/>
    </row>
    <row r="14" spans="2:16" ht="20.100000000000001" customHeight="1">
      <c r="B14" s="242"/>
      <c r="C14" s="234"/>
      <c r="D14" s="61" t="s">
        <v>6</v>
      </c>
      <c r="E14" s="177">
        <v>17423605</v>
      </c>
      <c r="F14" s="168">
        <v>1608474</v>
      </c>
      <c r="G14" s="168">
        <v>7226712</v>
      </c>
      <c r="H14" s="210">
        <v>1653027</v>
      </c>
      <c r="I14" s="208">
        <f>1421273+1409756+1704227+1683210+1653027</f>
        <v>7871493</v>
      </c>
      <c r="J14" s="57">
        <f t="shared" si="0"/>
        <v>44553</v>
      </c>
      <c r="K14" s="54">
        <f t="shared" si="1"/>
        <v>1.0276989245707422</v>
      </c>
      <c r="L14" s="57">
        <f t="shared" si="2"/>
        <v>644781</v>
      </c>
      <c r="M14" s="66">
        <f t="shared" si="3"/>
        <v>1.0892219034050339</v>
      </c>
    </row>
    <row r="15" spans="2:16" ht="20.100000000000001" customHeight="1">
      <c r="B15" s="242"/>
      <c r="C15" s="234"/>
      <c r="D15" s="61" t="s">
        <v>13</v>
      </c>
      <c r="E15" s="202">
        <v>2614044</v>
      </c>
      <c r="F15" s="168">
        <v>227579</v>
      </c>
      <c r="G15" s="168">
        <v>1129981</v>
      </c>
      <c r="H15" s="168">
        <f>103189+89745</f>
        <v>192934</v>
      </c>
      <c r="I15" s="208">
        <f>70944+59464+132811+109897+143400+101594+88243+119242+89745</f>
        <v>915340</v>
      </c>
      <c r="J15" s="57">
        <f t="shared" si="0"/>
        <v>-34645</v>
      </c>
      <c r="K15" s="54">
        <f>H15/F15</f>
        <v>0.84776714899002104</v>
      </c>
      <c r="L15" s="57">
        <f t="shared" si="2"/>
        <v>-214641</v>
      </c>
      <c r="M15" s="66">
        <f t="shared" si="3"/>
        <v>0.81004901852332034</v>
      </c>
    </row>
    <row r="16" spans="2:16" ht="20.100000000000001" customHeight="1">
      <c r="B16" s="242"/>
      <c r="C16" s="234" t="s">
        <v>2</v>
      </c>
      <c r="D16" s="59" t="s">
        <v>0</v>
      </c>
      <c r="E16" s="58">
        <f>SUM(E17:E19)</f>
        <v>10612773</v>
      </c>
      <c r="F16" s="58">
        <f>SUM(F17:F19)</f>
        <v>829928</v>
      </c>
      <c r="G16" s="58">
        <f>SUM(G17:G19)</f>
        <v>4496553</v>
      </c>
      <c r="H16" s="58">
        <f>SUM(H17:H19)</f>
        <v>958840</v>
      </c>
      <c r="I16" s="58">
        <f>SUM(I17:I19)</f>
        <v>4304987</v>
      </c>
      <c r="J16" s="52">
        <f t="shared" si="0"/>
        <v>128912</v>
      </c>
      <c r="K16" s="53">
        <f t="shared" si="1"/>
        <v>1.1553291369853771</v>
      </c>
      <c r="L16" s="60">
        <f t="shared" si="2"/>
        <v>-191566</v>
      </c>
      <c r="M16" s="67">
        <f t="shared" si="3"/>
        <v>0.95739714399007414</v>
      </c>
    </row>
    <row r="17" spans="2:13" ht="20.100000000000001" customHeight="1">
      <c r="B17" s="242"/>
      <c r="C17" s="234"/>
      <c r="D17" s="61" t="s">
        <v>3</v>
      </c>
      <c r="E17" s="202">
        <v>7573836</v>
      </c>
      <c r="F17" s="167">
        <v>620595</v>
      </c>
      <c r="G17" s="168">
        <v>3188175</v>
      </c>
      <c r="H17" s="206">
        <v>693951</v>
      </c>
      <c r="I17" s="208">
        <f>619030+510047+650054+623142+693951</f>
        <v>3096224</v>
      </c>
      <c r="J17" s="57">
        <f t="shared" si="0"/>
        <v>73356</v>
      </c>
      <c r="K17" s="54">
        <f t="shared" si="1"/>
        <v>1.1182026925772848</v>
      </c>
      <c r="L17" s="57">
        <f t="shared" si="2"/>
        <v>-91951</v>
      </c>
      <c r="M17" s="66">
        <f t="shared" si="3"/>
        <v>0.97115873501297767</v>
      </c>
    </row>
    <row r="18" spans="2:13" ht="20.100000000000001" customHeight="1">
      <c r="B18" s="242"/>
      <c r="C18" s="234"/>
      <c r="D18" s="61" t="s">
        <v>4</v>
      </c>
      <c r="E18" s="202">
        <v>3038937</v>
      </c>
      <c r="F18" s="169">
        <v>209333</v>
      </c>
      <c r="G18" s="168">
        <v>1308378</v>
      </c>
      <c r="H18" s="207">
        <v>264889</v>
      </c>
      <c r="I18" s="208">
        <f>239646+194603+273105+236520+264889</f>
        <v>1208763</v>
      </c>
      <c r="J18" s="57">
        <f t="shared" si="0"/>
        <v>55556</v>
      </c>
      <c r="K18" s="54">
        <f t="shared" si="1"/>
        <v>1.2653953270626228</v>
      </c>
      <c r="L18" s="57">
        <f t="shared" si="2"/>
        <v>-99615</v>
      </c>
      <c r="M18" s="66">
        <f t="shared" si="3"/>
        <v>0.92386374579823261</v>
      </c>
    </row>
    <row r="19" spans="2:13" ht="20.100000000000001" customHeight="1">
      <c r="B19" s="242"/>
      <c r="C19" s="234"/>
      <c r="D19" s="61" t="s">
        <v>17</v>
      </c>
      <c r="E19" s="168">
        <v>0</v>
      </c>
      <c r="F19" s="62">
        <v>0</v>
      </c>
      <c r="G19" s="168">
        <v>0</v>
      </c>
      <c r="H19" s="62">
        <v>0</v>
      </c>
      <c r="I19" s="168">
        <v>0</v>
      </c>
      <c r="J19" s="63">
        <f t="shared" si="0"/>
        <v>0</v>
      </c>
      <c r="K19" s="64">
        <v>0</v>
      </c>
      <c r="L19" s="65">
        <f t="shared" si="2"/>
        <v>0</v>
      </c>
      <c r="M19" s="66" t="s">
        <v>75</v>
      </c>
    </row>
    <row r="20" spans="2:13" ht="20.100000000000001" customHeight="1" thickBot="1">
      <c r="B20" s="72"/>
      <c r="C20" s="96"/>
      <c r="D20" s="175"/>
      <c r="E20" s="97"/>
      <c r="F20" s="98"/>
      <c r="G20" s="98"/>
      <c r="H20" s="98"/>
      <c r="I20" s="97"/>
      <c r="J20" s="99"/>
      <c r="K20" s="238" t="s">
        <v>21</v>
      </c>
      <c r="L20" s="239"/>
      <c r="M20" s="240"/>
    </row>
    <row r="21" spans="2:13" ht="20.100000000000001" customHeight="1" thickBot="1">
      <c r="B21" s="243" t="s">
        <v>86</v>
      </c>
      <c r="C21" s="227" t="s">
        <v>8</v>
      </c>
      <c r="D21" s="228"/>
      <c r="E21" s="101">
        <f>SUM(E22,E26)</f>
        <v>924735.5</v>
      </c>
      <c r="F21" s="102">
        <f>SUM(F22,F26)</f>
        <v>80320</v>
      </c>
      <c r="G21" s="102">
        <f>SUM(G22,G26)</f>
        <v>369077</v>
      </c>
      <c r="H21" s="101">
        <f>SUM(H22,H26)</f>
        <v>76756</v>
      </c>
      <c r="I21" s="101">
        <f>SUM(I22,I26)</f>
        <v>375708</v>
      </c>
      <c r="J21" s="103">
        <f t="shared" si="0"/>
        <v>-3564</v>
      </c>
      <c r="K21" s="104">
        <f t="shared" si="1"/>
        <v>0.9556274900398406</v>
      </c>
      <c r="L21" s="103">
        <f t="shared" si="2"/>
        <v>6631</v>
      </c>
      <c r="M21" s="85">
        <f>I21/G21</f>
        <v>1.0179664406072446</v>
      </c>
    </row>
    <row r="22" spans="2:13" ht="20.100000000000001" customHeight="1">
      <c r="B22" s="242"/>
      <c r="C22" s="249" t="s">
        <v>1</v>
      </c>
      <c r="D22" s="89" t="s">
        <v>0</v>
      </c>
      <c r="E22" s="89">
        <f>SUM(E23:E25)</f>
        <v>924735.5</v>
      </c>
      <c r="F22" s="89">
        <f>SUM(F23:F25)</f>
        <v>80320</v>
      </c>
      <c r="G22" s="89">
        <f>SUM(G23:G25)</f>
        <v>369077</v>
      </c>
      <c r="H22" s="89">
        <f>SUM(H23:H25)</f>
        <v>76756</v>
      </c>
      <c r="I22" s="89">
        <f>SUM(I23:I25)</f>
        <v>375708</v>
      </c>
      <c r="J22" s="91">
        <f t="shared" si="0"/>
        <v>-3564</v>
      </c>
      <c r="K22" s="100">
        <f t="shared" si="1"/>
        <v>0.9556274900398406</v>
      </c>
      <c r="L22" s="91">
        <f t="shared" si="2"/>
        <v>6631</v>
      </c>
      <c r="M22" s="93">
        <f t="shared" si="3"/>
        <v>1.0179664406072446</v>
      </c>
    </row>
    <row r="23" spans="2:13" ht="20.100000000000001" customHeight="1">
      <c r="B23" s="242"/>
      <c r="C23" s="234"/>
      <c r="D23" s="69" t="s">
        <v>5</v>
      </c>
      <c r="E23" s="203">
        <v>453945.75</v>
      </c>
      <c r="F23" s="178">
        <v>39011</v>
      </c>
      <c r="G23" s="192">
        <v>185758</v>
      </c>
      <c r="H23" s="214">
        <v>38006</v>
      </c>
      <c r="I23" s="211">
        <v>186857</v>
      </c>
      <c r="J23" s="57">
        <f t="shared" si="0"/>
        <v>-1005</v>
      </c>
      <c r="K23" s="56">
        <f t="shared" si="1"/>
        <v>0.97423803542590548</v>
      </c>
      <c r="L23" s="57">
        <f t="shared" si="2"/>
        <v>1099</v>
      </c>
      <c r="M23" s="66">
        <f t="shared" si="3"/>
        <v>1.0059162997017626</v>
      </c>
    </row>
    <row r="24" spans="2:13" ht="20.100000000000001" customHeight="1">
      <c r="B24" s="242"/>
      <c r="C24" s="234"/>
      <c r="D24" s="68" t="s">
        <v>14</v>
      </c>
      <c r="E24" s="204">
        <v>456908.25</v>
      </c>
      <c r="F24" s="179">
        <v>40351</v>
      </c>
      <c r="G24" s="192">
        <v>179237</v>
      </c>
      <c r="H24" s="215">
        <v>37651</v>
      </c>
      <c r="I24" s="211">
        <v>182830</v>
      </c>
      <c r="J24" s="57">
        <f t="shared" si="0"/>
        <v>-2700</v>
      </c>
      <c r="K24" s="56">
        <f t="shared" si="1"/>
        <v>0.93308716016951254</v>
      </c>
      <c r="L24" s="57">
        <f t="shared" si="2"/>
        <v>3593</v>
      </c>
      <c r="M24" s="66">
        <f t="shared" si="3"/>
        <v>1.02004608423484</v>
      </c>
    </row>
    <row r="25" spans="2:13" ht="20.100000000000001" customHeight="1">
      <c r="B25" s="242"/>
      <c r="C25" s="234"/>
      <c r="D25" s="68" t="s">
        <v>13</v>
      </c>
      <c r="E25" s="205">
        <v>13881.5</v>
      </c>
      <c r="F25" s="180">
        <v>958</v>
      </c>
      <c r="G25" s="192">
        <v>4082</v>
      </c>
      <c r="H25" s="216">
        <v>1099</v>
      </c>
      <c r="I25" s="211">
        <v>6021</v>
      </c>
      <c r="J25" s="57">
        <f t="shared" si="0"/>
        <v>141</v>
      </c>
      <c r="K25" s="56">
        <f t="shared" si="1"/>
        <v>1.1471816283924843</v>
      </c>
      <c r="L25" s="57">
        <f t="shared" si="2"/>
        <v>1939</v>
      </c>
      <c r="M25" s="66">
        <f t="shared" si="3"/>
        <v>1.4750122488975992</v>
      </c>
    </row>
    <row r="26" spans="2:13" ht="20.100000000000001" customHeight="1">
      <c r="B26" s="242"/>
      <c r="C26" s="234" t="s">
        <v>2</v>
      </c>
      <c r="D26" s="61" t="s">
        <v>49</v>
      </c>
      <c r="E26" s="64">
        <f>SUM(E27:E28)</f>
        <v>0</v>
      </c>
      <c r="F26" s="64">
        <f>SUM(F27:F28)</f>
        <v>0</v>
      </c>
      <c r="G26" s="64">
        <f>SUM(G27:G28)</f>
        <v>0</v>
      </c>
      <c r="H26" s="64">
        <v>0</v>
      </c>
      <c r="I26" s="64">
        <f>SUM(I27:I28)</f>
        <v>0</v>
      </c>
      <c r="J26" s="70">
        <f t="shared" si="0"/>
        <v>0</v>
      </c>
      <c r="K26" s="64">
        <v>0</v>
      </c>
      <c r="L26" s="55">
        <f t="shared" si="2"/>
        <v>0</v>
      </c>
      <c r="M26" s="73">
        <v>0</v>
      </c>
    </row>
    <row r="27" spans="2:13" ht="20.100000000000001" customHeight="1">
      <c r="B27" s="242"/>
      <c r="C27" s="234"/>
      <c r="D27" s="61" t="s">
        <v>49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70">
        <f t="shared" si="0"/>
        <v>0</v>
      </c>
      <c r="K27" s="64">
        <v>0</v>
      </c>
      <c r="L27" s="55">
        <f t="shared" si="2"/>
        <v>0</v>
      </c>
      <c r="M27" s="73">
        <v>0</v>
      </c>
    </row>
    <row r="28" spans="2:13" ht="20.100000000000001" customHeight="1" thickBot="1">
      <c r="B28" s="242"/>
      <c r="C28" s="234"/>
      <c r="D28" s="61" t="s">
        <v>49</v>
      </c>
      <c r="E28" s="105">
        <v>0</v>
      </c>
      <c r="F28" s="105">
        <v>0</v>
      </c>
      <c r="G28" s="105">
        <v>0</v>
      </c>
      <c r="H28" s="105">
        <v>0</v>
      </c>
      <c r="I28" s="105">
        <v>0</v>
      </c>
      <c r="J28" s="106">
        <f t="shared" si="0"/>
        <v>0</v>
      </c>
      <c r="K28" s="107">
        <v>0</v>
      </c>
      <c r="L28" s="108">
        <f t="shared" si="2"/>
        <v>0</v>
      </c>
      <c r="M28" s="109">
        <v>0</v>
      </c>
    </row>
    <row r="29" spans="2:13" s="27" customFormat="1" ht="20.100000000000001" customHeight="1" thickBot="1">
      <c r="B29" s="235" t="s">
        <v>47</v>
      </c>
      <c r="C29" s="236"/>
      <c r="D29" s="237"/>
      <c r="E29" s="110">
        <v>1560628</v>
      </c>
      <c r="F29" s="111">
        <v>142270</v>
      </c>
      <c r="G29" s="111">
        <v>672226</v>
      </c>
      <c r="H29" s="111">
        <v>142850</v>
      </c>
      <c r="I29" s="111">
        <f>99612+118713+141523+152936+142850</f>
        <v>655634</v>
      </c>
      <c r="J29" s="103">
        <f t="shared" si="0"/>
        <v>580</v>
      </c>
      <c r="K29" s="84">
        <f t="shared" si="1"/>
        <v>1.004076755464961</v>
      </c>
      <c r="L29" s="103">
        <f t="shared" si="2"/>
        <v>-16592</v>
      </c>
      <c r="M29" s="85">
        <f t="shared" si="3"/>
        <v>0.97531782466015893</v>
      </c>
    </row>
    <row r="30" spans="2:13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  <mergeCell ref="C26:C28"/>
  </mergeCells>
  <phoneticPr fontId="9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zoomScaleNormal="100" workbookViewId="0">
      <selection activeCell="H7" sqref="H7"/>
    </sheetView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51" t="s">
        <v>87</v>
      </c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54" t="s">
        <v>50</v>
      </c>
      <c r="H5" s="254"/>
      <c r="I5" s="43"/>
      <c r="J5"/>
      <c r="K5"/>
      <c r="L5"/>
      <c r="M5" s="42"/>
      <c r="N5" s="42"/>
      <c r="O5" s="254" t="s">
        <v>88</v>
      </c>
      <c r="P5" s="254"/>
    </row>
    <row r="6" spans="2:29" s="12" customFormat="1" ht="32.25" customHeight="1">
      <c r="B6" s="149" t="s">
        <v>94</v>
      </c>
      <c r="C6" s="150">
        <v>2020</v>
      </c>
      <c r="D6" s="150">
        <v>2021</v>
      </c>
      <c r="E6" s="150">
        <v>2022</v>
      </c>
      <c r="F6" s="157">
        <v>2023</v>
      </c>
      <c r="G6" s="157">
        <v>2024</v>
      </c>
      <c r="H6" s="159" t="s">
        <v>110</v>
      </c>
      <c r="I6" s="47"/>
      <c r="J6" s="149" t="s">
        <v>94</v>
      </c>
      <c r="K6" s="150">
        <v>2020</v>
      </c>
      <c r="L6" s="150">
        <v>2021</v>
      </c>
      <c r="M6" s="150">
        <v>2022</v>
      </c>
      <c r="N6" s="157">
        <v>2023</v>
      </c>
      <c r="O6" s="157">
        <v>2024</v>
      </c>
      <c r="P6" s="162" t="str">
        <f>$H$6</f>
        <v>2025.5.</v>
      </c>
    </row>
    <row r="7" spans="2:29" s="12" customFormat="1" ht="39.200000000000003" customHeight="1" thickBot="1">
      <c r="B7" s="151" t="s">
        <v>92</v>
      </c>
      <c r="C7" s="152">
        <v>17409</v>
      </c>
      <c r="D7" s="152">
        <v>16473</v>
      </c>
      <c r="E7" s="152">
        <v>16626</v>
      </c>
      <c r="F7" s="158">
        <v>17324</v>
      </c>
      <c r="G7" s="158">
        <v>17502</v>
      </c>
      <c r="H7" s="160">
        <f>통계요약!I8</f>
        <v>5736</v>
      </c>
      <c r="I7" s="48"/>
      <c r="J7" s="153" t="s">
        <v>91</v>
      </c>
      <c r="K7" s="154">
        <v>106847350</v>
      </c>
      <c r="L7" s="154">
        <v>116876152</v>
      </c>
      <c r="M7" s="154">
        <v>116171568</v>
      </c>
      <c r="N7" s="161">
        <v>116607017</v>
      </c>
      <c r="O7" s="176">
        <v>116714212</v>
      </c>
      <c r="P7" s="163">
        <f>통계요약!I11</f>
        <v>47570087</v>
      </c>
    </row>
    <row r="8" spans="2:29" s="12" customFormat="1" ht="21" customHeight="1" thickBot="1">
      <c r="B8"/>
      <c r="C8"/>
      <c r="D8"/>
      <c r="E8" s="42"/>
      <c r="F8" s="42"/>
      <c r="G8" s="254" t="s">
        <v>89</v>
      </c>
      <c r="H8" s="254"/>
      <c r="I8" s="43"/>
      <c r="J8" s="13"/>
      <c r="K8" s="14"/>
      <c r="L8" s="14"/>
      <c r="M8" s="42"/>
      <c r="N8" s="42"/>
      <c r="O8" s="254" t="s">
        <v>90</v>
      </c>
      <c r="P8" s="254"/>
    </row>
    <row r="9" spans="2:29" s="12" customFormat="1" ht="32.25" customHeight="1">
      <c r="B9" s="149" t="s">
        <v>94</v>
      </c>
      <c r="C9" s="150">
        <v>2020</v>
      </c>
      <c r="D9" s="150">
        <v>2021</v>
      </c>
      <c r="E9" s="150">
        <v>2022</v>
      </c>
      <c r="F9" s="157">
        <v>2023</v>
      </c>
      <c r="G9" s="157">
        <v>2024</v>
      </c>
      <c r="H9" s="162" t="str">
        <f>$H$6</f>
        <v>2025.5.</v>
      </c>
      <c r="I9" s="49"/>
      <c r="J9" s="149" t="s">
        <v>94</v>
      </c>
      <c r="K9" s="150">
        <v>2020</v>
      </c>
      <c r="L9" s="150">
        <v>2021</v>
      </c>
      <c r="M9" s="150">
        <v>2022</v>
      </c>
      <c r="N9" s="157">
        <v>2023</v>
      </c>
      <c r="O9" s="157">
        <v>2024</v>
      </c>
      <c r="P9" s="162" t="str">
        <f>$H$6</f>
        <v>2025.5.</v>
      </c>
    </row>
    <row r="10" spans="2:29" s="12" customFormat="1" ht="37.5" customHeight="1" thickBot="1">
      <c r="B10" s="155" t="s">
        <v>22</v>
      </c>
      <c r="C10" s="156">
        <v>792643</v>
      </c>
      <c r="D10" s="156">
        <v>936246</v>
      </c>
      <c r="E10" s="156">
        <v>851953</v>
      </c>
      <c r="F10" s="164">
        <v>820289</v>
      </c>
      <c r="G10" s="158">
        <v>924735.5</v>
      </c>
      <c r="H10" s="165">
        <f>통계요약!I21</f>
        <v>375708</v>
      </c>
      <c r="I10" s="50"/>
      <c r="J10" s="155" t="s">
        <v>93</v>
      </c>
      <c r="K10" s="152">
        <v>40267</v>
      </c>
      <c r="L10" s="152">
        <v>0</v>
      </c>
      <c r="M10" s="152">
        <v>0</v>
      </c>
      <c r="N10" s="158">
        <v>0</v>
      </c>
      <c r="O10" s="158">
        <v>0</v>
      </c>
      <c r="P10" s="165"/>
      <c r="S10" s="26" t="s">
        <v>101</v>
      </c>
      <c r="AC10" s="26"/>
    </row>
    <row r="11" spans="2:29" ht="21" customHeight="1"/>
    <row r="12" spans="2:29" s="19" customFormat="1" ht="21" customHeight="1">
      <c r="B12" s="253" t="s">
        <v>98</v>
      </c>
      <c r="C12" s="253"/>
      <c r="D12" s="253"/>
      <c r="I12" s="51"/>
    </row>
    <row r="13" spans="2:29" s="12" customFormat="1" ht="21" customHeight="1">
      <c r="B13" s="252" t="s">
        <v>95</v>
      </c>
      <c r="C13" s="252"/>
      <c r="I13" s="46"/>
      <c r="J13" s="252" t="s">
        <v>96</v>
      </c>
      <c r="K13" s="252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52" t="s">
        <v>97</v>
      </c>
      <c r="C23" s="252"/>
      <c r="I23" s="46"/>
      <c r="J23" s="252" t="s">
        <v>99</v>
      </c>
      <c r="K23" s="252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zoomScale="90" zoomScaleNormal="90" workbookViewId="0">
      <selection activeCell="B24" sqref="B24:B25"/>
    </sheetView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29" t="s">
        <v>107</v>
      </c>
      <c r="C3" s="230"/>
      <c r="D3" s="230"/>
      <c r="E3" s="230"/>
      <c r="F3" s="230"/>
      <c r="G3" s="230"/>
      <c r="H3" s="230"/>
      <c r="I3" s="230"/>
      <c r="J3" s="230"/>
      <c r="K3" s="230"/>
      <c r="L3" s="231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55" t="s">
        <v>23</v>
      </c>
      <c r="C6" s="263" t="s">
        <v>24</v>
      </c>
      <c r="D6" s="261" t="s">
        <v>108</v>
      </c>
      <c r="E6" s="261"/>
      <c r="F6" s="261"/>
      <c r="G6" s="261" t="s">
        <v>109</v>
      </c>
      <c r="H6" s="261"/>
      <c r="I6" s="261" t="s">
        <v>25</v>
      </c>
      <c r="J6" s="261"/>
      <c r="K6" s="261"/>
      <c r="L6" s="262"/>
      <c r="X6" s="20" t="s">
        <v>84</v>
      </c>
    </row>
    <row r="7" spans="1:35" ht="21.95" customHeight="1" thickBot="1">
      <c r="B7" s="256"/>
      <c r="C7" s="264"/>
      <c r="D7" s="124" t="s">
        <v>26</v>
      </c>
      <c r="E7" s="124" t="str">
        <f>통계요약!F7</f>
        <v>5월(A)</v>
      </c>
      <c r="F7" s="124" t="str">
        <f>통계요약!G7</f>
        <v xml:space="preserve"> 5월누계(B) </v>
      </c>
      <c r="G7" s="125" t="str">
        <f>통계요약!H7</f>
        <v>5월(C)</v>
      </c>
      <c r="H7" s="124" t="str">
        <f>통계요약!I7</f>
        <v xml:space="preserve"> 5월누계(D) </v>
      </c>
      <c r="I7" s="124" t="s">
        <v>27</v>
      </c>
      <c r="J7" s="126" t="s">
        <v>28</v>
      </c>
      <c r="K7" s="127" t="s">
        <v>29</v>
      </c>
      <c r="L7" s="128" t="s">
        <v>28</v>
      </c>
    </row>
    <row r="8" spans="1:35" ht="21.95" customHeight="1">
      <c r="B8" s="257" t="s">
        <v>30</v>
      </c>
      <c r="C8" s="129" t="s">
        <v>31</v>
      </c>
      <c r="D8" s="130">
        <f>SUM(D10,D12,D14,D16,D18,D20,D22,D26,D24,D30,D32,D34,D36,D28)</f>
        <v>924735.5</v>
      </c>
      <c r="E8" s="130">
        <f>SUM(E10,E12,E14,E16,E18,E20,E22,E26,E24,E30,E32,E34,E36,E28)</f>
        <v>80320</v>
      </c>
      <c r="F8" s="130">
        <f>SUM(F10,F12,F14,F16,F18,F20,F22,F26,F24,F30,F32,F34,F36,F28)</f>
        <v>369077</v>
      </c>
      <c r="G8" s="130">
        <f>SUM(G10,G12,G14,G16,G18,G20,G22,G26,G24,G30,G32,G34,G36,G28,)</f>
        <v>76756</v>
      </c>
      <c r="H8" s="131">
        <f>SUM(H10,H12,H14,H16,H18,H20,H22,H26,H24,H30,H32,H34,H36,H28,)</f>
        <v>375708</v>
      </c>
      <c r="I8" s="132">
        <f t="shared" ref="I8:I9" si="0">G8-E8</f>
        <v>-3564</v>
      </c>
      <c r="J8" s="133">
        <f t="shared" ref="J8:J9" si="1">(G8/E8*100)-100</f>
        <v>-4.4372509960159334</v>
      </c>
      <c r="K8" s="134">
        <f t="shared" ref="K8:K9" si="2">H8-F8</f>
        <v>6631</v>
      </c>
      <c r="L8" s="135">
        <f t="shared" ref="L8:L9" si="3">(H8/F8*100)-100</f>
        <v>1.7966440607244607</v>
      </c>
    </row>
    <row r="9" spans="1:35" ht="21.95" customHeight="1" thickBot="1">
      <c r="B9" s="258"/>
      <c r="C9" s="136" t="s">
        <v>32</v>
      </c>
      <c r="D9" s="137">
        <f>SUM(D11,D13,D15,D17,D19,D21,D23,D25,D27,D31,D33,D35,D37,D29)</f>
        <v>14055928</v>
      </c>
      <c r="E9" s="137">
        <f>SUM(E11,E13,E15,E17,E19,E21,E23,E25,E27,E31,E33,E35,E37,E29)</f>
        <v>1187146</v>
      </c>
      <c r="F9" s="137">
        <f>SUM(F11,F13,F15,F17,F19,F21,F23,F25,F27,F31,F33,F35,F37,F29)</f>
        <v>5579913</v>
      </c>
      <c r="G9" s="137">
        <f>SUM(G11,G13,G15,G17,G19,G21,G23,G25,G27,G31,G33,G35,G37,G29)</f>
        <v>1201367</v>
      </c>
      <c r="H9" s="138">
        <f>SUM(H11,H13,H15,H17,H19,H21,H23,H25,H27,H31,H33,H35,H37,H29)</f>
        <v>5834368</v>
      </c>
      <c r="I9" s="139">
        <f t="shared" si="0"/>
        <v>14221</v>
      </c>
      <c r="J9" s="140">
        <f t="shared" si="1"/>
        <v>1.1979149995030127</v>
      </c>
      <c r="K9" s="141">
        <f t="shared" si="2"/>
        <v>254455</v>
      </c>
      <c r="L9" s="142">
        <f t="shared" si="3"/>
        <v>4.5601965478673208</v>
      </c>
    </row>
    <row r="10" spans="1:35" ht="21.2" customHeight="1">
      <c r="B10" s="259" t="s">
        <v>33</v>
      </c>
      <c r="C10" s="170" t="s">
        <v>31</v>
      </c>
      <c r="D10" s="194">
        <v>53912</v>
      </c>
      <c r="E10" s="171">
        <v>4926</v>
      </c>
      <c r="F10" s="171">
        <v>22437</v>
      </c>
      <c r="G10" s="213"/>
      <c r="H10" s="225">
        <v>13137</v>
      </c>
      <c r="I10" s="185">
        <f>IFERROR(G10-E10,"-")</f>
        <v>-4926</v>
      </c>
      <c r="J10" s="172">
        <f>IFERROR((G10/E10*100)-100,"-")</f>
        <v>-100</v>
      </c>
      <c r="K10" s="173">
        <f>IFERROR(H10-F10,"-")</f>
        <v>-9300</v>
      </c>
      <c r="L10" s="174">
        <f>IFERROR((H10/F10*100)-100,"-")</f>
        <v>-41.44939162989705</v>
      </c>
      <c r="M10" s="30"/>
      <c r="O10" s="20" t="s">
        <v>51</v>
      </c>
      <c r="U10" s="166"/>
      <c r="V10" s="166"/>
    </row>
    <row r="11" spans="1:35" ht="21.2" customHeight="1">
      <c r="B11" s="260"/>
      <c r="C11" s="181" t="s">
        <v>32</v>
      </c>
      <c r="D11" s="195">
        <v>998726</v>
      </c>
      <c r="E11" s="190">
        <v>89635</v>
      </c>
      <c r="F11" s="190">
        <v>418076</v>
      </c>
      <c r="G11" s="217"/>
      <c r="H11" s="226">
        <v>237788</v>
      </c>
      <c r="I11" s="186">
        <f t="shared" ref="I11:I37" si="4">IFERROR(G11-E11,"-")</f>
        <v>-89635</v>
      </c>
      <c r="J11" s="182">
        <f t="shared" ref="J11:J37" si="5">IFERROR((G11/E11*100)-100,"-")</f>
        <v>-100</v>
      </c>
      <c r="K11" s="183">
        <f t="shared" ref="K11:K37" si="6">IFERROR(H11-F11,"-")</f>
        <v>-180288</v>
      </c>
      <c r="L11" s="184">
        <f t="shared" ref="L11:L37" si="7">IFERROR((H11/F11*100)-100,"-")</f>
        <v>-43.123259885762401</v>
      </c>
      <c r="O11" s="20" t="s">
        <v>51</v>
      </c>
      <c r="U11" s="166"/>
      <c r="V11" s="166"/>
    </row>
    <row r="12" spans="1:35" ht="21.2" customHeight="1">
      <c r="B12" s="260" t="s">
        <v>34</v>
      </c>
      <c r="C12" s="143" t="s">
        <v>31</v>
      </c>
      <c r="D12" s="196">
        <v>57203</v>
      </c>
      <c r="E12" s="191">
        <v>3888</v>
      </c>
      <c r="F12" s="191">
        <v>19814</v>
      </c>
      <c r="G12" s="218">
        <v>7690</v>
      </c>
      <c r="H12" s="223">
        <f>G12+22791</f>
        <v>30481</v>
      </c>
      <c r="I12" s="187">
        <f t="shared" si="4"/>
        <v>3802</v>
      </c>
      <c r="J12" s="145">
        <f t="shared" si="5"/>
        <v>97.788065843621411</v>
      </c>
      <c r="K12" s="146">
        <f t="shared" si="6"/>
        <v>10667</v>
      </c>
      <c r="L12" s="147">
        <f t="shared" si="7"/>
        <v>53.835671747249421</v>
      </c>
      <c r="O12" s="20" t="s">
        <v>52</v>
      </c>
      <c r="U12" s="166"/>
      <c r="V12" s="166"/>
      <c r="AC12" s="34" t="s">
        <v>77</v>
      </c>
      <c r="AD12" s="34" t="s">
        <v>78</v>
      </c>
      <c r="AE12" s="34" t="s">
        <v>79</v>
      </c>
      <c r="AF12" s="34" t="s">
        <v>80</v>
      </c>
      <c r="AG12" s="34" t="s">
        <v>81</v>
      </c>
    </row>
    <row r="13" spans="1:35" ht="21.2" customHeight="1">
      <c r="B13" s="260"/>
      <c r="C13" s="181" t="s">
        <v>32</v>
      </c>
      <c r="D13" s="195">
        <v>821405</v>
      </c>
      <c r="E13" s="190">
        <v>57064</v>
      </c>
      <c r="F13" s="190">
        <v>279033</v>
      </c>
      <c r="G13" s="217">
        <v>129106</v>
      </c>
      <c r="H13" s="222">
        <f>G13+358236</f>
        <v>487342</v>
      </c>
      <c r="I13" s="186">
        <f t="shared" si="4"/>
        <v>72042</v>
      </c>
      <c r="J13" s="182">
        <f t="shared" si="5"/>
        <v>126.24772185616152</v>
      </c>
      <c r="K13" s="183">
        <f t="shared" si="6"/>
        <v>208309</v>
      </c>
      <c r="L13" s="184">
        <f t="shared" si="7"/>
        <v>74.653893983865714</v>
      </c>
      <c r="O13" s="20" t="s">
        <v>52</v>
      </c>
      <c r="U13" s="166"/>
      <c r="V13" s="166"/>
      <c r="AC13" s="33" t="s">
        <v>82</v>
      </c>
      <c r="AD13" s="35">
        <f>E10+E12</f>
        <v>8814</v>
      </c>
      <c r="AE13" s="35">
        <f>F10+F12</f>
        <v>42251</v>
      </c>
      <c r="AF13" s="35">
        <f>G10+G12</f>
        <v>7690</v>
      </c>
      <c r="AG13" s="35">
        <f>H10+H12</f>
        <v>43618</v>
      </c>
      <c r="AH13" s="36">
        <f t="shared" ref="AH13:AI15" si="8">(AF13/AD13*100)-100</f>
        <v>-12.752439301111863</v>
      </c>
      <c r="AI13" s="36">
        <f t="shared" si="8"/>
        <v>3.2354263804406997</v>
      </c>
    </row>
    <row r="14" spans="1:35" ht="21.2" customHeight="1">
      <c r="B14" s="260" t="s">
        <v>72</v>
      </c>
      <c r="C14" s="143" t="s">
        <v>31</v>
      </c>
      <c r="D14" s="196">
        <v>9</v>
      </c>
      <c r="E14" s="148">
        <v>0</v>
      </c>
      <c r="F14" s="148">
        <v>0</v>
      </c>
      <c r="G14" s="148">
        <v>0</v>
      </c>
      <c r="H14" s="221">
        <v>0</v>
      </c>
      <c r="I14" s="187">
        <f t="shared" si="4"/>
        <v>0</v>
      </c>
      <c r="J14" s="145" t="str">
        <f t="shared" si="5"/>
        <v>-</v>
      </c>
      <c r="K14" s="146">
        <f t="shared" si="6"/>
        <v>0</v>
      </c>
      <c r="L14" s="147" t="str">
        <f t="shared" si="7"/>
        <v>-</v>
      </c>
      <c r="O14" s="20" t="s">
        <v>73</v>
      </c>
      <c r="U14" s="166"/>
      <c r="V14" s="166"/>
      <c r="AC14" s="33" t="s">
        <v>83</v>
      </c>
      <c r="AD14" s="35">
        <f>E18+E20+E22</f>
        <v>49814</v>
      </c>
      <c r="AE14" s="35">
        <f>F18+F20+F22</f>
        <v>228792</v>
      </c>
      <c r="AF14" s="35">
        <f>G18+G20+G22</f>
        <v>41072</v>
      </c>
      <c r="AG14" s="35">
        <f>H18+H20+H22</f>
        <v>202985</v>
      </c>
      <c r="AH14" s="36">
        <f t="shared" si="8"/>
        <v>-17.549283334002482</v>
      </c>
      <c r="AI14" s="36">
        <f t="shared" si="8"/>
        <v>-11.279677611105285</v>
      </c>
    </row>
    <row r="15" spans="1:35" ht="21.2" customHeight="1">
      <c r="B15" s="260"/>
      <c r="C15" s="114" t="s">
        <v>32</v>
      </c>
      <c r="D15" s="195">
        <v>213</v>
      </c>
      <c r="E15" s="117">
        <v>0</v>
      </c>
      <c r="F15" s="117">
        <v>0</v>
      </c>
      <c r="G15" s="117">
        <v>0</v>
      </c>
      <c r="H15" s="219">
        <v>0</v>
      </c>
      <c r="I15" s="188">
        <f t="shared" si="4"/>
        <v>0</v>
      </c>
      <c r="J15" s="115" t="str">
        <f t="shared" si="5"/>
        <v>-</v>
      </c>
      <c r="K15" s="116">
        <f t="shared" si="6"/>
        <v>0</v>
      </c>
      <c r="L15" s="119" t="str">
        <f t="shared" si="7"/>
        <v>-</v>
      </c>
      <c r="O15" s="20" t="s">
        <v>73</v>
      </c>
      <c r="AC15" s="33" t="s">
        <v>76</v>
      </c>
      <c r="AD15" s="35">
        <f>E32+E34+E36</f>
        <v>21692</v>
      </c>
      <c r="AE15" s="35">
        <f>F32+F34+F36</f>
        <v>97822</v>
      </c>
      <c r="AF15" s="35">
        <f>G32+G34+G36</f>
        <v>27994</v>
      </c>
      <c r="AG15" s="35">
        <f>H32+H34+H36</f>
        <v>129105</v>
      </c>
      <c r="AH15" s="36">
        <f t="shared" si="8"/>
        <v>29.052185137377847</v>
      </c>
      <c r="AI15" s="36">
        <f t="shared" si="8"/>
        <v>31.979513810799205</v>
      </c>
    </row>
    <row r="16" spans="1:35" ht="21.2" customHeight="1">
      <c r="B16" s="260" t="s">
        <v>46</v>
      </c>
      <c r="C16" s="143" t="s">
        <v>31</v>
      </c>
      <c r="D16" s="197">
        <v>212</v>
      </c>
      <c r="E16" s="148">
        <v>0</v>
      </c>
      <c r="F16" s="148">
        <v>212</v>
      </c>
      <c r="G16" s="148">
        <v>0</v>
      </c>
      <c r="H16" s="221">
        <v>0</v>
      </c>
      <c r="I16" s="187">
        <f t="shared" si="4"/>
        <v>0</v>
      </c>
      <c r="J16" s="145" t="str">
        <f t="shared" si="5"/>
        <v>-</v>
      </c>
      <c r="K16" s="146">
        <f t="shared" si="6"/>
        <v>-212</v>
      </c>
      <c r="L16" s="147">
        <f t="shared" si="7"/>
        <v>-100</v>
      </c>
      <c r="O16" s="20" t="s">
        <v>53</v>
      </c>
    </row>
    <row r="17" spans="2:15" ht="21.2" customHeight="1">
      <c r="B17" s="260"/>
      <c r="C17" s="114" t="s">
        <v>45</v>
      </c>
      <c r="D17" s="198">
        <v>5372</v>
      </c>
      <c r="E17" s="117">
        <v>0</v>
      </c>
      <c r="F17" s="117">
        <v>5372</v>
      </c>
      <c r="G17" s="117">
        <v>0</v>
      </c>
      <c r="H17" s="219">
        <v>0</v>
      </c>
      <c r="I17" s="188">
        <f t="shared" si="4"/>
        <v>0</v>
      </c>
      <c r="J17" s="115" t="str">
        <f t="shared" si="5"/>
        <v>-</v>
      </c>
      <c r="K17" s="116">
        <f t="shared" si="6"/>
        <v>-5372</v>
      </c>
      <c r="L17" s="119">
        <f t="shared" si="7"/>
        <v>-100</v>
      </c>
      <c r="O17" s="20" t="s">
        <v>53</v>
      </c>
    </row>
    <row r="18" spans="2:15" ht="21.2" customHeight="1">
      <c r="B18" s="260" t="s">
        <v>35</v>
      </c>
      <c r="C18" s="143" t="s">
        <v>31</v>
      </c>
      <c r="D18" s="196">
        <v>142959.25</v>
      </c>
      <c r="E18" s="144">
        <v>14777</v>
      </c>
      <c r="F18" s="144">
        <v>59086</v>
      </c>
      <c r="G18" s="212">
        <v>17384</v>
      </c>
      <c r="H18" s="220">
        <f>G18+60247</f>
        <v>77631</v>
      </c>
      <c r="I18" s="187">
        <f t="shared" si="4"/>
        <v>2607</v>
      </c>
      <c r="J18" s="145">
        <f t="shared" si="5"/>
        <v>17.642281924612575</v>
      </c>
      <c r="K18" s="146">
        <f t="shared" si="6"/>
        <v>18545</v>
      </c>
      <c r="L18" s="147">
        <f t="shared" si="7"/>
        <v>31.386453643841179</v>
      </c>
      <c r="M18" s="30"/>
      <c r="O18" s="20" t="s">
        <v>54</v>
      </c>
    </row>
    <row r="19" spans="2:15" ht="21.2" customHeight="1">
      <c r="B19" s="260"/>
      <c r="C19" s="114" t="s">
        <v>32</v>
      </c>
      <c r="D19" s="195">
        <v>2340460</v>
      </c>
      <c r="E19" s="190">
        <v>235822</v>
      </c>
      <c r="F19" s="190">
        <v>980625</v>
      </c>
      <c r="G19" s="217">
        <v>270732</v>
      </c>
      <c r="H19" s="222">
        <f>G19+851552</f>
        <v>1122284</v>
      </c>
      <c r="I19" s="188">
        <f t="shared" si="4"/>
        <v>34910</v>
      </c>
      <c r="J19" s="115">
        <f t="shared" si="5"/>
        <v>14.803538261909409</v>
      </c>
      <c r="K19" s="116">
        <f t="shared" si="6"/>
        <v>141659</v>
      </c>
      <c r="L19" s="119">
        <f t="shared" si="7"/>
        <v>14.445787125557686</v>
      </c>
      <c r="O19" s="20" t="s">
        <v>55</v>
      </c>
    </row>
    <row r="20" spans="2:15" ht="21.2" customHeight="1">
      <c r="B20" s="260" t="s">
        <v>42</v>
      </c>
      <c r="C20" s="143" t="s">
        <v>31</v>
      </c>
      <c r="D20" s="196">
        <v>233375.5</v>
      </c>
      <c r="E20" s="144">
        <v>20670</v>
      </c>
      <c r="F20" s="144">
        <v>98023</v>
      </c>
      <c r="G20" s="212">
        <v>12849</v>
      </c>
      <c r="H20" s="220">
        <f>G20+57438</f>
        <v>70287</v>
      </c>
      <c r="I20" s="187">
        <f t="shared" si="4"/>
        <v>-7821</v>
      </c>
      <c r="J20" s="145">
        <f t="shared" si="5"/>
        <v>-37.837445573294623</v>
      </c>
      <c r="K20" s="146">
        <f t="shared" si="6"/>
        <v>-27736</v>
      </c>
      <c r="L20" s="147">
        <f t="shared" si="7"/>
        <v>-28.295400059169779</v>
      </c>
      <c r="O20" s="20" t="s">
        <v>56</v>
      </c>
    </row>
    <row r="21" spans="2:15" ht="21.2" customHeight="1">
      <c r="B21" s="260"/>
      <c r="C21" s="114" t="s">
        <v>32</v>
      </c>
      <c r="D21" s="195">
        <v>3245962</v>
      </c>
      <c r="E21" s="190">
        <v>260342</v>
      </c>
      <c r="F21" s="190">
        <v>1285046</v>
      </c>
      <c r="G21" s="217">
        <v>243563</v>
      </c>
      <c r="H21" s="222">
        <f>G21+1015543</f>
        <v>1259106</v>
      </c>
      <c r="I21" s="188">
        <f t="shared" si="4"/>
        <v>-16779</v>
      </c>
      <c r="J21" s="115">
        <f t="shared" si="5"/>
        <v>-6.4449839057854632</v>
      </c>
      <c r="K21" s="116">
        <f t="shared" si="6"/>
        <v>-25940</v>
      </c>
      <c r="L21" s="119">
        <f t="shared" si="7"/>
        <v>-2.0186047814630683</v>
      </c>
      <c r="O21" s="20" t="s">
        <v>57</v>
      </c>
    </row>
    <row r="22" spans="2:15" ht="21.2" customHeight="1">
      <c r="B22" s="260" t="s">
        <v>36</v>
      </c>
      <c r="C22" s="143" t="s">
        <v>31</v>
      </c>
      <c r="D22" s="196">
        <v>163176.75</v>
      </c>
      <c r="E22" s="144">
        <v>14367</v>
      </c>
      <c r="F22" s="144">
        <v>71683</v>
      </c>
      <c r="G22" s="212">
        <v>10839</v>
      </c>
      <c r="H22" s="220">
        <f>G22+44228</f>
        <v>55067</v>
      </c>
      <c r="I22" s="187">
        <f t="shared" si="4"/>
        <v>-3528</v>
      </c>
      <c r="J22" s="145">
        <f t="shared" si="5"/>
        <v>-24.556274796408445</v>
      </c>
      <c r="K22" s="146">
        <f t="shared" si="6"/>
        <v>-16616</v>
      </c>
      <c r="L22" s="147">
        <f t="shared" si="7"/>
        <v>-23.179833433310549</v>
      </c>
      <c r="O22" s="20" t="s">
        <v>58</v>
      </c>
    </row>
    <row r="23" spans="2:15" ht="21.2" customHeight="1">
      <c r="B23" s="260"/>
      <c r="C23" s="114" t="s">
        <v>32</v>
      </c>
      <c r="D23" s="195">
        <v>2560713</v>
      </c>
      <c r="E23" s="190">
        <v>220119</v>
      </c>
      <c r="F23" s="190">
        <v>1117516</v>
      </c>
      <c r="G23" s="217">
        <v>171810</v>
      </c>
      <c r="H23" s="222">
        <f>G23+693761</f>
        <v>865571</v>
      </c>
      <c r="I23" s="188">
        <f t="shared" si="4"/>
        <v>-48309</v>
      </c>
      <c r="J23" s="115">
        <f t="shared" si="5"/>
        <v>-21.946765158845892</v>
      </c>
      <c r="K23" s="116">
        <f t="shared" si="6"/>
        <v>-251945</v>
      </c>
      <c r="L23" s="119">
        <f t="shared" si="7"/>
        <v>-22.54509107699576</v>
      </c>
      <c r="O23" s="20" t="s">
        <v>59</v>
      </c>
    </row>
    <row r="24" spans="2:15" ht="21.2" customHeight="1">
      <c r="B24" s="260" t="s">
        <v>48</v>
      </c>
      <c r="C24" s="143" t="s">
        <v>31</v>
      </c>
      <c r="D24" s="197">
        <v>8</v>
      </c>
      <c r="E24" s="148">
        <v>0</v>
      </c>
      <c r="F24" s="148">
        <v>0</v>
      </c>
      <c r="G24" s="148">
        <v>0</v>
      </c>
      <c r="H24" s="221">
        <v>0</v>
      </c>
      <c r="I24" s="187">
        <f t="shared" si="4"/>
        <v>0</v>
      </c>
      <c r="J24" s="145" t="str">
        <f t="shared" si="5"/>
        <v>-</v>
      </c>
      <c r="K24" s="146">
        <f t="shared" si="6"/>
        <v>0</v>
      </c>
      <c r="L24" s="147" t="str">
        <f t="shared" si="7"/>
        <v>-</v>
      </c>
      <c r="O24" s="20" t="s">
        <v>60</v>
      </c>
    </row>
    <row r="25" spans="2:15" ht="21.2" customHeight="1">
      <c r="B25" s="260"/>
      <c r="C25" s="118" t="s">
        <v>32</v>
      </c>
      <c r="D25" s="198">
        <v>175</v>
      </c>
      <c r="E25" s="117">
        <v>0</v>
      </c>
      <c r="F25" s="117">
        <v>0</v>
      </c>
      <c r="G25" s="117">
        <v>0</v>
      </c>
      <c r="H25" s="219">
        <v>0</v>
      </c>
      <c r="I25" s="188">
        <f t="shared" si="4"/>
        <v>0</v>
      </c>
      <c r="J25" s="115" t="str">
        <f t="shared" si="5"/>
        <v>-</v>
      </c>
      <c r="K25" s="116">
        <f t="shared" si="6"/>
        <v>0</v>
      </c>
      <c r="L25" s="119" t="str">
        <f t="shared" si="7"/>
        <v>-</v>
      </c>
      <c r="O25" s="20" t="s">
        <v>61</v>
      </c>
    </row>
    <row r="26" spans="2:15" ht="21.2" customHeight="1">
      <c r="B26" s="260" t="s">
        <v>71</v>
      </c>
      <c r="C26" s="143" t="s">
        <v>31</v>
      </c>
      <c r="D26" s="197">
        <v>0</v>
      </c>
      <c r="E26" s="148">
        <v>0</v>
      </c>
      <c r="F26" s="148">
        <v>0</v>
      </c>
      <c r="G26" s="148">
        <v>0</v>
      </c>
      <c r="H26" s="221">
        <v>0</v>
      </c>
      <c r="I26" s="187">
        <f t="shared" si="4"/>
        <v>0</v>
      </c>
      <c r="J26" s="145" t="str">
        <f t="shared" si="5"/>
        <v>-</v>
      </c>
      <c r="K26" s="146">
        <f t="shared" si="6"/>
        <v>0</v>
      </c>
      <c r="L26" s="147" t="str">
        <f t="shared" si="7"/>
        <v>-</v>
      </c>
      <c r="O26" s="20" t="s">
        <v>74</v>
      </c>
    </row>
    <row r="27" spans="2:15" ht="21.2" customHeight="1">
      <c r="B27" s="260"/>
      <c r="C27" s="114" t="s">
        <v>32</v>
      </c>
      <c r="D27" s="198">
        <v>0</v>
      </c>
      <c r="E27" s="117">
        <v>0</v>
      </c>
      <c r="F27" s="117">
        <v>0</v>
      </c>
      <c r="G27" s="117">
        <v>0</v>
      </c>
      <c r="H27" s="219">
        <v>0</v>
      </c>
      <c r="I27" s="188">
        <f t="shared" si="4"/>
        <v>0</v>
      </c>
      <c r="J27" s="115" t="str">
        <f t="shared" si="5"/>
        <v>-</v>
      </c>
      <c r="K27" s="116">
        <f t="shared" si="6"/>
        <v>0</v>
      </c>
      <c r="L27" s="119" t="str">
        <f t="shared" si="7"/>
        <v>-</v>
      </c>
      <c r="O27" s="20" t="s">
        <v>74</v>
      </c>
    </row>
    <row r="28" spans="2:15" ht="21.2" customHeight="1">
      <c r="B28" s="260" t="s">
        <v>43</v>
      </c>
      <c r="C28" s="143" t="s">
        <v>44</v>
      </c>
      <c r="D28" s="196">
        <v>36</v>
      </c>
      <c r="E28" s="148">
        <v>0</v>
      </c>
      <c r="F28" s="148">
        <v>0</v>
      </c>
      <c r="G28" s="148">
        <v>0</v>
      </c>
      <c r="H28" s="221">
        <v>0</v>
      </c>
      <c r="I28" s="187">
        <f t="shared" si="4"/>
        <v>0</v>
      </c>
      <c r="J28" s="145" t="str">
        <f t="shared" si="5"/>
        <v>-</v>
      </c>
      <c r="K28" s="146">
        <f t="shared" si="6"/>
        <v>0</v>
      </c>
      <c r="L28" s="147" t="str">
        <f t="shared" si="7"/>
        <v>-</v>
      </c>
      <c r="O28" s="20" t="s">
        <v>62</v>
      </c>
    </row>
    <row r="29" spans="2:15" ht="21.2" customHeight="1">
      <c r="B29" s="260"/>
      <c r="C29" s="114" t="s">
        <v>45</v>
      </c>
      <c r="D29" s="195">
        <v>956</v>
      </c>
      <c r="E29" s="117">
        <v>0</v>
      </c>
      <c r="F29" s="117">
        <v>0</v>
      </c>
      <c r="G29" s="117">
        <v>0</v>
      </c>
      <c r="H29" s="219">
        <v>0</v>
      </c>
      <c r="I29" s="188">
        <f t="shared" si="4"/>
        <v>0</v>
      </c>
      <c r="J29" s="115" t="str">
        <f t="shared" si="5"/>
        <v>-</v>
      </c>
      <c r="K29" s="116">
        <f t="shared" si="6"/>
        <v>0</v>
      </c>
      <c r="L29" s="119" t="str">
        <f t="shared" si="7"/>
        <v>-</v>
      </c>
      <c r="O29" s="20" t="s">
        <v>62</v>
      </c>
    </row>
    <row r="30" spans="2:15" ht="21.2" customHeight="1">
      <c r="B30" s="260" t="s">
        <v>38</v>
      </c>
      <c r="C30" s="143" t="s">
        <v>31</v>
      </c>
      <c r="D30" s="196">
        <v>0</v>
      </c>
      <c r="E30" s="148">
        <v>0</v>
      </c>
      <c r="F30" s="148">
        <v>0</v>
      </c>
      <c r="G30" s="148">
        <v>0</v>
      </c>
      <c r="H30" s="221">
        <v>0</v>
      </c>
      <c r="I30" s="187">
        <f t="shared" si="4"/>
        <v>0</v>
      </c>
      <c r="J30" s="145" t="str">
        <f t="shared" si="5"/>
        <v>-</v>
      </c>
      <c r="K30" s="146">
        <f t="shared" si="6"/>
        <v>0</v>
      </c>
      <c r="L30" s="147" t="str">
        <f t="shared" si="7"/>
        <v>-</v>
      </c>
      <c r="O30" s="20" t="s">
        <v>63</v>
      </c>
    </row>
    <row r="31" spans="2:15" ht="21.2" customHeight="1">
      <c r="B31" s="260"/>
      <c r="C31" s="114" t="s">
        <v>32</v>
      </c>
      <c r="D31" s="195">
        <v>0</v>
      </c>
      <c r="E31" s="117">
        <v>0</v>
      </c>
      <c r="F31" s="117">
        <v>0</v>
      </c>
      <c r="G31" s="117">
        <v>0</v>
      </c>
      <c r="H31" s="219">
        <v>0</v>
      </c>
      <c r="I31" s="188">
        <f t="shared" si="4"/>
        <v>0</v>
      </c>
      <c r="J31" s="115" t="str">
        <f t="shared" si="5"/>
        <v>-</v>
      </c>
      <c r="K31" s="116">
        <f t="shared" si="6"/>
        <v>0</v>
      </c>
      <c r="L31" s="119" t="str">
        <f t="shared" si="7"/>
        <v>-</v>
      </c>
      <c r="O31" s="20" t="s">
        <v>64</v>
      </c>
    </row>
    <row r="32" spans="2:15" ht="21.2" customHeight="1">
      <c r="B32" s="260" t="s">
        <v>39</v>
      </c>
      <c r="C32" s="143" t="s">
        <v>31</v>
      </c>
      <c r="D32" s="196">
        <v>78522</v>
      </c>
      <c r="E32" s="144">
        <v>6321</v>
      </c>
      <c r="F32" s="144">
        <v>26863</v>
      </c>
      <c r="G32" s="212">
        <v>8385</v>
      </c>
      <c r="H32" s="220">
        <f>G32+28232</f>
        <v>36617</v>
      </c>
      <c r="I32" s="187">
        <f t="shared" si="4"/>
        <v>2064</v>
      </c>
      <c r="J32" s="145">
        <f t="shared" si="5"/>
        <v>32.65306122448979</v>
      </c>
      <c r="K32" s="146">
        <f t="shared" si="6"/>
        <v>9754</v>
      </c>
      <c r="L32" s="147">
        <f t="shared" si="7"/>
        <v>36.31016639988087</v>
      </c>
      <c r="O32" s="20" t="s">
        <v>65</v>
      </c>
    </row>
    <row r="33" spans="2:15" ht="21.2" customHeight="1">
      <c r="B33" s="260"/>
      <c r="C33" s="114" t="s">
        <v>32</v>
      </c>
      <c r="D33" s="195">
        <v>1262971</v>
      </c>
      <c r="E33" s="190">
        <v>100789</v>
      </c>
      <c r="F33" s="190">
        <v>429849</v>
      </c>
      <c r="G33" s="217">
        <v>119281</v>
      </c>
      <c r="H33" s="222">
        <f>G33+440323</f>
        <v>559604</v>
      </c>
      <c r="I33" s="188">
        <f t="shared" si="4"/>
        <v>18492</v>
      </c>
      <c r="J33" s="115">
        <f t="shared" si="5"/>
        <v>18.34724027423627</v>
      </c>
      <c r="K33" s="116">
        <f t="shared" si="6"/>
        <v>129755</v>
      </c>
      <c r="L33" s="119">
        <f t="shared" si="7"/>
        <v>30.186181659140772</v>
      </c>
      <c r="O33" s="20" t="s">
        <v>66</v>
      </c>
    </row>
    <row r="34" spans="2:15" ht="21.2" customHeight="1">
      <c r="B34" s="260" t="s">
        <v>40</v>
      </c>
      <c r="C34" s="143" t="s">
        <v>31</v>
      </c>
      <c r="D34" s="196">
        <v>144194</v>
      </c>
      <c r="E34" s="144">
        <v>10836</v>
      </c>
      <c r="F34" s="144">
        <v>53387</v>
      </c>
      <c r="G34" s="212">
        <v>13262</v>
      </c>
      <c r="H34" s="220">
        <f>G34+53057</f>
        <v>66319</v>
      </c>
      <c r="I34" s="187">
        <f t="shared" si="4"/>
        <v>2426</v>
      </c>
      <c r="J34" s="145">
        <f t="shared" si="5"/>
        <v>22.38833517903285</v>
      </c>
      <c r="K34" s="146">
        <f t="shared" si="6"/>
        <v>12932</v>
      </c>
      <c r="L34" s="147">
        <f t="shared" si="7"/>
        <v>24.223125479985768</v>
      </c>
      <c r="O34" s="20" t="s">
        <v>67</v>
      </c>
    </row>
    <row r="35" spans="2:15" ht="21.2" customHeight="1">
      <c r="B35" s="260"/>
      <c r="C35" s="114" t="s">
        <v>32</v>
      </c>
      <c r="D35" s="195">
        <v>2071805</v>
      </c>
      <c r="E35" s="190">
        <v>155972</v>
      </c>
      <c r="F35" s="190">
        <v>788012</v>
      </c>
      <c r="G35" s="217">
        <v>186726</v>
      </c>
      <c r="H35" s="222">
        <f>G35+762057</f>
        <v>948783</v>
      </c>
      <c r="I35" s="188">
        <f t="shared" si="4"/>
        <v>30754</v>
      </c>
      <c r="J35" s="115">
        <f t="shared" si="5"/>
        <v>19.717641627984506</v>
      </c>
      <c r="K35" s="116">
        <f t="shared" si="6"/>
        <v>160771</v>
      </c>
      <c r="L35" s="119">
        <f t="shared" si="7"/>
        <v>20.402100475627265</v>
      </c>
      <c r="O35" s="20" t="s">
        <v>68</v>
      </c>
    </row>
    <row r="36" spans="2:15" ht="21.2" customHeight="1">
      <c r="B36" s="260" t="s">
        <v>41</v>
      </c>
      <c r="C36" s="143" t="s">
        <v>31</v>
      </c>
      <c r="D36" s="196">
        <v>51128</v>
      </c>
      <c r="E36" s="144">
        <v>4535</v>
      </c>
      <c r="F36" s="144">
        <v>17572</v>
      </c>
      <c r="G36" s="212">
        <v>6347</v>
      </c>
      <c r="H36" s="220">
        <f>G36+19822</f>
        <v>26169</v>
      </c>
      <c r="I36" s="187">
        <f t="shared" si="4"/>
        <v>1812</v>
      </c>
      <c r="J36" s="145">
        <f t="shared" si="5"/>
        <v>39.955898566703411</v>
      </c>
      <c r="K36" s="146">
        <f t="shared" si="6"/>
        <v>8597</v>
      </c>
      <c r="L36" s="147">
        <f t="shared" si="7"/>
        <v>48.924425221944006</v>
      </c>
      <c r="O36" s="20" t="s">
        <v>69</v>
      </c>
    </row>
    <row r="37" spans="2:15" ht="21.2" customHeight="1">
      <c r="B37" s="265"/>
      <c r="C37" s="120" t="s">
        <v>32</v>
      </c>
      <c r="D37" s="199">
        <v>747170</v>
      </c>
      <c r="E37" s="193">
        <v>67403</v>
      </c>
      <c r="F37" s="193">
        <v>276384</v>
      </c>
      <c r="G37" s="193">
        <v>80149</v>
      </c>
      <c r="H37" s="224">
        <f>G37+273741</f>
        <v>353890</v>
      </c>
      <c r="I37" s="189">
        <f t="shared" si="4"/>
        <v>12746</v>
      </c>
      <c r="J37" s="121">
        <f t="shared" si="5"/>
        <v>18.910137530970445</v>
      </c>
      <c r="K37" s="122">
        <f t="shared" si="6"/>
        <v>77506</v>
      </c>
      <c r="L37" s="123">
        <f t="shared" si="7"/>
        <v>28.042867893944646</v>
      </c>
      <c r="O37" s="20" t="s">
        <v>70</v>
      </c>
    </row>
    <row r="38" spans="2:15" ht="21.2" customHeight="1">
      <c r="E38" s="20"/>
      <c r="H38" s="32"/>
    </row>
    <row r="39" spans="2:15" ht="21.2" customHeight="1">
      <c r="E39" s="20"/>
      <c r="H39" s="32"/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2025-06-24T10:31:32Z</dcterms:modified>
</cp:coreProperties>
</file>