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I11" i="21" l="1"/>
  <c r="G4" i="33" l="1"/>
  <c r="H21" i="21" l="1"/>
  <c r="M8" i="32" l="1"/>
  <c r="L8" i="32"/>
  <c r="M6" i="32"/>
  <c r="L6" i="32"/>
  <c r="M12" i="32" l="1"/>
  <c r="L12" i="32"/>
  <c r="K29" i="32"/>
  <c r="K28" i="32"/>
  <c r="I4" i="32" l="1"/>
  <c r="H4" i="32"/>
  <c r="G21" i="21" l="1"/>
  <c r="G11" i="21"/>
  <c r="F11" i="21"/>
  <c r="G7" i="21" l="1"/>
  <c r="F3" i="32" l="1"/>
  <c r="I7" i="21" l="1"/>
  <c r="H7" i="21" l="1"/>
  <c r="AA7" i="33" l="1"/>
  <c r="N6" i="33"/>
  <c r="G6" i="33"/>
  <c r="N3" i="33"/>
  <c r="I15" i="21" l="1"/>
  <c r="F15" i="21" l="1"/>
  <c r="I3" i="32" l="1"/>
  <c r="H3" i="32"/>
  <c r="G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8" i="21"/>
  <c r="J12" i="21"/>
  <c r="J13" i="21"/>
  <c r="J14" i="21"/>
  <c r="M21" i="32" l="1"/>
  <c r="L21" i="32"/>
  <c r="M20" i="32"/>
  <c r="I25" i="21"/>
  <c r="I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15" i="21" l="1"/>
  <c r="H10" i="21" s="1"/>
  <c r="G15" i="21"/>
  <c r="I5" i="32"/>
  <c r="H5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J7" i="32"/>
  <c r="K7" i="32"/>
  <c r="L7" i="32"/>
  <c r="M7" i="32"/>
  <c r="J8" i="32"/>
  <c r="K8" i="32"/>
  <c r="J9" i="32"/>
  <c r="K9" i="32"/>
  <c r="L9" i="32"/>
  <c r="M9" i="32"/>
  <c r="J12" i="32"/>
  <c r="K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<sst xmlns="http://schemas.openxmlformats.org/spreadsheetml/2006/main" count="124" uniqueCount="82">
  <si>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</si>
  <si>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</si>
  <si>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</si>
  <si>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</si>
  <si>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</si>
  <si>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</si>
  <si>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</si>
  <si>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</si>
  <si>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</si>
  <si>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</si>
  <si>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</si>
  <si>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</si>
  <si>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</si>
  <si>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</si>
  <si>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</si>
  <si>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</si>
  <si>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</si>
  <si>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</si>
  <si>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</si>
  <si>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</si>
  <si>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</si>
  <si>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</si>
  <si>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</si>
  <si>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</si>
  <si>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</si>
  <si>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</si>
  <si>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</si>
  <si>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</si>
  <si>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</si>
  <si>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</si>
  <si>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</si>
  <si>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</si>
  <si>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</si>
  <si>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</si>
  <si>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</si>
  <si>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</si>
  <si>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</si>
  <si>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</si>
  <si>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</si>
  <si>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</si>
  <si>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</si>
  <si>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</si>
  <si>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</si>
  <si>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</si>
  <si>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</si>
  <si>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</si>
  <si>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</si>
  <si>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</si>
  <si>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</si>
  <si>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</si>
  <si>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</si>
  <si>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</si>
  <si>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</si>
  <si>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</si>
  <si>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</si>
  <si>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</si>
  <si>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</si>
  <si>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</si>
  <si>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</si>
  <si>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</si>
  <si>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</si>
  <si>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</si>
  <si>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</si>
  <si>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</si>
  <si>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</si>
  <si>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</si>
  <si>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</si>
  <si>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</si>
  <si>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</si>
  <si>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</si>
  <si>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</si>
  <si>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t>소계</t>
    <phoneticPr fontId="5" type="noConversion"/>
  </si>
  <si>
    <t>(단위 : 척)</t>
    <phoneticPr fontId="5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</si>
  <si>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</si>
  <si>
    <t>2020년도</t>
    <phoneticPr fontId="5" type="noConversion"/>
  </si>
  <si>
    <t>2021년도</t>
    <phoneticPr fontId="5" type="noConversion"/>
  </si>
  <si>
    <t>2021년도</t>
    <phoneticPr fontId="5" type="noConversion"/>
  </si>
  <si>
    <t>(2021.10월분)</t>
    <phoneticPr fontId="5" type="noConversion"/>
  </si>
  <si>
    <t>10월(A)</t>
    <phoneticPr fontId="5" type="noConversion"/>
  </si>
  <si>
    <t>10월누계(B)</t>
    <phoneticPr fontId="5" type="noConversion"/>
  </si>
  <si>
    <t>10월(C)</t>
    <phoneticPr fontId="5" type="noConversion"/>
  </si>
  <si>
    <t>10월누계(D)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</si>
</sst>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</numFmts>
  <fonts count="35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49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12" fillId="6" borderId="8" xfId="0" applyNumberFormat="1" applyFont="1" applyFill="1" applyBorder="1" applyAlignment="1">
      <alignment horizontal="left" vertical="center"/>
    </xf>
    <xf numFmtId="41" fontId="28" fillId="0" borderId="3" xfId="0" applyNumberFormat="1" applyFont="1" applyFill="1" applyBorder="1" applyAlignment="1">
      <alignment horizontal="right" vertical="center"/>
    </xf>
    <xf numFmtId="176" fontId="34" fillId="6" borderId="1" xfId="17" applyNumberFormat="1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horizontal="right" vertical="center"/>
    </xf>
    <xf numFmtId="183" fontId="31" fillId="0" borderId="23" xfId="0" applyNumberFormat="1" applyFont="1" applyBorder="1" applyAlignment="1">
      <alignment horizontal="right" vertical="center"/>
    </xf>
    <xf numFmtId="176" fontId="31" fillId="0" borderId="23" xfId="15" applyFont="1" applyBorder="1" applyAlignment="1">
      <alignment horizontal="right" vertical="center" shrinkToFit="1"/>
    </xf>
    <xf numFmtId="183" fontId="23" fillId="0" borderId="12" xfId="0" applyNumberFormat="1" applyFont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horizontal="right" vertical="center" shrinkToFit="1"/>
    </xf>
    <xf numFmtId="176" fontId="33" fillId="0" borderId="23" xfId="15" applyFont="1" applyBorder="1" applyAlignment="1">
      <alignment horizontal="right" vertical="center" shrinkToFit="1"/>
    </xf>
    <xf numFmtId="176" fontId="12" fillId="6" borderId="17" xfId="0" applyNumberFormat="1" applyFont="1" applyFill="1" applyBorder="1" applyAlignment="1">
      <alignment horizontal="center" vertical="center"/>
    </xf>
    <xf numFmtId="176" fontId="12" fillId="6" borderId="5" xfId="0" applyNumberFormat="1" applyFont="1" applyFill="1" applyBorder="1" applyAlignment="1">
      <alignment horizontal="center" vertical="center"/>
    </xf>
    <xf numFmtId="0" fontId="24" fillId="0" borderId="0" xfId="17" applyFont="1">
      <alignment vertical="center"/>
    </xf>
    <xf numFmtId="184" fontId="12" fillId="5" borderId="28" xfId="17" quotePrefix="1" applyNumberFormat="1" applyFont="1" applyFill="1" applyBorder="1" applyAlignment="1">
      <alignment horizontal="right" vertical="center" shrinkToFit="1"/>
    </xf>
    <xf numFmtId="186" fontId="22" fillId="6" borderId="21" xfId="0" applyNumberFormat="1" applyFont="1" applyFill="1" applyBorder="1" applyAlignment="1">
      <alignment horizontal="center" vertical="center"/>
    </xf>
    <xf numFmtId="187" fontId="22" fillId="6" borderId="21" xfId="0" quotePrefix="1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2" fillId="6" borderId="20" xfId="0" applyNumberFormat="1" applyFont="1" applyFill="1" applyBorder="1" applyAlignment="1">
      <alignment horizontal="center" vertical="center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176" fontId="12" fillId="6" borderId="43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87972244</c:v>
                </c:pt>
              </c:numCache>
            </c:numRef>
          </c:val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96223328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83438720"/>
        <c:axId val="181765248"/>
        <c:axId val="0"/>
      </c:bar3DChart>
      <c:catAx>
        <c:axId val="183438720"/>
        <c:scaling>
          <c:orientation val="minMax"/>
        </c:scaling>
        <c:delete val="1"/>
        <c:axPos val="b"/>
        <c:majorTickMark val="out"/>
        <c:minorTickMark val="none"/>
        <c:tickLblPos val="none"/>
        <c:crossAx val="181765248"/>
        <c:crosses val="autoZero"/>
        <c:auto val="1"/>
        <c:lblAlgn val="ctr"/>
        <c:lblOffset val="100"/>
        <c:noMultiLvlLbl val="0"/>
      </c:catAx>
      <c:valAx>
        <c:axId val="181765248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3438720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641370</c:v>
                </c:pt>
              </c:numCache>
            </c:numRef>
          </c:val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755731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81784576"/>
        <c:axId val="181786112"/>
        <c:axId val="0"/>
      </c:bar3DChart>
      <c:catAx>
        <c:axId val="181784576"/>
        <c:scaling>
          <c:orientation val="minMax"/>
        </c:scaling>
        <c:delete val="1"/>
        <c:axPos val="b"/>
        <c:majorTickMark val="out"/>
        <c:minorTickMark val="none"/>
        <c:tickLblPos val="none"/>
        <c:crossAx val="181786112"/>
        <c:crosses val="autoZero"/>
        <c:auto val="1"/>
        <c:lblAlgn val="ctr"/>
        <c:lblOffset val="100"/>
        <c:noMultiLvlLbl val="0"/>
      </c:catAx>
      <c:valAx>
        <c:axId val="181786112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1784576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[Red]\(0.00\)">
                  <c:v>21.1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96223.327999999994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527296"/>
        <c:axId val="183545856"/>
      </c:lineChart>
      <c:catAx>
        <c:axId val="183527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3545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354585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352729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[Red]\(0.00\)">
                  <c:v>21.1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755731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553408"/>
        <c:axId val="183645696"/>
      </c:lineChart>
      <c:catAx>
        <c:axId val="183553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3645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364569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355340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[Red]\(0.00\)">
                  <c:v>21.1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659136"/>
        <c:axId val="183677696"/>
      </c:lineChart>
      <c:catAx>
        <c:axId val="183659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3677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367769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365913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\(0.00\)">
                  <c:v>21.1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13705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684096"/>
        <c:axId val="183686272"/>
      </c:lineChart>
      <c:catAx>
        <c:axId val="18368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36862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36862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368409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\(0.00\)">
                  <c:v>21.1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13705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706624"/>
        <c:axId val="189708544"/>
      </c:lineChart>
      <c:catAx>
        <c:axId val="189706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9708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97085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97066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3" zoomScale="115" zoomScaleNormal="115" workbookViewId="0">
      <pane xSplit="4" ySplit="5" topLeftCell="E14" activePane="bottomRight" state="frozen"/>
      <selection activeCell="A3" sqref="A3"/>
      <selection pane="topRight" activeCell="E3" sqref="E3"/>
      <selection pane="bottomLeft" activeCell="A8" sqref="A8"/>
      <selection pane="bottomRight" activeCell="A30" sqref="A30:XFD30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96"/>
      <c r="M1" s="196"/>
    </row>
    <row r="2" spans="2:13" ht="33" customHeight="1">
      <c r="B2" s="206" t="s">
        <v>49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</row>
    <row r="3" spans="2:13" ht="27.75" customHeight="1">
      <c r="B3" s="208" t="s">
        <v>77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</row>
    <row r="4" spans="2:13" ht="21.2" customHeight="1" thickBot="1">
      <c r="B4" s="179" t="s">
        <v>73</v>
      </c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</row>
    <row r="5" spans="2:13" ht="21.2" customHeight="1">
      <c r="B5" s="200" t="s">
        <v>7</v>
      </c>
      <c r="C5" s="201"/>
      <c r="D5" s="202"/>
      <c r="E5" s="39"/>
      <c r="F5" s="198" t="s">
        <v>74</v>
      </c>
      <c r="G5" s="209"/>
      <c r="H5" s="192" t="s">
        <v>75</v>
      </c>
      <c r="I5" s="192"/>
      <c r="J5" s="197" t="s">
        <v>15</v>
      </c>
      <c r="K5" s="198"/>
      <c r="L5" s="198"/>
      <c r="M5" s="199"/>
    </row>
    <row r="6" spans="2:13" ht="20.25" customHeight="1">
      <c r="B6" s="203"/>
      <c r="C6" s="204"/>
      <c r="D6" s="205"/>
      <c r="E6" s="40" t="s">
        <v>11</v>
      </c>
      <c r="F6" s="168" t="s">
        <v>78</v>
      </c>
      <c r="G6" s="41" t="s">
        <v>79</v>
      </c>
      <c r="H6" s="168" t="s">
        <v>80</v>
      </c>
      <c r="I6" s="169" t="s">
        <v>81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3" ht="21.2" customHeight="1">
      <c r="B7" s="184" t="s">
        <v>21</v>
      </c>
      <c r="C7" s="187" t="s">
        <v>12</v>
      </c>
      <c r="D7" s="188"/>
      <c r="E7" s="13">
        <f>SUM(E8:E9)</f>
        <v>17326</v>
      </c>
      <c r="F7" s="13">
        <f>SUM(F8:F9)</f>
        <v>1526</v>
      </c>
      <c r="G7" s="13">
        <f>SUM(G8:G9)</f>
        <v>14489</v>
      </c>
      <c r="H7" s="13">
        <f>SUM(H8:H9)</f>
        <v>1355</v>
      </c>
      <c r="I7" s="13">
        <f>SUM(I8:I9)</f>
        <v>13705</v>
      </c>
      <c r="J7" s="13">
        <f>H7-F7</f>
        <v>-171</v>
      </c>
      <c r="K7" s="16">
        <f>H7/F7</f>
        <v>0.88794233289646129</v>
      </c>
      <c r="L7" s="14">
        <f>I7-G7</f>
        <v>-784</v>
      </c>
      <c r="M7" s="24">
        <f>I7/G7</f>
        <v>0.94588998550624614</v>
      </c>
    </row>
    <row r="8" spans="2:13" ht="19.5" customHeight="1">
      <c r="B8" s="185"/>
      <c r="C8" s="175" t="s">
        <v>9</v>
      </c>
      <c r="D8" s="176"/>
      <c r="E8" s="20">
        <v>10177</v>
      </c>
      <c r="F8" s="20">
        <v>846</v>
      </c>
      <c r="G8" s="21">
        <v>8493</v>
      </c>
      <c r="H8" s="20">
        <v>840</v>
      </c>
      <c r="I8" s="20">
        <v>8364</v>
      </c>
      <c r="J8" s="4">
        <f t="shared" ref="J8:J28" si="0">H8-F8</f>
        <v>-6</v>
      </c>
      <c r="K8" s="18">
        <f t="shared" ref="K8:K28" si="1">H8/F8</f>
        <v>0.99290780141843971</v>
      </c>
      <c r="L8" s="19">
        <f t="shared" ref="L8:L28" si="2">I8-G8</f>
        <v>-129</v>
      </c>
      <c r="M8" s="26">
        <f t="shared" ref="M8:M28" si="3">I8/G8</f>
        <v>0.98481102084069239</v>
      </c>
    </row>
    <row r="9" spans="2:13" ht="19.5" customHeight="1">
      <c r="B9" s="186"/>
      <c r="C9" s="177" t="s">
        <v>10</v>
      </c>
      <c r="D9" s="178"/>
      <c r="E9" s="21">
        <v>7149</v>
      </c>
      <c r="F9" s="21">
        <v>680</v>
      </c>
      <c r="G9" s="21">
        <v>5996</v>
      </c>
      <c r="H9" s="21">
        <v>515</v>
      </c>
      <c r="I9" s="21">
        <v>5341</v>
      </c>
      <c r="J9" s="21">
        <f t="shared" si="0"/>
        <v>-165</v>
      </c>
      <c r="K9" s="22">
        <f t="shared" si="1"/>
        <v>0.75735294117647056</v>
      </c>
      <c r="L9" s="23">
        <f t="shared" si="2"/>
        <v>-655</v>
      </c>
      <c r="M9" s="27">
        <f t="shared" si="3"/>
        <v>0.8907605070046698</v>
      </c>
    </row>
    <row r="10" spans="2:13" ht="21.2" customHeight="1">
      <c r="B10" s="184" t="s">
        <v>22</v>
      </c>
      <c r="C10" s="187" t="s">
        <v>8</v>
      </c>
      <c r="D10" s="188"/>
      <c r="E10" s="45">
        <f>E11+E15</f>
        <v>106845294</v>
      </c>
      <c r="F10" s="45">
        <f>F11+F15</f>
        <v>10106202</v>
      </c>
      <c r="G10" s="45">
        <f>G11+G15</f>
        <v>87972244</v>
      </c>
      <c r="H10" s="45">
        <f>H11+H15</f>
        <v>9956154</v>
      </c>
      <c r="I10" s="45">
        <f>I11+I15</f>
        <v>96223328</v>
      </c>
      <c r="J10" s="45">
        <f t="shared" si="0"/>
        <v>-150048</v>
      </c>
      <c r="K10" s="16">
        <f t="shared" si="1"/>
        <v>0.98515287939029916</v>
      </c>
      <c r="L10" s="49">
        <f>I10-G10</f>
        <v>8251084</v>
      </c>
      <c r="M10" s="24">
        <f t="shared" si="3"/>
        <v>1.0937919010000472</v>
      </c>
    </row>
    <row r="11" spans="2:13" ht="19.5" customHeight="1">
      <c r="B11" s="185"/>
      <c r="C11" s="181" t="s">
        <v>1</v>
      </c>
      <c r="D11" s="98" t="s">
        <v>0</v>
      </c>
      <c r="E11" s="92">
        <f>SUM(E12:E14)</f>
        <v>95663945</v>
      </c>
      <c r="F11" s="92">
        <f>SUM(F12:F14)</f>
        <v>9049095</v>
      </c>
      <c r="G11" s="92">
        <f>SUM(G12:G14)</f>
        <v>78680692</v>
      </c>
      <c r="H11" s="92">
        <f>SUM(H12:H14)</f>
        <v>8923859</v>
      </c>
      <c r="I11" s="92">
        <f>SUM(I12:I14)</f>
        <v>86338884</v>
      </c>
      <c r="J11" s="93">
        <f t="shared" si="0"/>
        <v>-125236</v>
      </c>
      <c r="K11" s="94">
        <f t="shared" si="1"/>
        <v>0.98616038399420047</v>
      </c>
      <c r="L11" s="95">
        <f t="shared" si="2"/>
        <v>7658192</v>
      </c>
      <c r="M11" s="96">
        <f t="shared" si="3"/>
        <v>1.0973325450670921</v>
      </c>
    </row>
    <row r="12" spans="2:13" ht="19.5" customHeight="1">
      <c r="B12" s="185"/>
      <c r="C12" s="182"/>
      <c r="D12" s="5" t="s">
        <v>5</v>
      </c>
      <c r="E12" s="46">
        <v>76439827</v>
      </c>
      <c r="F12" s="46">
        <v>7223964</v>
      </c>
      <c r="G12" s="46">
        <v>62887320</v>
      </c>
      <c r="H12" s="46">
        <v>7180040</v>
      </c>
      <c r="I12" s="46">
        <v>69164925</v>
      </c>
      <c r="J12" s="93">
        <f t="shared" si="0"/>
        <v>-43924</v>
      </c>
      <c r="K12" s="18">
        <f t="shared" si="1"/>
        <v>0.99391968177028567</v>
      </c>
      <c r="L12" s="48">
        <f t="shared" si="2"/>
        <v>6277605</v>
      </c>
      <c r="M12" s="26">
        <f t="shared" si="3"/>
        <v>1.0998230644905842</v>
      </c>
    </row>
    <row r="13" spans="2:13" ht="19.5" customHeight="1">
      <c r="B13" s="185"/>
      <c r="C13" s="182"/>
      <c r="D13" s="5" t="s">
        <v>6</v>
      </c>
      <c r="E13" s="46">
        <v>13946411</v>
      </c>
      <c r="F13" s="46">
        <v>1292876</v>
      </c>
      <c r="G13" s="46">
        <v>11506141</v>
      </c>
      <c r="H13" s="46">
        <v>1308156</v>
      </c>
      <c r="I13" s="46">
        <v>12947198</v>
      </c>
      <c r="J13" s="93">
        <f t="shared" si="0"/>
        <v>15280</v>
      </c>
      <c r="K13" s="18">
        <f t="shared" si="1"/>
        <v>1.0118186121484194</v>
      </c>
      <c r="L13" s="48">
        <f t="shared" si="2"/>
        <v>1441057</v>
      </c>
      <c r="M13" s="26">
        <f t="shared" si="3"/>
        <v>1.1252424248929334</v>
      </c>
    </row>
    <row r="14" spans="2:13" ht="19.5" customHeight="1">
      <c r="B14" s="185"/>
      <c r="C14" s="183"/>
      <c r="D14" s="5" t="s">
        <v>13</v>
      </c>
      <c r="E14" s="46">
        <v>5277707</v>
      </c>
      <c r="F14" s="46">
        <v>532255</v>
      </c>
      <c r="G14" s="46">
        <v>4287231</v>
      </c>
      <c r="H14" s="46">
        <v>435663</v>
      </c>
      <c r="I14" s="46">
        <v>4226761</v>
      </c>
      <c r="J14" s="93">
        <f t="shared" si="0"/>
        <v>-96592</v>
      </c>
      <c r="K14" s="18">
        <f>H14/F14</f>
        <v>0.818523076344985</v>
      </c>
      <c r="L14" s="48">
        <f t="shared" si="2"/>
        <v>-60470</v>
      </c>
      <c r="M14" s="26">
        <f t="shared" si="3"/>
        <v>0.98589532497782373</v>
      </c>
    </row>
    <row r="15" spans="2:13" ht="19.5" customHeight="1">
      <c r="B15" s="185"/>
      <c r="C15" s="193" t="s">
        <v>2</v>
      </c>
      <c r="D15" s="97" t="s">
        <v>0</v>
      </c>
      <c r="E15" s="87">
        <f>SUM(E16:E18)</f>
        <v>11181349</v>
      </c>
      <c r="F15" s="87">
        <f>SUM(F16:F18)</f>
        <v>1057107</v>
      </c>
      <c r="G15" s="87">
        <f>SUM(G16:G18)</f>
        <v>9291552</v>
      </c>
      <c r="H15" s="87">
        <f>SUM(H16:H18)</f>
        <v>1032295</v>
      </c>
      <c r="I15" s="87">
        <f>SUM(I16:I18)</f>
        <v>9884444</v>
      </c>
      <c r="J15" s="88">
        <f t="shared" si="0"/>
        <v>-24812</v>
      </c>
      <c r="K15" s="89">
        <f t="shared" si="1"/>
        <v>0.97652839305765637</v>
      </c>
      <c r="L15" s="90">
        <f t="shared" si="2"/>
        <v>592892</v>
      </c>
      <c r="M15" s="91">
        <f t="shared" si="3"/>
        <v>1.0638097919486433</v>
      </c>
    </row>
    <row r="16" spans="2:13" ht="19.5" customHeight="1">
      <c r="B16" s="185"/>
      <c r="C16" s="194"/>
      <c r="D16" s="5" t="s">
        <v>3</v>
      </c>
      <c r="E16" s="46">
        <v>8023567</v>
      </c>
      <c r="F16" s="46">
        <v>761553</v>
      </c>
      <c r="G16" s="46">
        <v>6605771</v>
      </c>
      <c r="H16" s="46">
        <v>753234</v>
      </c>
      <c r="I16" s="46">
        <v>7096853</v>
      </c>
      <c r="J16" s="88">
        <f t="shared" si="0"/>
        <v>-8319</v>
      </c>
      <c r="K16" s="18">
        <f t="shared" si="1"/>
        <v>0.98907626915001323</v>
      </c>
      <c r="L16" s="48">
        <f t="shared" si="2"/>
        <v>491082</v>
      </c>
      <c r="M16" s="26">
        <f t="shared" si="3"/>
        <v>1.0743413600017317</v>
      </c>
    </row>
    <row r="17" spans="1:13" ht="19.5" customHeight="1">
      <c r="B17" s="185"/>
      <c r="C17" s="194"/>
      <c r="D17" s="6" t="s">
        <v>4</v>
      </c>
      <c r="E17" s="47">
        <v>3148861</v>
      </c>
      <c r="F17" s="47">
        <v>295554</v>
      </c>
      <c r="G17" s="47">
        <v>2676860</v>
      </c>
      <c r="H17" s="47">
        <v>279061</v>
      </c>
      <c r="I17" s="47">
        <v>2787591</v>
      </c>
      <c r="J17" s="160">
        <v>0</v>
      </c>
      <c r="K17" s="18">
        <f t="shared" si="1"/>
        <v>0.94419632283778943</v>
      </c>
      <c r="L17" s="48">
        <f t="shared" si="2"/>
        <v>110731</v>
      </c>
      <c r="M17" s="26">
        <f t="shared" si="3"/>
        <v>1.0413660034518055</v>
      </c>
    </row>
    <row r="18" spans="1:13" ht="19.5" customHeight="1">
      <c r="B18" s="186"/>
      <c r="C18" s="195"/>
      <c r="D18" s="6" t="s">
        <v>17</v>
      </c>
      <c r="E18" s="47">
        <v>8921</v>
      </c>
      <c r="F18" s="47"/>
      <c r="G18" s="47">
        <v>8921</v>
      </c>
      <c r="H18" s="157"/>
      <c r="I18" s="157"/>
      <c r="J18" s="88">
        <f t="shared" si="0"/>
        <v>0</v>
      </c>
      <c r="K18" s="18" t="e">
        <f t="shared" si="1"/>
        <v>#DIV/0!</v>
      </c>
      <c r="L18" s="48">
        <f t="shared" si="2"/>
        <v>-8921</v>
      </c>
      <c r="M18" s="26">
        <f t="shared" si="3"/>
        <v>0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189" t="s">
        <v>23</v>
      </c>
      <c r="L19" s="190"/>
      <c r="M19" s="191"/>
    </row>
    <row r="20" spans="1:13" ht="21.2" customHeight="1">
      <c r="B20" s="28"/>
      <c r="C20" s="187" t="s">
        <v>8</v>
      </c>
      <c r="D20" s="188"/>
      <c r="E20" s="104">
        <f>SUM(E21,E25)</f>
        <v>792643</v>
      </c>
      <c r="F20" s="3">
        <f>SUM(F21,F25)</f>
        <v>68187</v>
      </c>
      <c r="G20" s="3">
        <f>SUM(G21,G25)</f>
        <v>641370</v>
      </c>
      <c r="H20" s="104">
        <f>SUM(H21,H25)</f>
        <v>70724</v>
      </c>
      <c r="I20" s="104">
        <f>SUM(I21,I25)</f>
        <v>755731</v>
      </c>
      <c r="J20" s="105">
        <f t="shared" si="0"/>
        <v>2537</v>
      </c>
      <c r="K20" s="106">
        <f t="shared" si="1"/>
        <v>1.0372065056389048</v>
      </c>
      <c r="L20" s="107">
        <f t="shared" si="2"/>
        <v>114361</v>
      </c>
      <c r="M20" s="24">
        <f>I20/G20</f>
        <v>1.1783073732790745</v>
      </c>
    </row>
    <row r="21" spans="1:13" ht="19.5" customHeight="1">
      <c r="B21" s="25"/>
      <c r="C21" s="174" t="s">
        <v>1</v>
      </c>
      <c r="D21" s="99" t="s">
        <v>0</v>
      </c>
      <c r="E21" s="100">
        <f>SUM(E22:E24)</f>
        <v>792643</v>
      </c>
      <c r="F21" s="100">
        <f>SUM(F22:F24)</f>
        <v>68187</v>
      </c>
      <c r="G21" s="100">
        <f>SUM(G22:G24)</f>
        <v>641370</v>
      </c>
      <c r="H21" s="100">
        <f>SUM(H22:H24)</f>
        <v>70724</v>
      </c>
      <c r="I21" s="100">
        <f>SUM(I22:I24)</f>
        <v>755731</v>
      </c>
      <c r="J21" s="101">
        <f t="shared" si="0"/>
        <v>2537</v>
      </c>
      <c r="K21" s="102">
        <f t="shared" si="1"/>
        <v>1.0372065056389048</v>
      </c>
      <c r="L21" s="103">
        <f t="shared" si="2"/>
        <v>114361</v>
      </c>
      <c r="M21" s="96">
        <f t="shared" si="3"/>
        <v>1.1783073732790745</v>
      </c>
    </row>
    <row r="22" spans="1:13" ht="19.5" customHeight="1">
      <c r="B22" s="159" t="s">
        <v>19</v>
      </c>
      <c r="C22" s="174"/>
      <c r="D22" s="52" t="s">
        <v>5</v>
      </c>
      <c r="E22" s="54">
        <v>391129</v>
      </c>
      <c r="F22" s="54">
        <v>33786</v>
      </c>
      <c r="G22" s="54">
        <v>315879</v>
      </c>
      <c r="H22" s="54">
        <v>34713</v>
      </c>
      <c r="I22" s="54">
        <v>377654</v>
      </c>
      <c r="J22" s="101">
        <f t="shared" si="0"/>
        <v>927</v>
      </c>
      <c r="K22" s="51">
        <f t="shared" si="1"/>
        <v>1.0274374001065529</v>
      </c>
      <c r="L22" s="23">
        <f t="shared" si="2"/>
        <v>61775</v>
      </c>
      <c r="M22" s="26">
        <f t="shared" si="3"/>
        <v>1.1955653905451138</v>
      </c>
    </row>
    <row r="23" spans="1:13" ht="19.5" customHeight="1">
      <c r="B23" s="159" t="s">
        <v>20</v>
      </c>
      <c r="C23" s="174"/>
      <c r="D23" s="2" t="s">
        <v>14</v>
      </c>
      <c r="E23" s="54">
        <v>389634</v>
      </c>
      <c r="F23" s="54">
        <v>33402</v>
      </c>
      <c r="G23" s="54">
        <v>315599</v>
      </c>
      <c r="H23" s="54">
        <v>35028</v>
      </c>
      <c r="I23" s="54">
        <v>368053</v>
      </c>
      <c r="J23" s="101">
        <f t="shared" si="0"/>
        <v>1626</v>
      </c>
      <c r="K23" s="51">
        <f t="shared" si="1"/>
        <v>1.0486797197772588</v>
      </c>
      <c r="L23" s="19">
        <f t="shared" si="2"/>
        <v>52454</v>
      </c>
      <c r="M23" s="26">
        <f t="shared" si="3"/>
        <v>1.1662045823972826</v>
      </c>
    </row>
    <row r="24" spans="1:13" ht="19.5" customHeight="1">
      <c r="B24" s="31"/>
      <c r="C24" s="174"/>
      <c r="D24" s="2" t="s">
        <v>13</v>
      </c>
      <c r="E24" s="54">
        <v>11880</v>
      </c>
      <c r="F24" s="54">
        <v>999</v>
      </c>
      <c r="G24" s="54">
        <v>9892</v>
      </c>
      <c r="H24" s="54">
        <v>983</v>
      </c>
      <c r="I24" s="54">
        <v>10024</v>
      </c>
      <c r="J24" s="101">
        <f t="shared" si="0"/>
        <v>-16</v>
      </c>
      <c r="K24" s="51">
        <f t="shared" si="1"/>
        <v>0.98398398398398401</v>
      </c>
      <c r="L24" s="19">
        <f t="shared" si="2"/>
        <v>132</v>
      </c>
      <c r="M24" s="26">
        <f t="shared" si="3"/>
        <v>1.0133441164577437</v>
      </c>
    </row>
    <row r="25" spans="1:13" ht="19.5" customHeight="1">
      <c r="B25" s="25"/>
      <c r="C25" s="212" t="s">
        <v>2</v>
      </c>
      <c r="D25" s="99" t="s">
        <v>71</v>
      </c>
      <c r="E25" s="100">
        <f>SUM(E26:E27)</f>
        <v>0</v>
      </c>
      <c r="F25" s="100">
        <f>SUM(F26:F27)</f>
        <v>0</v>
      </c>
      <c r="G25" s="100">
        <f>SUM(G26:G27)</f>
        <v>0</v>
      </c>
      <c r="H25" s="100">
        <v>0</v>
      </c>
      <c r="I25" s="100">
        <f>SUM(I26:I27)</f>
        <v>0</v>
      </c>
      <c r="J25" s="101">
        <f t="shared" si="0"/>
        <v>0</v>
      </c>
      <c r="K25" s="51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212"/>
      <c r="D26" s="99" t="s">
        <v>71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101">
        <f t="shared" si="0"/>
        <v>0</v>
      </c>
      <c r="K26" s="51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212"/>
      <c r="D27" s="99" t="s">
        <v>71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101">
        <f t="shared" si="0"/>
        <v>0</v>
      </c>
      <c r="K27" s="51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39" customFormat="1" ht="21.2" customHeight="1" thickBot="1">
      <c r="B28" s="213" t="s">
        <v>69</v>
      </c>
      <c r="C28" s="214"/>
      <c r="D28" s="215"/>
      <c r="E28" s="140">
        <v>1260128</v>
      </c>
      <c r="F28" s="140">
        <v>132368</v>
      </c>
      <c r="G28" s="140">
        <v>778476</v>
      </c>
      <c r="H28" s="140">
        <v>94251</v>
      </c>
      <c r="I28" s="140">
        <v>1071637</v>
      </c>
      <c r="J28" s="141">
        <f t="shared" si="0"/>
        <v>-38117</v>
      </c>
      <c r="K28" s="142">
        <f t="shared" si="1"/>
        <v>0.71203765260485918</v>
      </c>
      <c r="L28" s="143">
        <f t="shared" si="2"/>
        <v>293161</v>
      </c>
      <c r="M28" s="144">
        <f t="shared" si="3"/>
        <v>1.3765832215765161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218" customFormat="1" ht="18.75" customHeight="1">
      <c r="A30" s="218" t="s">
        <v>27</v>
      </c>
    </row>
    <row r="31" spans="1:13" s="53" customFormat="1" ht="21.2" customHeight="1">
      <c r="B31" s="217" t="s">
        <v>24</v>
      </c>
      <c r="C31" s="217"/>
      <c r="D31" s="128"/>
      <c r="E31" s="128"/>
      <c r="F31" s="128"/>
      <c r="G31" s="128"/>
      <c r="H31" s="217" t="s">
        <v>25</v>
      </c>
      <c r="I31" s="217"/>
    </row>
    <row r="32" spans="1:13" s="50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0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0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0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216" customFormat="1" ht="24" customHeight="1"/>
    <row r="41" spans="2:13" ht="19.5" customHeight="1">
      <c r="B41" s="210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</row>
    <row r="42" spans="2:13" ht="19.5" customHeight="1">
      <c r="B42" s="210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topLeftCell="A7" zoomScale="85" zoomScaleNormal="85" workbookViewId="0">
      <selection activeCell="Q30" sqref="Q30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8" customFormat="1" ht="18.75">
      <c r="A1" s="57" t="s">
        <v>28</v>
      </c>
    </row>
    <row r="2" spans="1:27" s="58" customFormat="1" ht="15" thickBot="1">
      <c r="A2"/>
      <c r="B2"/>
      <c r="C2"/>
      <c r="D2" s="158"/>
      <c r="E2" s="158"/>
      <c r="F2" s="219" t="s">
        <v>72</v>
      </c>
      <c r="G2" s="219"/>
      <c r="H2"/>
      <c r="I2"/>
      <c r="J2"/>
      <c r="K2" s="158"/>
      <c r="L2" s="158"/>
      <c r="M2" s="219" t="s">
        <v>29</v>
      </c>
      <c r="N2" s="219"/>
    </row>
    <row r="3" spans="1:27" s="58" customFormat="1" ht="32.25" customHeight="1">
      <c r="A3" s="59" t="s">
        <v>30</v>
      </c>
      <c r="B3" s="60">
        <v>15</v>
      </c>
      <c r="C3" s="60">
        <v>16</v>
      </c>
      <c r="D3" s="60">
        <v>17</v>
      </c>
      <c r="E3" s="60">
        <v>18</v>
      </c>
      <c r="F3" s="60">
        <v>19</v>
      </c>
      <c r="G3" s="172">
        <v>21.1</v>
      </c>
      <c r="H3" s="61" t="s">
        <v>30</v>
      </c>
      <c r="I3" s="60">
        <v>15</v>
      </c>
      <c r="J3" s="60">
        <v>16</v>
      </c>
      <c r="K3" s="60">
        <v>17</v>
      </c>
      <c r="L3" s="60">
        <v>18</v>
      </c>
      <c r="M3" s="60">
        <v>19</v>
      </c>
      <c r="N3" s="173">
        <f>$G$3</f>
        <v>21.1</v>
      </c>
    </row>
    <row r="4" spans="1:27" s="58" customFormat="1" ht="39.200000000000003" customHeight="1" thickBot="1">
      <c r="A4" s="84" t="s">
        <v>31</v>
      </c>
      <c r="B4" s="162">
        <v>19166</v>
      </c>
      <c r="C4" s="162">
        <v>19916</v>
      </c>
      <c r="D4" s="162">
        <v>19440</v>
      </c>
      <c r="E4" s="162">
        <v>18829</v>
      </c>
      <c r="F4" s="162">
        <v>18385</v>
      </c>
      <c r="G4" s="163">
        <f>통계요약!I7</f>
        <v>13705</v>
      </c>
      <c r="H4" s="84" t="s">
        <v>32</v>
      </c>
      <c r="I4" s="162">
        <v>102121</v>
      </c>
      <c r="J4" s="162">
        <v>112948</v>
      </c>
      <c r="K4" s="162">
        <v>112491</v>
      </c>
      <c r="L4" s="162">
        <v>115147</v>
      </c>
      <c r="M4" s="162">
        <v>112966</v>
      </c>
      <c r="N4" s="164">
        <f>통계요약!I10/1000</f>
        <v>96223.327999999994</v>
      </c>
    </row>
    <row r="5" spans="1:27" s="58" customFormat="1" ht="30.2" customHeight="1" thickBot="1">
      <c r="A5"/>
      <c r="B5"/>
      <c r="C5"/>
      <c r="D5" s="158"/>
      <c r="E5" s="158"/>
      <c r="F5" s="220" t="s">
        <v>33</v>
      </c>
      <c r="G5" s="220"/>
      <c r="H5" s="62"/>
      <c r="I5" s="63"/>
      <c r="J5" s="63"/>
      <c r="K5" s="158"/>
      <c r="L5" s="158"/>
      <c r="M5" s="220" t="s">
        <v>34</v>
      </c>
      <c r="N5" s="220"/>
    </row>
    <row r="6" spans="1:27" s="58" customFormat="1" ht="32.25" customHeight="1">
      <c r="A6" s="59" t="s">
        <v>30</v>
      </c>
      <c r="B6" s="60">
        <v>15</v>
      </c>
      <c r="C6" s="60">
        <v>16</v>
      </c>
      <c r="D6" s="60">
        <v>17</v>
      </c>
      <c r="E6" s="60">
        <v>18</v>
      </c>
      <c r="F6" s="60">
        <v>19</v>
      </c>
      <c r="G6" s="173">
        <f>$G$3</f>
        <v>21.1</v>
      </c>
      <c r="H6" s="61" t="s">
        <v>30</v>
      </c>
      <c r="I6" s="60">
        <v>15</v>
      </c>
      <c r="J6" s="60">
        <v>16</v>
      </c>
      <c r="K6" s="60">
        <v>17</v>
      </c>
      <c r="L6" s="60">
        <v>18</v>
      </c>
      <c r="M6" s="60">
        <v>19</v>
      </c>
      <c r="N6" s="173">
        <f>$G$3</f>
        <v>21.1</v>
      </c>
    </row>
    <row r="7" spans="1:27" s="58" customFormat="1" ht="37.5" customHeight="1" thickBot="1">
      <c r="A7" s="84" t="s">
        <v>35</v>
      </c>
      <c r="B7" s="165">
        <v>565661</v>
      </c>
      <c r="C7" s="165">
        <v>623339</v>
      </c>
      <c r="D7" s="165">
        <v>643233</v>
      </c>
      <c r="E7" s="165">
        <v>689852</v>
      </c>
      <c r="F7" s="165">
        <v>723427</v>
      </c>
      <c r="G7" s="166">
        <f>통계요약!I20</f>
        <v>755731</v>
      </c>
      <c r="H7" s="84" t="s">
        <v>36</v>
      </c>
      <c r="I7" s="162">
        <v>494740</v>
      </c>
      <c r="J7" s="162">
        <v>435104</v>
      </c>
      <c r="K7" s="162">
        <v>482428</v>
      </c>
      <c r="L7" s="162">
        <v>452480</v>
      </c>
      <c r="M7" s="162">
        <v>623733</v>
      </c>
      <c r="N7" s="167">
        <v>40267</v>
      </c>
      <c r="AA7" s="135">
        <f>(19166/188141)^(1/4)-1</f>
        <v>-0.43504740355323723</v>
      </c>
    </row>
    <row r="12" spans="1:27" s="69" customFormat="1" ht="25.5" customHeight="1">
      <c r="A12" s="69" t="s">
        <v>37</v>
      </c>
    </row>
    <row r="13" spans="1:27" s="58" customFormat="1" ht="21.2" customHeight="1">
      <c r="A13" s="127" t="s">
        <v>52</v>
      </c>
      <c r="H13" s="127" t="s">
        <v>51</v>
      </c>
      <c r="I13" s="64"/>
      <c r="J13" s="65"/>
      <c r="K13" s="66"/>
      <c r="L13" s="67"/>
      <c r="M13" s="67"/>
      <c r="N13" s="67"/>
    </row>
    <row r="14" spans="1:27" s="58" customFormat="1" ht="24" customHeight="1">
      <c r="I14" s="64"/>
      <c r="J14" s="65"/>
      <c r="K14" s="66"/>
      <c r="L14" s="67"/>
      <c r="M14" s="67"/>
      <c r="N14" s="67"/>
    </row>
    <row r="15" spans="1:27" s="58" customFormat="1" ht="24" customHeight="1">
      <c r="I15" s="64"/>
      <c r="J15" s="65"/>
      <c r="K15" s="66"/>
      <c r="L15" s="67"/>
      <c r="M15" s="67"/>
      <c r="N15" s="67"/>
    </row>
    <row r="16" spans="1:27" s="58" customFormat="1" ht="24" customHeight="1">
      <c r="I16" s="64"/>
      <c r="J16" s="65"/>
      <c r="K16" s="66"/>
      <c r="L16" s="67"/>
      <c r="M16" s="67"/>
      <c r="N16" s="67"/>
    </row>
    <row r="17" spans="1:14" s="58" customFormat="1" ht="24" customHeight="1">
      <c r="I17" s="64"/>
      <c r="J17" s="65"/>
      <c r="K17" s="66"/>
      <c r="L17" s="67"/>
      <c r="M17" s="67"/>
      <c r="N17" s="67"/>
    </row>
    <row r="18" spans="1:14" s="58" customFormat="1" ht="24" customHeight="1">
      <c r="I18" s="64"/>
      <c r="J18" s="65"/>
      <c r="K18" s="66"/>
      <c r="L18" s="67"/>
      <c r="M18" s="67"/>
      <c r="N18" s="67"/>
    </row>
    <row r="19" spans="1:14" s="58" customFormat="1" ht="24" customHeight="1">
      <c r="I19" s="64"/>
      <c r="J19" s="65"/>
      <c r="K19" s="66"/>
      <c r="L19" s="67"/>
      <c r="M19" s="67"/>
      <c r="N19" s="67"/>
    </row>
    <row r="20" spans="1:14" s="58" customFormat="1" ht="24" customHeight="1">
      <c r="I20" s="64"/>
      <c r="J20" s="65"/>
      <c r="K20" s="66"/>
      <c r="L20" s="67"/>
      <c r="M20" s="67"/>
      <c r="N20" s="67"/>
    </row>
    <row r="21" spans="1:14" s="58" customFormat="1" ht="24" customHeight="1">
      <c r="I21" s="64"/>
      <c r="J21" s="65"/>
      <c r="K21" s="66"/>
      <c r="L21" s="67"/>
      <c r="M21" s="67"/>
      <c r="N21" s="67"/>
    </row>
    <row r="22" spans="1:14" s="58" customFormat="1" ht="36" customHeight="1">
      <c r="I22" s="64"/>
      <c r="J22" s="65"/>
      <c r="K22" s="66"/>
      <c r="L22" s="67"/>
      <c r="M22" s="67"/>
      <c r="N22" s="67"/>
    </row>
    <row r="23" spans="1:14" s="58" customFormat="1" ht="27.75" customHeight="1">
      <c r="A23" s="68" t="s">
        <v>25</v>
      </c>
      <c r="H23" s="127" t="s">
        <v>50</v>
      </c>
      <c r="I23" s="64"/>
      <c r="J23" s="65"/>
      <c r="K23" s="66"/>
      <c r="L23" s="67"/>
      <c r="M23" s="67"/>
      <c r="N23" s="67"/>
    </row>
    <row r="24" spans="1:14" s="58" customFormat="1" ht="24" customHeight="1">
      <c r="I24" s="64"/>
      <c r="J24" s="65"/>
      <c r="K24" s="66"/>
      <c r="L24" s="67"/>
      <c r="M24" s="67"/>
      <c r="N24" s="67"/>
    </row>
    <row r="25" spans="1:14" s="58" customFormat="1" ht="24" customHeight="1">
      <c r="I25" s="64"/>
      <c r="J25" s="65"/>
      <c r="K25" s="66"/>
      <c r="L25" s="67"/>
      <c r="M25" s="67"/>
      <c r="N25" s="67"/>
    </row>
    <row r="26" spans="1:14" s="58" customFormat="1" ht="24" customHeight="1">
      <c r="I26" s="64"/>
      <c r="J26" s="65"/>
      <c r="K26" s="66"/>
      <c r="L26" s="67"/>
      <c r="M26" s="67"/>
      <c r="N26" s="67"/>
    </row>
    <row r="27" spans="1:14" s="58" customFormat="1" ht="24" customHeight="1">
      <c r="I27" s="64"/>
      <c r="J27" s="65"/>
      <c r="K27" s="66"/>
      <c r="L27" s="67"/>
      <c r="M27" s="67"/>
      <c r="N27" s="67"/>
    </row>
    <row r="28" spans="1:14" s="58" customFormat="1" ht="24" customHeight="1">
      <c r="I28" s="64"/>
      <c r="J28" s="65"/>
      <c r="K28" s="66"/>
      <c r="L28" s="67"/>
      <c r="M28" s="67"/>
      <c r="N28" s="67"/>
    </row>
    <row r="29" spans="1:14" s="58" customFormat="1" ht="24" customHeight="1">
      <c r="I29" s="64"/>
      <c r="J29" s="65"/>
      <c r="K29" s="66"/>
      <c r="L29" s="67"/>
      <c r="M29" s="67"/>
      <c r="N29" s="67"/>
    </row>
    <row r="30" spans="1:14" s="58" customFormat="1" ht="24" customHeight="1">
      <c r="I30" s="64"/>
      <c r="J30" s="65"/>
      <c r="K30" s="66"/>
      <c r="L30" s="67"/>
      <c r="M30" s="67"/>
      <c r="N30" s="67"/>
    </row>
    <row r="31" spans="1:14" s="58" customFormat="1" ht="24" customHeight="1">
      <c r="I31" s="64"/>
      <c r="J31" s="65"/>
      <c r="K31" s="66"/>
      <c r="L31" s="67"/>
      <c r="M31" s="67"/>
      <c r="N31" s="67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I14" sqref="I14"/>
    </sheetView>
  </sheetViews>
  <sheetFormatPr defaultColWidth="10" defaultRowHeight="13.5"/>
  <cols>
    <col min="1" max="1" width="10" style="70" customWidth="1"/>
    <col min="2" max="2" width="5.75" style="70" customWidth="1"/>
    <col min="3" max="3" width="1" style="70" customWidth="1"/>
    <col min="4" max="4" width="8" style="70" customWidth="1"/>
    <col min="5" max="5" width="14.875" style="70" bestFit="1" customWidth="1"/>
    <col min="6" max="6" width="11" style="70" customWidth="1"/>
    <col min="7" max="7" width="13.25" style="70" customWidth="1"/>
    <col min="8" max="8" width="11" style="70" customWidth="1"/>
    <col min="9" max="9" width="13.25" style="70" customWidth="1"/>
    <col min="10" max="10" width="12.25" style="70" customWidth="1"/>
    <col min="11" max="11" width="11" style="70" customWidth="1"/>
    <col min="12" max="12" width="12.75" style="70" customWidth="1"/>
    <col min="13" max="13" width="11" style="70" customWidth="1"/>
    <col min="14" max="16384" width="10" style="70"/>
  </cols>
  <sheetData>
    <row r="1" spans="1:13" ht="50.25" customHeight="1" thickBot="1">
      <c r="A1" s="86" t="s">
        <v>38</v>
      </c>
      <c r="F1" s="170"/>
      <c r="G1" s="170"/>
      <c r="H1" s="170"/>
      <c r="I1" s="170"/>
      <c r="J1" s="71"/>
      <c r="K1" s="72"/>
      <c r="L1" s="73"/>
      <c r="M1" s="74"/>
    </row>
    <row r="2" spans="1:13" ht="21.95" customHeight="1">
      <c r="A2" s="227" t="s">
        <v>39</v>
      </c>
      <c r="B2" s="228"/>
      <c r="C2" s="228"/>
      <c r="D2" s="231" t="s">
        <v>40</v>
      </c>
      <c r="E2" s="75"/>
      <c r="F2" s="233" t="s">
        <v>74</v>
      </c>
      <c r="G2" s="234"/>
      <c r="H2" s="221" t="s">
        <v>76</v>
      </c>
      <c r="I2" s="221"/>
      <c r="J2" s="221" t="s">
        <v>41</v>
      </c>
      <c r="K2" s="221"/>
      <c r="L2" s="221"/>
      <c r="M2" s="222"/>
    </row>
    <row r="3" spans="1:13" ht="21.95" customHeight="1">
      <c r="A3" s="229"/>
      <c r="B3" s="230"/>
      <c r="C3" s="230"/>
      <c r="D3" s="232"/>
      <c r="E3" s="76" t="s">
        <v>42</v>
      </c>
      <c r="F3" s="76" t="str">
        <f>통계요약!F6</f>
        <v>10월(A)</v>
      </c>
      <c r="G3" s="76" t="str">
        <f>통계요약!G6</f>
        <v>10월누계(B)</v>
      </c>
      <c r="H3" s="161" t="str">
        <f>통계요약!H6</f>
        <v>10월(C)</v>
      </c>
      <c r="I3" s="76" t="str">
        <f>통계요약!I6</f>
        <v>10월누계(D)</v>
      </c>
      <c r="J3" s="76" t="s">
        <v>43</v>
      </c>
      <c r="K3" s="77" t="s">
        <v>44</v>
      </c>
      <c r="L3" s="78" t="s">
        <v>45</v>
      </c>
      <c r="M3" s="121" t="s">
        <v>44</v>
      </c>
    </row>
    <row r="4" spans="1:13" ht="21.95" customHeight="1">
      <c r="A4" s="223" t="s">
        <v>46</v>
      </c>
      <c r="B4" s="224"/>
      <c r="C4" s="224"/>
      <c r="D4" s="79" t="s">
        <v>47</v>
      </c>
      <c r="E4" s="118">
        <f>SUM(E6,E8,E10,E12,E14,E16,E18,E22,E24,E26,E28,E20,)</f>
        <v>792643</v>
      </c>
      <c r="F4" s="118">
        <f>SUM(F6,F8,F10,F12,F14,F16,F18,F22,F24,F26,F28,F20)</f>
        <v>68187</v>
      </c>
      <c r="G4" s="118">
        <f>SUM(G6,G8,G10,G12,G14,G16,G18,G22,G24,G26,G28,G20)</f>
        <v>641370</v>
      </c>
      <c r="H4" s="118">
        <f>SUM(H6,H8,H12,H14,H16,H18,H22,H24,H26,H28,H20,H10)</f>
        <v>71638</v>
      </c>
      <c r="I4" s="118">
        <f>SUM(I6,I8,I12,I14,I16,I18,I22,I24,I26,I28,I20,I10)</f>
        <v>687149</v>
      </c>
      <c r="J4" s="108">
        <f t="shared" ref="J4:J27" si="0">H4-F4</f>
        <v>3451</v>
      </c>
      <c r="K4" s="109">
        <f t="shared" ref="K4:K29" si="1">(H4/F4*100)-100</f>
        <v>5.0610820244328067</v>
      </c>
      <c r="L4" s="110">
        <f t="shared" ref="L4:L27" si="2">I4-G4</f>
        <v>45779</v>
      </c>
      <c r="M4" s="122">
        <f t="shared" ref="M4:M27" si="3">(I4/G4*100)-100</f>
        <v>7.1376896331290851</v>
      </c>
    </row>
    <row r="5" spans="1:13" ht="21.95" customHeight="1">
      <c r="A5" s="223"/>
      <c r="B5" s="224"/>
      <c r="C5" s="224"/>
      <c r="D5" s="79" t="s">
        <v>48</v>
      </c>
      <c r="E5" s="118">
        <f>SUM(E7,E9,E11,E13,E15,E17,E19,E23,E25,E27,E29,E21)</f>
        <v>11993976</v>
      </c>
      <c r="F5" s="118">
        <f>SUM(F7,F9,F11,F13,F15,F17,F19,F23,F25,F27,F29,F21)</f>
        <v>1045391</v>
      </c>
      <c r="G5" s="118">
        <f>SUM(G7,G9,G11,G13,G15,G17,G19,G23,G25,G27,G29,G21)</f>
        <v>9681019</v>
      </c>
      <c r="H5" s="118">
        <f>SUM(H7,H9,H13,H15,H17,H19,H23,H25,H27,H29,H21,H11)</f>
        <v>1136599</v>
      </c>
      <c r="I5" s="118">
        <f>SUM(I7,I9,I13,I15,I17,I19,I23,I25,I27,I29,I21,I11)</f>
        <v>10470806</v>
      </c>
      <c r="J5" s="108">
        <f t="shared" si="0"/>
        <v>91208</v>
      </c>
      <c r="K5" s="109">
        <f t="shared" si="1"/>
        <v>8.7247737927722824</v>
      </c>
      <c r="L5" s="110">
        <f t="shared" si="2"/>
        <v>789787</v>
      </c>
      <c r="M5" s="122">
        <f t="shared" si="3"/>
        <v>8.1580978200745307</v>
      </c>
    </row>
    <row r="6" spans="1:13" ht="21.2" customHeight="1">
      <c r="A6" s="225" t="s">
        <v>53</v>
      </c>
      <c r="B6" s="226"/>
      <c r="C6" s="226"/>
      <c r="D6" s="80" t="s">
        <v>47</v>
      </c>
      <c r="E6" s="119">
        <v>40012</v>
      </c>
      <c r="F6" s="119">
        <v>4063</v>
      </c>
      <c r="G6" s="119">
        <v>31398</v>
      </c>
      <c r="H6" s="119">
        <v>4787</v>
      </c>
      <c r="I6" s="119">
        <v>40992</v>
      </c>
      <c r="J6" s="111">
        <f>I6-F6</f>
        <v>36929</v>
      </c>
      <c r="K6" s="112">
        <f>(I6/F6*100)-100</f>
        <v>908.90967265567303</v>
      </c>
      <c r="L6" s="113">
        <f>I6-G6</f>
        <v>9594</v>
      </c>
      <c r="M6" s="123">
        <f>(I6/G6*100)-100</f>
        <v>30.556086374928356</v>
      </c>
    </row>
    <row r="7" spans="1:13" ht="21.2" customHeight="1">
      <c r="A7" s="225"/>
      <c r="B7" s="226"/>
      <c r="C7" s="226"/>
      <c r="D7" s="80" t="s">
        <v>48</v>
      </c>
      <c r="E7" s="119">
        <v>733864</v>
      </c>
      <c r="F7" s="119">
        <v>72849</v>
      </c>
      <c r="G7" s="119">
        <v>578497</v>
      </c>
      <c r="H7" s="119">
        <v>89075</v>
      </c>
      <c r="I7" s="119">
        <v>748930</v>
      </c>
      <c r="J7" s="111">
        <f t="shared" ref="J7:J18" si="4">H7-F7</f>
        <v>16226</v>
      </c>
      <c r="K7" s="112">
        <f t="shared" ref="K7:K17" si="5">(H7/F7*100)-100</f>
        <v>22.273469779955789</v>
      </c>
      <c r="L7" s="113">
        <f t="shared" si="2"/>
        <v>170433</v>
      </c>
      <c r="M7" s="123">
        <f t="shared" si="3"/>
        <v>29.461345521238655</v>
      </c>
    </row>
    <row r="8" spans="1:13" ht="21.2" customHeight="1">
      <c r="A8" s="225" t="s">
        <v>54</v>
      </c>
      <c r="B8" s="226"/>
      <c r="C8" s="226"/>
      <c r="D8" s="80" t="s">
        <v>47</v>
      </c>
      <c r="E8" s="119">
        <v>64529</v>
      </c>
      <c r="F8" s="119">
        <v>3780</v>
      </c>
      <c r="G8" s="119">
        <v>51445</v>
      </c>
      <c r="H8" s="119">
        <v>6772</v>
      </c>
      <c r="I8" s="119">
        <v>54936</v>
      </c>
      <c r="J8" s="111">
        <f>I8-F8</f>
        <v>51156</v>
      </c>
      <c r="K8" s="112">
        <f>(I8/F8*100)-100</f>
        <v>1353.3333333333333</v>
      </c>
      <c r="L8" s="113">
        <f>I8-G8</f>
        <v>3491</v>
      </c>
      <c r="M8" s="123">
        <f>(I8/G8*100)-100</f>
        <v>6.7858878413840102</v>
      </c>
    </row>
    <row r="9" spans="1:13" ht="21.2" customHeight="1">
      <c r="A9" s="225"/>
      <c r="B9" s="226"/>
      <c r="C9" s="226"/>
      <c r="D9" s="80" t="s">
        <v>48</v>
      </c>
      <c r="E9" s="119">
        <v>1014764</v>
      </c>
      <c r="F9" s="119">
        <v>61263</v>
      </c>
      <c r="G9" s="119">
        <v>809979</v>
      </c>
      <c r="H9" s="119">
        <v>100612</v>
      </c>
      <c r="I9" s="119">
        <v>844141</v>
      </c>
      <c r="J9" s="111">
        <f t="shared" si="4"/>
        <v>39349</v>
      </c>
      <c r="K9" s="112">
        <f t="shared" si="5"/>
        <v>64.229632894242854</v>
      </c>
      <c r="L9" s="113">
        <f t="shared" si="2"/>
        <v>34162</v>
      </c>
      <c r="M9" s="123">
        <f t="shared" si="3"/>
        <v>4.2176402104252162</v>
      </c>
    </row>
    <row r="10" spans="1:13" ht="21.2" customHeight="1">
      <c r="A10" s="235" t="s">
        <v>66</v>
      </c>
      <c r="B10" s="236"/>
      <c r="C10" s="237"/>
      <c r="D10" s="80" t="s">
        <v>47</v>
      </c>
      <c r="E10" s="119">
        <v>11</v>
      </c>
      <c r="F10" s="156">
        <v>11</v>
      </c>
      <c r="G10" s="156">
        <v>11</v>
      </c>
      <c r="H10" s="119"/>
      <c r="I10" s="156"/>
      <c r="J10" s="111">
        <f t="shared" si="4"/>
        <v>-11</v>
      </c>
      <c r="K10" s="112">
        <f t="shared" si="5"/>
        <v>-100</v>
      </c>
      <c r="L10" s="113">
        <f t="shared" si="2"/>
        <v>-11</v>
      </c>
      <c r="M10" s="123">
        <f t="shared" si="3"/>
        <v>-100</v>
      </c>
    </row>
    <row r="11" spans="1:13" ht="21.2" customHeight="1">
      <c r="A11" s="238"/>
      <c r="B11" s="239"/>
      <c r="C11" s="240"/>
      <c r="D11" s="80" t="s">
        <v>65</v>
      </c>
      <c r="E11" s="156">
        <v>0</v>
      </c>
      <c r="F11" s="156"/>
      <c r="G11" s="156"/>
      <c r="H11" s="119"/>
      <c r="I11" s="156"/>
      <c r="J11" s="111">
        <f t="shared" si="4"/>
        <v>0</v>
      </c>
      <c r="K11" s="112" t="e">
        <f t="shared" si="5"/>
        <v>#DIV/0!</v>
      </c>
      <c r="L11" s="113">
        <f t="shared" si="2"/>
        <v>0</v>
      </c>
      <c r="M11" s="123" t="e">
        <f t="shared" si="3"/>
        <v>#DIV/0!</v>
      </c>
    </row>
    <row r="12" spans="1:13" ht="21.2" customHeight="1">
      <c r="A12" s="225" t="s">
        <v>55</v>
      </c>
      <c r="B12" s="226"/>
      <c r="C12" s="226"/>
      <c r="D12" s="80" t="s">
        <v>47</v>
      </c>
      <c r="E12" s="119">
        <v>94591</v>
      </c>
      <c r="F12" s="119">
        <v>5440</v>
      </c>
      <c r="G12" s="119">
        <v>75986</v>
      </c>
      <c r="H12" s="119">
        <v>10115</v>
      </c>
      <c r="I12" s="119">
        <v>85242</v>
      </c>
      <c r="J12" s="111">
        <f>I12-F12</f>
        <v>79802</v>
      </c>
      <c r="K12" s="112">
        <f>(I12/F12*100)-100</f>
        <v>1466.9485294117646</v>
      </c>
      <c r="L12" s="113">
        <f>I12-G12</f>
        <v>9256</v>
      </c>
      <c r="M12" s="123">
        <f>(I12/G12*100)-100</f>
        <v>12.181191272076447</v>
      </c>
    </row>
    <row r="13" spans="1:13" ht="21.2" customHeight="1">
      <c r="A13" s="225"/>
      <c r="B13" s="226"/>
      <c r="C13" s="226"/>
      <c r="D13" s="80" t="s">
        <v>48</v>
      </c>
      <c r="E13" s="119">
        <v>1458673</v>
      </c>
      <c r="F13" s="119">
        <v>92261</v>
      </c>
      <c r="G13" s="119">
        <v>1174635</v>
      </c>
      <c r="H13" s="119">
        <v>155197</v>
      </c>
      <c r="I13" s="119">
        <v>1295957</v>
      </c>
      <c r="J13" s="111">
        <f t="shared" si="4"/>
        <v>62936</v>
      </c>
      <c r="K13" s="112">
        <f t="shared" si="5"/>
        <v>68.215172174591657</v>
      </c>
      <c r="L13" s="113">
        <f t="shared" si="2"/>
        <v>121322</v>
      </c>
      <c r="M13" s="123">
        <f t="shared" si="3"/>
        <v>10.328485018750499</v>
      </c>
    </row>
    <row r="14" spans="1:13" ht="21.2" customHeight="1">
      <c r="A14" s="225" t="s">
        <v>62</v>
      </c>
      <c r="B14" s="226"/>
      <c r="C14" s="226"/>
      <c r="D14" s="80" t="s">
        <v>47</v>
      </c>
      <c r="E14" s="119">
        <v>230422</v>
      </c>
      <c r="F14" s="119">
        <v>23428</v>
      </c>
      <c r="G14" s="119">
        <v>186302</v>
      </c>
      <c r="H14" s="119">
        <v>22329</v>
      </c>
      <c r="I14" s="119">
        <v>201630</v>
      </c>
      <c r="J14" s="111">
        <f t="shared" si="4"/>
        <v>-1099</v>
      </c>
      <c r="K14" s="112">
        <f t="shared" si="5"/>
        <v>-4.6909680723920104</v>
      </c>
      <c r="L14" s="113">
        <f t="shared" si="2"/>
        <v>15328</v>
      </c>
      <c r="M14" s="123">
        <f t="shared" si="3"/>
        <v>8.2275015834505325</v>
      </c>
    </row>
    <row r="15" spans="1:13" ht="21.2" customHeight="1">
      <c r="A15" s="225"/>
      <c r="B15" s="226"/>
      <c r="C15" s="226"/>
      <c r="D15" s="80" t="s">
        <v>48</v>
      </c>
      <c r="E15" s="119">
        <v>3151058</v>
      </c>
      <c r="F15" s="119">
        <v>325060</v>
      </c>
      <c r="G15" s="119">
        <v>2533784</v>
      </c>
      <c r="H15" s="119">
        <v>325826</v>
      </c>
      <c r="I15" s="119">
        <v>2753648</v>
      </c>
      <c r="J15" s="111">
        <f t="shared" si="4"/>
        <v>766</v>
      </c>
      <c r="K15" s="112">
        <f t="shared" si="5"/>
        <v>0.23564880329784899</v>
      </c>
      <c r="L15" s="113">
        <f t="shared" si="2"/>
        <v>219864</v>
      </c>
      <c r="M15" s="123">
        <f t="shared" si="3"/>
        <v>8.677298459537198</v>
      </c>
    </row>
    <row r="16" spans="1:13" ht="21.2" customHeight="1">
      <c r="A16" s="225" t="s">
        <v>56</v>
      </c>
      <c r="B16" s="226"/>
      <c r="C16" s="226"/>
      <c r="D16" s="80" t="s">
        <v>47</v>
      </c>
      <c r="E16" s="119">
        <v>142475</v>
      </c>
      <c r="F16" s="119">
        <v>9091</v>
      </c>
      <c r="G16" s="119">
        <v>119290</v>
      </c>
      <c r="H16" s="119">
        <v>9931</v>
      </c>
      <c r="I16" s="119">
        <v>109109</v>
      </c>
      <c r="J16" s="111">
        <f t="shared" si="4"/>
        <v>840</v>
      </c>
      <c r="K16" s="81">
        <f t="shared" si="5"/>
        <v>9.2399076009239849</v>
      </c>
      <c r="L16" s="82">
        <f t="shared" si="2"/>
        <v>-10181</v>
      </c>
      <c r="M16" s="124">
        <f t="shared" si="3"/>
        <v>-8.5346634252661602</v>
      </c>
    </row>
    <row r="17" spans="1:13" ht="21.2" customHeight="1">
      <c r="A17" s="225"/>
      <c r="B17" s="226"/>
      <c r="C17" s="226"/>
      <c r="D17" s="80" t="s">
        <v>48</v>
      </c>
      <c r="E17" s="119">
        <v>2264820</v>
      </c>
      <c r="F17" s="119">
        <v>144755</v>
      </c>
      <c r="G17" s="119">
        <v>1889166</v>
      </c>
      <c r="H17" s="119">
        <v>162082</v>
      </c>
      <c r="I17" s="119">
        <v>1728584</v>
      </c>
      <c r="J17" s="111">
        <f t="shared" si="4"/>
        <v>17327</v>
      </c>
      <c r="K17" s="81">
        <f t="shared" si="5"/>
        <v>11.969880142309421</v>
      </c>
      <c r="L17" s="82">
        <f t="shared" si="2"/>
        <v>-160582</v>
      </c>
      <c r="M17" s="124">
        <f t="shared" si="3"/>
        <v>-8.5001529775572919</v>
      </c>
    </row>
    <row r="18" spans="1:13" ht="21.2" customHeight="1">
      <c r="A18" s="243" t="s">
        <v>70</v>
      </c>
      <c r="B18" s="244"/>
      <c r="C18" s="244"/>
      <c r="D18" s="146" t="s">
        <v>47</v>
      </c>
      <c r="E18" s="145">
        <v>670</v>
      </c>
      <c r="F18" s="155"/>
      <c r="G18" s="155">
        <v>670</v>
      </c>
      <c r="H18" s="155"/>
      <c r="I18" s="155"/>
      <c r="J18" s="147">
        <f t="shared" si="4"/>
        <v>0</v>
      </c>
      <c r="K18" s="148" t="s">
        <v>68</v>
      </c>
      <c r="L18" s="149">
        <f t="shared" si="2"/>
        <v>-670</v>
      </c>
      <c r="M18" s="150">
        <v>0</v>
      </c>
    </row>
    <row r="19" spans="1:13" ht="21.2" customHeight="1">
      <c r="A19" s="245"/>
      <c r="B19" s="246"/>
      <c r="C19" s="246"/>
      <c r="D19" s="151" t="s">
        <v>48</v>
      </c>
      <c r="E19" s="145">
        <v>6371</v>
      </c>
      <c r="F19" s="155"/>
      <c r="G19" s="155">
        <v>6371</v>
      </c>
      <c r="H19" s="155"/>
      <c r="I19" s="155"/>
      <c r="J19" s="147">
        <f t="shared" si="0"/>
        <v>0</v>
      </c>
      <c r="K19" s="152" t="s">
        <v>68</v>
      </c>
      <c r="L19" s="153">
        <f t="shared" si="2"/>
        <v>-6371</v>
      </c>
      <c r="M19" s="154">
        <v>0</v>
      </c>
    </row>
    <row r="20" spans="1:13" ht="21.2" customHeight="1">
      <c r="A20" s="235" t="s">
        <v>63</v>
      </c>
      <c r="B20" s="236"/>
      <c r="C20" s="237"/>
      <c r="D20" s="83" t="s">
        <v>64</v>
      </c>
      <c r="E20" s="119">
        <v>112</v>
      </c>
      <c r="F20" s="155"/>
      <c r="G20" s="155">
        <v>112</v>
      </c>
      <c r="H20" s="155">
        <v>15</v>
      </c>
      <c r="I20" s="155">
        <v>31</v>
      </c>
      <c r="J20" s="111">
        <f t="shared" si="0"/>
        <v>15</v>
      </c>
      <c r="K20" s="138" t="s">
        <v>68</v>
      </c>
      <c r="L20" s="115">
        <f t="shared" si="2"/>
        <v>-81</v>
      </c>
      <c r="M20" s="125">
        <f t="shared" si="3"/>
        <v>-72.321428571428569</v>
      </c>
    </row>
    <row r="21" spans="1:13" ht="21.2" customHeight="1">
      <c r="A21" s="238"/>
      <c r="B21" s="239"/>
      <c r="C21" s="240"/>
      <c r="D21" s="83" t="s">
        <v>65</v>
      </c>
      <c r="E21" s="119">
        <v>776</v>
      </c>
      <c r="F21" s="155"/>
      <c r="G21" s="155">
        <v>776</v>
      </c>
      <c r="H21" s="155">
        <v>294</v>
      </c>
      <c r="I21" s="155">
        <v>423</v>
      </c>
      <c r="J21" s="111">
        <f t="shared" si="0"/>
        <v>294</v>
      </c>
      <c r="K21" s="138" t="s">
        <v>68</v>
      </c>
      <c r="L21" s="115">
        <f t="shared" si="2"/>
        <v>-353</v>
      </c>
      <c r="M21" s="125">
        <f t="shared" si="3"/>
        <v>-45.489690721649488</v>
      </c>
    </row>
    <row r="22" spans="1:13" ht="21.2" customHeight="1">
      <c r="A22" s="225" t="s">
        <v>58</v>
      </c>
      <c r="B22" s="226"/>
      <c r="C22" s="226"/>
      <c r="D22" s="80" t="s">
        <v>47</v>
      </c>
      <c r="E22" s="119">
        <v>544</v>
      </c>
      <c r="F22" s="156"/>
      <c r="G22" s="119">
        <v>476</v>
      </c>
      <c r="H22" s="119">
        <v>4</v>
      </c>
      <c r="I22" s="156">
        <v>218</v>
      </c>
      <c r="J22" s="111">
        <f t="shared" si="0"/>
        <v>4</v>
      </c>
      <c r="K22" s="112" t="e">
        <f t="shared" si="1"/>
        <v>#DIV/0!</v>
      </c>
      <c r="L22" s="113">
        <f t="shared" si="2"/>
        <v>-258</v>
      </c>
      <c r="M22" s="123">
        <f t="shared" si="3"/>
        <v>-54.201680672268907</v>
      </c>
    </row>
    <row r="23" spans="1:13" ht="21.2" customHeight="1">
      <c r="A23" s="247"/>
      <c r="B23" s="248"/>
      <c r="C23" s="248"/>
      <c r="D23" s="83" t="s">
        <v>48</v>
      </c>
      <c r="E23" s="119">
        <v>4339</v>
      </c>
      <c r="F23" s="156"/>
      <c r="G23" s="119">
        <v>3960</v>
      </c>
      <c r="H23" s="119">
        <v>15</v>
      </c>
      <c r="I23" s="156">
        <v>1915</v>
      </c>
      <c r="J23" s="111">
        <f t="shared" si="0"/>
        <v>15</v>
      </c>
      <c r="K23" s="114" t="e">
        <f t="shared" si="1"/>
        <v>#DIV/0!</v>
      </c>
      <c r="L23" s="115">
        <f t="shared" si="2"/>
        <v>-2045</v>
      </c>
      <c r="M23" s="125">
        <f t="shared" si="3"/>
        <v>-51.641414141414145</v>
      </c>
    </row>
    <row r="24" spans="1:13" ht="21.2" customHeight="1">
      <c r="A24" s="225" t="s">
        <v>59</v>
      </c>
      <c r="B24" s="226"/>
      <c r="C24" s="226"/>
      <c r="D24" s="80" t="s">
        <v>47</v>
      </c>
      <c r="E24" s="119">
        <v>75409</v>
      </c>
      <c r="F24" s="119">
        <v>7148</v>
      </c>
      <c r="G24" s="119">
        <v>59348</v>
      </c>
      <c r="H24" s="119">
        <v>9207</v>
      </c>
      <c r="I24" s="119">
        <v>69747</v>
      </c>
      <c r="J24" s="111">
        <f t="shared" si="0"/>
        <v>2059</v>
      </c>
      <c r="K24" s="112">
        <f t="shared" si="1"/>
        <v>28.805260212646886</v>
      </c>
      <c r="L24" s="113">
        <f t="shared" si="2"/>
        <v>10399</v>
      </c>
      <c r="M24" s="123">
        <f t="shared" si="3"/>
        <v>17.522073195389893</v>
      </c>
    </row>
    <row r="25" spans="1:13" ht="21.2" customHeight="1">
      <c r="A25" s="225"/>
      <c r="B25" s="226"/>
      <c r="C25" s="226"/>
      <c r="D25" s="80" t="s">
        <v>48</v>
      </c>
      <c r="E25" s="119">
        <v>1215186</v>
      </c>
      <c r="F25" s="119">
        <v>122749</v>
      </c>
      <c r="G25" s="119">
        <v>954553</v>
      </c>
      <c r="H25" s="119">
        <v>163123</v>
      </c>
      <c r="I25" s="119">
        <v>1161854</v>
      </c>
      <c r="J25" s="111">
        <f t="shared" si="0"/>
        <v>40374</v>
      </c>
      <c r="K25" s="112">
        <f t="shared" si="1"/>
        <v>32.891510317803011</v>
      </c>
      <c r="L25" s="113">
        <f t="shared" si="2"/>
        <v>207301</v>
      </c>
      <c r="M25" s="123">
        <f t="shared" si="3"/>
        <v>21.717075950732962</v>
      </c>
    </row>
    <row r="26" spans="1:13" ht="21.2" customHeight="1">
      <c r="A26" s="225" t="s">
        <v>60</v>
      </c>
      <c r="B26" s="226"/>
      <c r="C26" s="226"/>
      <c r="D26" s="85" t="s">
        <v>47</v>
      </c>
      <c r="E26" s="120">
        <v>105261</v>
      </c>
      <c r="F26" s="120">
        <v>10240</v>
      </c>
      <c r="G26" s="120">
        <v>86335</v>
      </c>
      <c r="H26" s="119">
        <v>4919</v>
      </c>
      <c r="I26" s="120">
        <v>85254</v>
      </c>
      <c r="J26" s="111">
        <f t="shared" si="0"/>
        <v>-5321</v>
      </c>
      <c r="K26" s="116">
        <f t="shared" si="1"/>
        <v>-51.962890625</v>
      </c>
      <c r="L26" s="117">
        <f t="shared" si="2"/>
        <v>-1081</v>
      </c>
      <c r="M26" s="126">
        <f t="shared" si="3"/>
        <v>-1.2520993803208427</v>
      </c>
    </row>
    <row r="27" spans="1:13" ht="21.2" customHeight="1">
      <c r="A27" s="225"/>
      <c r="B27" s="226"/>
      <c r="C27" s="226"/>
      <c r="D27" s="83" t="s">
        <v>48</v>
      </c>
      <c r="E27" s="129">
        <v>1550056</v>
      </c>
      <c r="F27" s="129">
        <v>149789</v>
      </c>
      <c r="G27" s="129">
        <v>1259729</v>
      </c>
      <c r="H27" s="119">
        <v>76737</v>
      </c>
      <c r="I27" s="129">
        <v>1291984</v>
      </c>
      <c r="J27" s="130">
        <f t="shared" si="0"/>
        <v>-73052</v>
      </c>
      <c r="K27" s="114">
        <f t="shared" si="1"/>
        <v>-48.769936377170552</v>
      </c>
      <c r="L27" s="115">
        <f t="shared" si="2"/>
        <v>32255</v>
      </c>
      <c r="M27" s="125">
        <f t="shared" si="3"/>
        <v>2.560471339470638</v>
      </c>
    </row>
    <row r="28" spans="1:13" ht="21.2" customHeight="1">
      <c r="A28" s="225" t="s">
        <v>61</v>
      </c>
      <c r="B28" s="226"/>
      <c r="C28" s="226"/>
      <c r="D28" s="80" t="s">
        <v>47</v>
      </c>
      <c r="E28" s="119">
        <v>38607</v>
      </c>
      <c r="F28" s="119">
        <v>4986</v>
      </c>
      <c r="G28" s="119">
        <v>29997</v>
      </c>
      <c r="H28" s="119">
        <v>3559</v>
      </c>
      <c r="I28" s="119">
        <v>39990</v>
      </c>
      <c r="J28" s="111">
        <f>H28-F28</f>
        <v>-1427</v>
      </c>
      <c r="K28" s="114">
        <f t="shared" si="1"/>
        <v>-28.62013638186923</v>
      </c>
      <c r="L28" s="113">
        <f>I28-G28</f>
        <v>9993</v>
      </c>
      <c r="M28" s="136" t="s">
        <v>67</v>
      </c>
    </row>
    <row r="29" spans="1:13" ht="21.2" customHeight="1" thickBot="1">
      <c r="A29" s="241"/>
      <c r="B29" s="242"/>
      <c r="C29" s="242"/>
      <c r="D29" s="131" t="s">
        <v>48</v>
      </c>
      <c r="E29" s="132">
        <v>594069</v>
      </c>
      <c r="F29" s="132">
        <v>76665</v>
      </c>
      <c r="G29" s="132">
        <v>469569</v>
      </c>
      <c r="H29" s="132">
        <v>63638</v>
      </c>
      <c r="I29" s="132">
        <v>643370</v>
      </c>
      <c r="J29" s="133">
        <f>H29-F29</f>
        <v>-13027</v>
      </c>
      <c r="K29" s="171">
        <f t="shared" si="1"/>
        <v>-16.992108524098342</v>
      </c>
      <c r="L29" s="134">
        <f>I29-G29</f>
        <v>173801</v>
      </c>
      <c r="M29" s="137" t="s">
        <v>67</v>
      </c>
    </row>
    <row r="30" spans="1:13" ht="14.25" thickTop="1"/>
  </sheetData>
  <mergeCells count="18"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  <mergeCell ref="J2:M2"/>
    <mergeCell ref="A4:C5"/>
    <mergeCell ref="A6:C7"/>
    <mergeCell ref="A8:C9"/>
    <mergeCell ref="A2:C3"/>
    <mergeCell ref="D2:D3"/>
    <mergeCell ref="F2:G2"/>
    <mergeCell ref="H2:I2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2021-10-25T06:06:48Z</cp:lastPrinted>
  <dcterms:created xsi:type="dcterms:W3CDTF">1998-03-31T03:01:22Z</dcterms:created>
  <dcterms:modified xsi:type="dcterms:W3CDTF">2021-11-24T08:13:54Z</dcterms:modified>
</cp:coreProperties>
</file>