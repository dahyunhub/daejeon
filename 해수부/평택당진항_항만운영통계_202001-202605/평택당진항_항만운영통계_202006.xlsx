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I7" i="21"/>
  <c r="G4" i="33" s="1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<sst xmlns="http://schemas.openxmlformats.org/spreadsheetml/2006/main" count="126" uniqueCount="82">
  <si>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</si>
  <si>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</si>
  <si>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</si>
  <si>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</si>
  <si>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</si>
  <si>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</si>
  <si>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</si>
  <si>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</si>
  <si>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</si>
  <si>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</si>
  <si>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</si>
  <si>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</si>
  <si>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</si>
  <si>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</si>
  <si>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</si>
  <si>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</si>
  <si>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</si>
  <si>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</si>
  <si>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</si>
  <si>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</si>
  <si>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</si>
  <si>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</si>
  <si>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</si>
  <si>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</si>
  <si>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</si>
  <si>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</si>
  <si>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</si>
  <si>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</si>
  <si>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</si>
  <si>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</si>
  <si>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</si>
  <si>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</si>
  <si>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</si>
  <si>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</si>
  <si>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</si>
  <si>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</si>
  <si>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</si>
  <si>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</si>
  <si>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</si>
  <si>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</si>
  <si>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</si>
  <si>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</si>
  <si>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</si>
  <si>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</si>
  <si>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</si>
  <si>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</si>
  <si>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</si>
  <si>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</si>
  <si>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</si>
  <si>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</si>
  <si>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</si>
  <si>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</si>
  <si>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</si>
  <si>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</si>
  <si>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</si>
  <si>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</si>
  <si>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</si>
  <si>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</si>
  <si>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</si>
  <si>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</si>
  <si>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</si>
  <si>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</si>
  <si>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</si>
  <si>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</si>
  <si>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</si>
  <si>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</si>
  <si>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</si>
  <si>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</si>
  <si>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</si>
  <si>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</si>
  <si>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</si>
  <si>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</si>
  <si>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</si>
  <si>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</si>
  <si>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</si>
  <si>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(단위 : 척)</t>
    <phoneticPr fontId="5" type="noConversion"/>
  </si>
  <si>
    <t>(2020. 6월분)</t>
    <phoneticPr fontId="5" type="noConversion"/>
  </si>
  <si>
    <t>6월(A)</t>
    <phoneticPr fontId="5" type="noConversion"/>
  </si>
  <si>
    <t>6월누계(B)</t>
    <phoneticPr fontId="5" type="noConversion"/>
  </si>
  <si>
    <t>6월(C)</t>
    <phoneticPr fontId="5" type="noConversion"/>
  </si>
  <si>
    <t>6월누계(D)</t>
    <phoneticPr fontId="5" type="noConversion"/>
  </si>
  <si>
    <t>2020년도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</si>
</sst>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[Red]\(0.0\)"/>
  </numFmts>
  <fonts count="36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0"/>
      <color rgb="FF0000FF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50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86" fontId="22" fillId="6" borderId="21" xfId="0" applyNumberFormat="1" applyFont="1" applyFill="1" applyBorder="1" applyAlignment="1">
      <alignment horizontal="center" vertical="center"/>
    </xf>
    <xf numFmtId="186" fontId="22" fillId="6" borderId="21" xfId="0" quotePrefix="1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17" xfId="0" applyNumberFormat="1" applyFont="1" applyFill="1" applyBorder="1" applyAlignment="1">
      <alignment horizontal="center" vertical="center"/>
    </xf>
    <xf numFmtId="176" fontId="34" fillId="6" borderId="1" xfId="0" applyNumberFormat="1" applyFont="1" applyFill="1" applyBorder="1" applyAlignment="1">
      <alignment horizontal="center" vertical="center"/>
    </xf>
    <xf numFmtId="176" fontId="34" fillId="6" borderId="5" xfId="0" applyNumberFormat="1" applyFont="1" applyFill="1" applyBorder="1" applyAlignment="1">
      <alignment horizontal="center" vertical="center"/>
    </xf>
    <xf numFmtId="41" fontId="28" fillId="0" borderId="3" xfId="0" applyNumberFormat="1" applyFont="1" applyFill="1" applyBorder="1" applyAlignment="1">
      <alignment horizontal="right" vertical="center"/>
    </xf>
    <xf numFmtId="181" fontId="35" fillId="4" borderId="12" xfId="0" applyNumberFormat="1" applyFont="1" applyFill="1" applyBorder="1" applyAlignment="1">
      <alignment horizontal="right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6월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55761696</c:v>
                </c:pt>
              </c:numCache>
            </c:numRef>
          </c:val>
        </c:ser>
        <c:ser>
          <c:idx val="1"/>
          <c:order val="1"/>
          <c:tx>
            <c:v>'20년 6월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53319894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3264000"/>
        <c:axId val="203265536"/>
        <c:axId val="0"/>
      </c:bar3DChart>
      <c:catAx>
        <c:axId val="203264000"/>
        <c:scaling>
          <c:orientation val="minMax"/>
        </c:scaling>
        <c:delete val="1"/>
        <c:axPos val="b"/>
        <c:majorTickMark val="out"/>
        <c:minorTickMark val="none"/>
        <c:tickLblPos val="none"/>
        <c:crossAx val="203265536"/>
        <c:crosses val="autoZero"/>
        <c:auto val="1"/>
        <c:lblAlgn val="ctr"/>
        <c:lblOffset val="100"/>
        <c:noMultiLvlLbl val="0"/>
      </c:catAx>
      <c:valAx>
        <c:axId val="203265536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264000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6월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348369</c:v>
                </c:pt>
              </c:numCache>
            </c:numRef>
          </c:val>
        </c:ser>
        <c:ser>
          <c:idx val="1"/>
          <c:order val="1"/>
          <c:tx>
            <c:v>'20년 6월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362471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3108736"/>
        <c:axId val="203110272"/>
        <c:axId val="0"/>
      </c:bar3DChart>
      <c:catAx>
        <c:axId val="203108736"/>
        <c:scaling>
          <c:orientation val="minMax"/>
        </c:scaling>
        <c:delete val="1"/>
        <c:axPos val="b"/>
        <c:majorTickMark val="out"/>
        <c:minorTickMark val="none"/>
        <c:tickLblPos val="none"/>
        <c:crossAx val="203110272"/>
        <c:crosses val="autoZero"/>
        <c:auto val="1"/>
        <c:lblAlgn val="ctr"/>
        <c:lblOffset val="100"/>
        <c:noMultiLvlLbl val="0"/>
      </c:catAx>
      <c:valAx>
        <c:axId val="203110272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108736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20.6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53319.894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76192"/>
        <c:axId val="203207040"/>
      </c:lineChart>
      <c:catAx>
        <c:axId val="20317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207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2070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17619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20.6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362471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107840"/>
        <c:axId val="211109760"/>
      </c:lineChart>
      <c:catAx>
        <c:axId val="21110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09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1097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078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20.6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135488"/>
        <c:axId val="211137664"/>
      </c:lineChart>
      <c:catAx>
        <c:axId val="21113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37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1376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3548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20.6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8465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162240"/>
        <c:axId val="211164160"/>
      </c:lineChart>
      <c:catAx>
        <c:axId val="21116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64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1641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622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20.6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8465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194624"/>
        <c:axId val="211196544"/>
      </c:lineChart>
      <c:catAx>
        <c:axId val="21119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96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1965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946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4" sqref="B4:M4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97"/>
      <c r="M1" s="197"/>
    </row>
    <row r="2" spans="2:13" ht="33" customHeight="1">
      <c r="B2" s="207" t="s">
        <v>49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</row>
    <row r="3" spans="2:13" ht="27.75" customHeight="1">
      <c r="B3" s="209" t="s">
        <v>76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</row>
    <row r="4" spans="2:13" ht="21.2" customHeight="1" thickBot="1">
      <c r="B4" s="180" t="s">
        <v>71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</row>
    <row r="5" spans="2:13" ht="21.2" customHeight="1">
      <c r="B5" s="201" t="s">
        <v>7</v>
      </c>
      <c r="C5" s="202"/>
      <c r="D5" s="203"/>
      <c r="E5" s="39"/>
      <c r="F5" s="199" t="s">
        <v>73</v>
      </c>
      <c r="G5" s="210"/>
      <c r="H5" s="193" t="s">
        <v>81</v>
      </c>
      <c r="I5" s="193"/>
      <c r="J5" s="198" t="s">
        <v>15</v>
      </c>
      <c r="K5" s="199"/>
      <c r="L5" s="199"/>
      <c r="M5" s="200"/>
    </row>
    <row r="6" spans="2:13" ht="20.25" customHeight="1">
      <c r="B6" s="204"/>
      <c r="C6" s="205"/>
      <c r="D6" s="206"/>
      <c r="E6" s="40" t="s">
        <v>11</v>
      </c>
      <c r="F6" s="170" t="s">
        <v>77</v>
      </c>
      <c r="G6" s="171" t="s">
        <v>78</v>
      </c>
      <c r="H6" s="170" t="s">
        <v>79</v>
      </c>
      <c r="I6" s="172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185" t="s">
        <v>21</v>
      </c>
      <c r="C7" s="188" t="s">
        <v>12</v>
      </c>
      <c r="D7" s="189"/>
      <c r="E7" s="13">
        <f>SUM(E8:E9)</f>
        <v>18416</v>
      </c>
      <c r="F7" s="13">
        <f>SUM(F8:F9)</f>
        <v>1479</v>
      </c>
      <c r="G7" s="13">
        <f>SUM(G8:G9)</f>
        <v>9247</v>
      </c>
      <c r="H7" s="13">
        <f>SUM(H8:H9)</f>
        <v>1240</v>
      </c>
      <c r="I7" s="13">
        <f>SUM(I8:I9)</f>
        <v>8465</v>
      </c>
      <c r="J7" s="13">
        <f>H7-F7</f>
        <v>-239</v>
      </c>
      <c r="K7" s="16">
        <f>H7/F7</f>
        <v>0.83840432724814062</v>
      </c>
      <c r="L7" s="14">
        <f>I7-G7</f>
        <v>-782</v>
      </c>
      <c r="M7" s="24">
        <f>I7/G7</f>
        <v>0.9154320320103817</v>
      </c>
    </row>
    <row r="8" spans="2:13" ht="19.5" customHeight="1">
      <c r="B8" s="186"/>
      <c r="C8" s="176" t="s">
        <v>9</v>
      </c>
      <c r="D8" s="177"/>
      <c r="E8" s="20">
        <v>11525</v>
      </c>
      <c r="F8" s="20">
        <v>935</v>
      </c>
      <c r="G8" s="21">
        <v>5813</v>
      </c>
      <c r="H8" s="20">
        <v>754</v>
      </c>
      <c r="I8" s="20">
        <v>5248</v>
      </c>
      <c r="J8" s="4">
        <f t="shared" ref="J8:J28" si="0">H8-F8</f>
        <v>-181</v>
      </c>
      <c r="K8" s="18">
        <f t="shared" ref="K8:K28" si="1">H8/F8</f>
        <v>0.80641711229946522</v>
      </c>
      <c r="L8" s="19">
        <f t="shared" ref="L8:L28" si="2">I8-G8</f>
        <v>-565</v>
      </c>
      <c r="M8" s="26">
        <f t="shared" ref="M8:M28" si="3">I8/G8</f>
        <v>0.90280405986581802</v>
      </c>
    </row>
    <row r="9" spans="2:13" ht="19.5" customHeight="1">
      <c r="B9" s="187"/>
      <c r="C9" s="178" t="s">
        <v>10</v>
      </c>
      <c r="D9" s="179"/>
      <c r="E9" s="21">
        <v>6891</v>
      </c>
      <c r="F9" s="21">
        <v>544</v>
      </c>
      <c r="G9" s="21">
        <v>3434</v>
      </c>
      <c r="H9" s="21">
        <v>486</v>
      </c>
      <c r="I9" s="21">
        <v>3217</v>
      </c>
      <c r="J9" s="21">
        <f t="shared" si="0"/>
        <v>-58</v>
      </c>
      <c r="K9" s="22">
        <f t="shared" si="1"/>
        <v>0.89338235294117652</v>
      </c>
      <c r="L9" s="23">
        <f t="shared" si="2"/>
        <v>-217</v>
      </c>
      <c r="M9" s="27">
        <f t="shared" si="3"/>
        <v>0.93680838672102507</v>
      </c>
    </row>
    <row r="10" spans="2:13" ht="21.2" customHeight="1">
      <c r="B10" s="185" t="s">
        <v>22</v>
      </c>
      <c r="C10" s="188" t="s">
        <v>8</v>
      </c>
      <c r="D10" s="189"/>
      <c r="E10" s="45">
        <f>E11+E15</f>
        <v>113201331</v>
      </c>
      <c r="F10" s="45">
        <f>F11+F15</f>
        <v>9463641</v>
      </c>
      <c r="G10" s="45">
        <f>G11+G15</f>
        <v>55761696</v>
      </c>
      <c r="H10" s="45">
        <f>H11+H15</f>
        <v>7667469</v>
      </c>
      <c r="I10" s="45">
        <f>I11+I15</f>
        <v>53319894</v>
      </c>
      <c r="J10" s="45">
        <f t="shared" si="0"/>
        <v>-1796172</v>
      </c>
      <c r="K10" s="16">
        <f t="shared" si="1"/>
        <v>0.81020285955479499</v>
      </c>
      <c r="L10" s="49">
        <f>I10-G10</f>
        <v>-2441802</v>
      </c>
      <c r="M10" s="24">
        <f t="shared" si="3"/>
        <v>0.95621004784359498</v>
      </c>
    </row>
    <row r="11" spans="2:13" ht="19.5" customHeight="1">
      <c r="B11" s="186"/>
      <c r="C11" s="182" t="s">
        <v>1</v>
      </c>
      <c r="D11" s="99" t="s">
        <v>0</v>
      </c>
      <c r="E11" s="93">
        <f>SUM(E12:E14)</f>
        <v>102609234</v>
      </c>
      <c r="F11" s="93">
        <f>SUM(F12:F14)</f>
        <v>8546315</v>
      </c>
      <c r="G11" s="93">
        <f>SUM(G12:G14)</f>
        <v>50603559</v>
      </c>
      <c r="H11" s="93">
        <f>SUM(H12:H14)</f>
        <v>6827679</v>
      </c>
      <c r="I11" s="93">
        <f>SUM(I12:I14)</f>
        <v>47834472</v>
      </c>
      <c r="J11" s="94">
        <f t="shared" si="0"/>
        <v>-1718636</v>
      </c>
      <c r="K11" s="95">
        <f t="shared" si="1"/>
        <v>0.7989032700058446</v>
      </c>
      <c r="L11" s="96">
        <f t="shared" si="2"/>
        <v>-2769087</v>
      </c>
      <c r="M11" s="97">
        <f t="shared" si="3"/>
        <v>0.94527880934224406</v>
      </c>
    </row>
    <row r="12" spans="2:13" ht="19.5" customHeight="1">
      <c r="B12" s="186"/>
      <c r="C12" s="183"/>
      <c r="D12" s="5" t="s">
        <v>5</v>
      </c>
      <c r="E12" s="46">
        <v>80537389</v>
      </c>
      <c r="F12" s="46">
        <v>6669209</v>
      </c>
      <c r="G12" s="46">
        <v>39323032</v>
      </c>
      <c r="H12" s="46">
        <v>5582630</v>
      </c>
      <c r="I12" s="46">
        <v>38789116</v>
      </c>
      <c r="J12" s="94">
        <f t="shared" si="0"/>
        <v>-1086579</v>
      </c>
      <c r="K12" s="18">
        <f t="shared" si="1"/>
        <v>0.83707528134146048</v>
      </c>
      <c r="L12" s="48">
        <f t="shared" si="2"/>
        <v>-533916</v>
      </c>
      <c r="M12" s="26">
        <f t="shared" si="3"/>
        <v>0.98642230843237111</v>
      </c>
    </row>
    <row r="13" spans="2:13" ht="19.5" customHeight="1">
      <c r="B13" s="186"/>
      <c r="C13" s="183"/>
      <c r="D13" s="5" t="s">
        <v>6</v>
      </c>
      <c r="E13" s="46">
        <v>15743706</v>
      </c>
      <c r="F13" s="46">
        <v>1337189</v>
      </c>
      <c r="G13" s="46">
        <v>8207057</v>
      </c>
      <c r="H13" s="46">
        <v>991610</v>
      </c>
      <c r="I13" s="46">
        <v>6577491</v>
      </c>
      <c r="J13" s="94">
        <f t="shared" si="0"/>
        <v>-345579</v>
      </c>
      <c r="K13" s="18">
        <f t="shared" si="1"/>
        <v>0.74156308494909839</v>
      </c>
      <c r="L13" s="48">
        <f t="shared" si="2"/>
        <v>-1629566</v>
      </c>
      <c r="M13" s="26">
        <f t="shared" si="3"/>
        <v>0.8014433188413338</v>
      </c>
    </row>
    <row r="14" spans="2:13" ht="19.5" customHeight="1">
      <c r="B14" s="186"/>
      <c r="C14" s="184"/>
      <c r="D14" s="5" t="s">
        <v>13</v>
      </c>
      <c r="E14" s="46">
        <v>6328139</v>
      </c>
      <c r="F14" s="46">
        <v>539917</v>
      </c>
      <c r="G14" s="46">
        <v>3073470</v>
      </c>
      <c r="H14" s="46">
        <v>253439</v>
      </c>
      <c r="I14" s="46">
        <v>2467865</v>
      </c>
      <c r="J14" s="94">
        <f t="shared" si="0"/>
        <v>-286478</v>
      </c>
      <c r="K14" s="18">
        <f>H14/F14</f>
        <v>0.46940363055803019</v>
      </c>
      <c r="L14" s="48">
        <f t="shared" si="2"/>
        <v>-605605</v>
      </c>
      <c r="M14" s="26">
        <f t="shared" si="3"/>
        <v>0.80295724376681732</v>
      </c>
    </row>
    <row r="15" spans="2:13" ht="19.5" customHeight="1">
      <c r="B15" s="186"/>
      <c r="C15" s="194" t="s">
        <v>2</v>
      </c>
      <c r="D15" s="98" t="s">
        <v>0</v>
      </c>
      <c r="E15" s="88">
        <f>SUM(E16:E18)</f>
        <v>10592097</v>
      </c>
      <c r="F15" s="88">
        <f>SUM(F16:F18)</f>
        <v>917326</v>
      </c>
      <c r="G15" s="88">
        <f>SUM(G16:G18)</f>
        <v>5158137</v>
      </c>
      <c r="H15" s="88">
        <f>SUM(H16:H18)</f>
        <v>839790</v>
      </c>
      <c r="I15" s="88">
        <f>SUM(I16:I18)</f>
        <v>5485422</v>
      </c>
      <c r="J15" s="89">
        <f t="shared" si="0"/>
        <v>-77536</v>
      </c>
      <c r="K15" s="90">
        <f t="shared" si="1"/>
        <v>0.9154760684860126</v>
      </c>
      <c r="L15" s="91">
        <f t="shared" si="2"/>
        <v>327285</v>
      </c>
      <c r="M15" s="92">
        <f t="shared" si="3"/>
        <v>1.0634502340670673</v>
      </c>
    </row>
    <row r="16" spans="2:13" ht="19.5" customHeight="1">
      <c r="B16" s="186"/>
      <c r="C16" s="195"/>
      <c r="D16" s="5" t="s">
        <v>3</v>
      </c>
      <c r="E16" s="46">
        <v>7499173</v>
      </c>
      <c r="F16" s="46">
        <v>645942</v>
      </c>
      <c r="G16" s="46">
        <v>3609124</v>
      </c>
      <c r="H16" s="46">
        <v>620299</v>
      </c>
      <c r="I16" s="46">
        <v>3942232</v>
      </c>
      <c r="J16" s="89">
        <f t="shared" si="0"/>
        <v>-25643</v>
      </c>
      <c r="K16" s="18">
        <f t="shared" si="1"/>
        <v>0.96030138928882158</v>
      </c>
      <c r="L16" s="48">
        <f t="shared" si="2"/>
        <v>333108</v>
      </c>
      <c r="M16" s="26">
        <f t="shared" si="3"/>
        <v>1.092296080710998</v>
      </c>
    </row>
    <row r="17" spans="1:13" ht="19.5" customHeight="1">
      <c r="B17" s="186"/>
      <c r="C17" s="195"/>
      <c r="D17" s="6" t="s">
        <v>4</v>
      </c>
      <c r="E17" s="47">
        <v>3086684</v>
      </c>
      <c r="F17" s="47">
        <v>271384</v>
      </c>
      <c r="G17" s="47">
        <v>1549013</v>
      </c>
      <c r="H17" s="47">
        <v>216972</v>
      </c>
      <c r="I17" s="47">
        <v>1534269</v>
      </c>
      <c r="J17" s="173">
        <v>0</v>
      </c>
      <c r="K17" s="18">
        <f t="shared" si="1"/>
        <v>0.79950181292928102</v>
      </c>
      <c r="L17" s="48">
        <f t="shared" si="2"/>
        <v>-14744</v>
      </c>
      <c r="M17" s="26">
        <f t="shared" si="3"/>
        <v>0.99048168091552491</v>
      </c>
    </row>
    <row r="18" spans="1:13" ht="19.5" customHeight="1">
      <c r="B18" s="187"/>
      <c r="C18" s="196"/>
      <c r="D18" s="6" t="s">
        <v>17</v>
      </c>
      <c r="E18" s="47">
        <v>6240</v>
      </c>
      <c r="F18" s="165">
        <v>0</v>
      </c>
      <c r="G18" s="165">
        <v>0</v>
      </c>
      <c r="H18" s="47">
        <v>2519</v>
      </c>
      <c r="I18" s="47">
        <v>8921</v>
      </c>
      <c r="J18" s="89">
        <f t="shared" si="0"/>
        <v>2519</v>
      </c>
      <c r="K18" s="18" t="e">
        <f t="shared" si="1"/>
        <v>#DIV/0!</v>
      </c>
      <c r="L18" s="48">
        <f t="shared" si="2"/>
        <v>8921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90" t="s">
        <v>23</v>
      </c>
      <c r="L19" s="191"/>
      <c r="M19" s="192"/>
    </row>
    <row r="20" spans="1:13" ht="21.2" customHeight="1">
      <c r="B20" s="28"/>
      <c r="C20" s="188" t="s">
        <v>8</v>
      </c>
      <c r="D20" s="189"/>
      <c r="E20" s="105">
        <f>SUM(E21,E25)</f>
        <v>725047</v>
      </c>
      <c r="F20" s="3">
        <f>SUM(F21,F25)</f>
        <v>61601</v>
      </c>
      <c r="G20" s="3">
        <f>SUM(G21,G25)</f>
        <v>348369</v>
      </c>
      <c r="H20" s="105">
        <f>SUM(H21,H25)</f>
        <v>68224</v>
      </c>
      <c r="I20" s="105">
        <f>SUM(I21,I25)</f>
        <v>362471</v>
      </c>
      <c r="J20" s="106">
        <f t="shared" si="0"/>
        <v>6623</v>
      </c>
      <c r="K20" s="107">
        <f t="shared" si="1"/>
        <v>1.1075144884011623</v>
      </c>
      <c r="L20" s="108">
        <f t="shared" si="2"/>
        <v>14102</v>
      </c>
      <c r="M20" s="24">
        <f>I20/G20</f>
        <v>1.0404800656774857</v>
      </c>
    </row>
    <row r="21" spans="1:13" ht="19.5" customHeight="1">
      <c r="B21" s="25"/>
      <c r="C21" s="175" t="s">
        <v>1</v>
      </c>
      <c r="D21" s="100" t="s">
        <v>0</v>
      </c>
      <c r="E21" s="101">
        <f>SUM(E22:E24)</f>
        <v>725047</v>
      </c>
      <c r="F21" s="101">
        <f>SUM(F22:F24)</f>
        <v>61601</v>
      </c>
      <c r="G21" s="101">
        <f>SUM(G22:G24)</f>
        <v>348369</v>
      </c>
      <c r="H21" s="101">
        <f>SUM(H22:H24)</f>
        <v>68224</v>
      </c>
      <c r="I21" s="101">
        <f>SUM(I22:I24)</f>
        <v>362471</v>
      </c>
      <c r="J21" s="102">
        <f t="shared" si="0"/>
        <v>6623</v>
      </c>
      <c r="K21" s="103">
        <f t="shared" si="1"/>
        <v>1.1075144884011623</v>
      </c>
      <c r="L21" s="104">
        <f t="shared" si="2"/>
        <v>14102</v>
      </c>
      <c r="M21" s="97">
        <f t="shared" si="3"/>
        <v>1.0404800656774857</v>
      </c>
    </row>
    <row r="22" spans="1:13" ht="19.5" customHeight="1">
      <c r="B22" s="169" t="s">
        <v>19</v>
      </c>
      <c r="C22" s="175"/>
      <c r="D22" s="52" t="s">
        <v>5</v>
      </c>
      <c r="E22" s="54">
        <v>359665</v>
      </c>
      <c r="F22" s="54">
        <v>31491</v>
      </c>
      <c r="G22" s="54">
        <v>175073</v>
      </c>
      <c r="H22" s="54">
        <v>32589</v>
      </c>
      <c r="I22" s="54">
        <v>178588</v>
      </c>
      <c r="J22" s="102">
        <f t="shared" si="0"/>
        <v>1098</v>
      </c>
      <c r="K22" s="51">
        <f t="shared" si="1"/>
        <v>1.0348671048871105</v>
      </c>
      <c r="L22" s="23">
        <f t="shared" si="2"/>
        <v>3515</v>
      </c>
      <c r="M22" s="26">
        <f t="shared" si="3"/>
        <v>1.0200773391670903</v>
      </c>
    </row>
    <row r="23" spans="1:13" ht="19.5" customHeight="1">
      <c r="B23" s="169" t="s">
        <v>20</v>
      </c>
      <c r="C23" s="175"/>
      <c r="D23" s="2" t="s">
        <v>14</v>
      </c>
      <c r="E23" s="54">
        <v>353048</v>
      </c>
      <c r="F23" s="54">
        <v>29323</v>
      </c>
      <c r="G23" s="54">
        <v>167440</v>
      </c>
      <c r="H23" s="54">
        <v>34949</v>
      </c>
      <c r="I23" s="54">
        <v>177253</v>
      </c>
      <c r="J23" s="102">
        <f t="shared" si="0"/>
        <v>5626</v>
      </c>
      <c r="K23" s="51">
        <f t="shared" si="1"/>
        <v>1.1918630426627561</v>
      </c>
      <c r="L23" s="19">
        <f t="shared" si="2"/>
        <v>9813</v>
      </c>
      <c r="M23" s="26">
        <f t="shared" si="3"/>
        <v>1.0586060678451983</v>
      </c>
    </row>
    <row r="24" spans="1:13" ht="19.5" customHeight="1">
      <c r="B24" s="31"/>
      <c r="C24" s="175"/>
      <c r="D24" s="2" t="s">
        <v>13</v>
      </c>
      <c r="E24" s="54">
        <v>12334</v>
      </c>
      <c r="F24" s="54">
        <v>787</v>
      </c>
      <c r="G24" s="54">
        <v>5856</v>
      </c>
      <c r="H24" s="54">
        <v>686</v>
      </c>
      <c r="I24" s="54">
        <v>6630</v>
      </c>
      <c r="J24" s="102">
        <f t="shared" si="0"/>
        <v>-101</v>
      </c>
      <c r="K24" s="51">
        <f t="shared" si="1"/>
        <v>0.87166454891994916</v>
      </c>
      <c r="L24" s="19">
        <f t="shared" si="2"/>
        <v>774</v>
      </c>
      <c r="M24" s="26">
        <f t="shared" si="3"/>
        <v>1.132172131147541</v>
      </c>
    </row>
    <row r="25" spans="1:13" ht="19.5" customHeight="1">
      <c r="B25" s="25"/>
      <c r="C25" s="213" t="s">
        <v>2</v>
      </c>
      <c r="D25" s="100" t="s">
        <v>72</v>
      </c>
      <c r="E25" s="101">
        <f>SUM(E26:E27)</f>
        <v>0</v>
      </c>
      <c r="F25" s="101">
        <f>SUM(F26:F27)</f>
        <v>0</v>
      </c>
      <c r="G25" s="101">
        <f>SUM(G26:G27)</f>
        <v>0</v>
      </c>
      <c r="H25" s="101">
        <f>SUM(H26:H27)</f>
        <v>0</v>
      </c>
      <c r="I25" s="101">
        <f>SUM(I26:I27)</f>
        <v>0</v>
      </c>
      <c r="J25" s="102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213"/>
      <c r="D26" s="100" t="s">
        <v>72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2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213"/>
      <c r="D27" s="100" t="s">
        <v>72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2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6" customFormat="1" ht="21.2" customHeight="1" thickBot="1">
      <c r="B28" s="214" t="s">
        <v>69</v>
      </c>
      <c r="C28" s="215"/>
      <c r="D28" s="216"/>
      <c r="E28" s="147">
        <v>1523131</v>
      </c>
      <c r="F28" s="174">
        <v>138387</v>
      </c>
      <c r="G28" s="174">
        <v>744370</v>
      </c>
      <c r="H28" s="147">
        <v>70020</v>
      </c>
      <c r="I28" s="147">
        <v>566521</v>
      </c>
      <c r="J28" s="148">
        <f t="shared" si="0"/>
        <v>-68367</v>
      </c>
      <c r="K28" s="149">
        <f t="shared" si="1"/>
        <v>0.50597238179886839</v>
      </c>
      <c r="L28" s="150">
        <f t="shared" si="2"/>
        <v>-177849</v>
      </c>
      <c r="M28" s="151">
        <f t="shared" si="3"/>
        <v>0.76107446565552073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9" customFormat="1" ht="18.75" customHeight="1">
      <c r="A30" s="219" t="s">
        <v>27</v>
      </c>
    </row>
    <row r="31" spans="1:13" s="53" customFormat="1" ht="21.2" customHeight="1">
      <c r="B31" s="218" t="s">
        <v>24</v>
      </c>
      <c r="C31" s="218"/>
      <c r="D31" s="133"/>
      <c r="E31" s="133"/>
      <c r="F31" s="133"/>
      <c r="G31" s="133"/>
      <c r="H31" s="218" t="s">
        <v>25</v>
      </c>
      <c r="I31" s="218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7" customFormat="1" ht="24" customHeight="1"/>
    <row r="41" spans="2:13" ht="19.5" customHeight="1">
      <c r="B41" s="211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</row>
    <row r="42" spans="2:13" ht="19.5" customHeight="1">
      <c r="B42" s="211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G4" sqref="G4"/>
    </sheetView>
  </sheetViews>
  <sheetFormatPr defaultRowHeight="14.25"/>
  <cols>
    <col min="1" max="1" width="11.25" customWidth="1"/>
    <col min="2" max="6" width="8.75" customWidth="1"/>
    <col min="7" max="7" width="9.75" customWidth="1"/>
    <col min="8" max="8" width="12.125" customWidth="1"/>
    <col min="9" max="13" width="8.875" customWidth="1"/>
    <col min="14" max="14" width="13.37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6"/>
      <c r="E2" s="166"/>
      <c r="F2" s="220" t="s">
        <v>75</v>
      </c>
      <c r="G2" s="220"/>
      <c r="H2"/>
      <c r="I2"/>
      <c r="J2"/>
      <c r="K2" s="166"/>
      <c r="L2" s="166"/>
      <c r="M2" s="220" t="s">
        <v>29</v>
      </c>
      <c r="N2" s="220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7">
        <v>20.6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8">
        <f>$G$3</f>
        <v>20.6</v>
      </c>
    </row>
    <row r="4" spans="1:27" s="58" customFormat="1" ht="39.200000000000003" customHeight="1" thickBot="1">
      <c r="A4" s="85" t="s">
        <v>31</v>
      </c>
      <c r="B4" s="62">
        <v>19166</v>
      </c>
      <c r="C4" s="62">
        <v>19916</v>
      </c>
      <c r="D4" s="62">
        <v>19440</v>
      </c>
      <c r="E4" s="62">
        <v>18829</v>
      </c>
      <c r="F4" s="62">
        <v>18385</v>
      </c>
      <c r="G4" s="109">
        <f>통계요약!I7</f>
        <v>8465</v>
      </c>
      <c r="H4" s="85" t="s">
        <v>32</v>
      </c>
      <c r="I4" s="62">
        <v>102121</v>
      </c>
      <c r="J4" s="62">
        <v>112948</v>
      </c>
      <c r="K4" s="62">
        <v>112491</v>
      </c>
      <c r="L4" s="62">
        <v>115147</v>
      </c>
      <c r="M4" s="62">
        <v>112966</v>
      </c>
      <c r="N4" s="120">
        <f>통계요약!I10/1000</f>
        <v>53319.894</v>
      </c>
    </row>
    <row r="5" spans="1:27" s="58" customFormat="1" ht="30.2" customHeight="1" thickBot="1">
      <c r="A5"/>
      <c r="B5"/>
      <c r="C5"/>
      <c r="D5" s="166"/>
      <c r="E5" s="166"/>
      <c r="F5" s="221" t="s">
        <v>33</v>
      </c>
      <c r="G5" s="221"/>
      <c r="H5" s="63"/>
      <c r="I5" s="64"/>
      <c r="J5" s="64"/>
      <c r="K5" s="166"/>
      <c r="L5" s="166"/>
      <c r="M5" s="221" t="s">
        <v>34</v>
      </c>
      <c r="N5" s="221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8">
        <f>$G$3</f>
        <v>20.6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8">
        <f>$G$3</f>
        <v>20.6</v>
      </c>
    </row>
    <row r="7" spans="1:27" s="58" customFormat="1" ht="37.5" customHeight="1" thickBot="1">
      <c r="A7" s="85" t="s">
        <v>35</v>
      </c>
      <c r="B7" s="124">
        <v>565661</v>
      </c>
      <c r="C7" s="124">
        <v>623339</v>
      </c>
      <c r="D7" s="124">
        <v>643233</v>
      </c>
      <c r="E7" s="124">
        <v>689852</v>
      </c>
      <c r="F7" s="124">
        <v>723427</v>
      </c>
      <c r="G7" s="125">
        <f>통계요약!I20</f>
        <v>362471</v>
      </c>
      <c r="H7" s="85" t="s">
        <v>36</v>
      </c>
      <c r="I7" s="62">
        <v>494740</v>
      </c>
      <c r="J7" s="62">
        <v>435104</v>
      </c>
      <c r="K7" s="62">
        <v>482428</v>
      </c>
      <c r="L7" s="62">
        <v>452480</v>
      </c>
      <c r="M7" s="62">
        <v>623733</v>
      </c>
      <c r="N7" s="152">
        <v>40267</v>
      </c>
      <c r="AA7" s="140">
        <f>(19166/188141)^(1/4)-1</f>
        <v>-0.43504740355323723</v>
      </c>
    </row>
    <row r="12" spans="1:27" s="70" customFormat="1" ht="25.5" customHeight="1">
      <c r="A12" s="70" t="s">
        <v>37</v>
      </c>
    </row>
    <row r="13" spans="1:27" s="58" customFormat="1" ht="21.2" customHeight="1">
      <c r="A13" s="132" t="s">
        <v>52</v>
      </c>
      <c r="H13" s="132" t="s">
        <v>51</v>
      </c>
      <c r="I13" s="65"/>
      <c r="J13" s="66"/>
      <c r="K13" s="67"/>
      <c r="L13" s="68"/>
      <c r="M13" s="68"/>
      <c r="N13" s="68"/>
    </row>
    <row r="14" spans="1:27" s="58" customFormat="1" ht="24" customHeight="1">
      <c r="I14" s="65"/>
      <c r="J14" s="66"/>
      <c r="K14" s="67"/>
      <c r="L14" s="68"/>
      <c r="M14" s="68"/>
      <c r="N14" s="68"/>
    </row>
    <row r="15" spans="1:27" s="58" customFormat="1" ht="24" customHeight="1">
      <c r="I15" s="65"/>
      <c r="J15" s="66"/>
      <c r="K15" s="67"/>
      <c r="L15" s="68"/>
      <c r="M15" s="68"/>
      <c r="N15" s="68"/>
    </row>
    <row r="16" spans="1:27" s="58" customFormat="1" ht="24" customHeight="1">
      <c r="I16" s="65"/>
      <c r="J16" s="66"/>
      <c r="K16" s="67"/>
      <c r="L16" s="68"/>
      <c r="M16" s="68"/>
      <c r="N16" s="68"/>
    </row>
    <row r="17" spans="1:14" s="58" customFormat="1" ht="24" customHeight="1">
      <c r="I17" s="65"/>
      <c r="J17" s="66"/>
      <c r="K17" s="67"/>
      <c r="L17" s="68"/>
      <c r="M17" s="68"/>
      <c r="N17" s="68"/>
    </row>
    <row r="18" spans="1:14" s="58" customFormat="1" ht="24" customHeight="1">
      <c r="I18" s="65"/>
      <c r="J18" s="66"/>
      <c r="K18" s="67"/>
      <c r="L18" s="68"/>
      <c r="M18" s="68"/>
      <c r="N18" s="68"/>
    </row>
    <row r="19" spans="1:14" s="58" customFormat="1" ht="24" customHeight="1">
      <c r="I19" s="65"/>
      <c r="J19" s="66"/>
      <c r="K19" s="67"/>
      <c r="L19" s="68"/>
      <c r="M19" s="68"/>
      <c r="N19" s="68"/>
    </row>
    <row r="20" spans="1:14" s="58" customFormat="1" ht="24" customHeight="1">
      <c r="I20" s="65"/>
      <c r="J20" s="66"/>
      <c r="K20" s="67"/>
      <c r="L20" s="68"/>
      <c r="M20" s="68"/>
      <c r="N20" s="68"/>
    </row>
    <row r="21" spans="1:14" s="58" customFormat="1" ht="24" customHeight="1">
      <c r="I21" s="65"/>
      <c r="J21" s="66"/>
      <c r="K21" s="67"/>
      <c r="L21" s="68"/>
      <c r="M21" s="68"/>
      <c r="N21" s="68"/>
    </row>
    <row r="22" spans="1:14" s="58" customFormat="1" ht="36" customHeight="1">
      <c r="I22" s="65"/>
      <c r="J22" s="66"/>
      <c r="K22" s="67"/>
      <c r="L22" s="68"/>
      <c r="M22" s="68"/>
      <c r="N22" s="68"/>
    </row>
    <row r="23" spans="1:14" s="58" customFormat="1" ht="27.75" customHeight="1">
      <c r="A23" s="69" t="s">
        <v>25</v>
      </c>
      <c r="H23" s="132" t="s">
        <v>50</v>
      </c>
      <c r="I23" s="65"/>
      <c r="J23" s="66"/>
      <c r="K23" s="67"/>
      <c r="L23" s="68"/>
      <c r="M23" s="68"/>
      <c r="N23" s="68"/>
    </row>
    <row r="24" spans="1:14" s="58" customFormat="1" ht="24" customHeight="1">
      <c r="I24" s="65"/>
      <c r="J24" s="66"/>
      <c r="K24" s="67"/>
      <c r="L24" s="68"/>
      <c r="M24" s="68"/>
      <c r="N24" s="68"/>
    </row>
    <row r="25" spans="1:14" s="58" customFormat="1" ht="24" customHeight="1">
      <c r="I25" s="65"/>
      <c r="J25" s="66"/>
      <c r="K25" s="67"/>
      <c r="L25" s="68"/>
      <c r="M25" s="68"/>
      <c r="N25" s="68"/>
    </row>
    <row r="26" spans="1:14" s="58" customFormat="1" ht="24" customHeight="1">
      <c r="I26" s="65"/>
      <c r="J26" s="66"/>
      <c r="K26" s="67"/>
      <c r="L26" s="68"/>
      <c r="M26" s="68"/>
      <c r="N26" s="68"/>
    </row>
    <row r="27" spans="1:14" s="58" customFormat="1" ht="24" customHeight="1">
      <c r="I27" s="65"/>
      <c r="J27" s="66"/>
      <c r="K27" s="67"/>
      <c r="L27" s="68"/>
      <c r="M27" s="68"/>
      <c r="N27" s="68"/>
    </row>
    <row r="28" spans="1:14" s="58" customFormat="1" ht="24" customHeight="1">
      <c r="I28" s="65"/>
      <c r="J28" s="66"/>
      <c r="K28" s="67"/>
      <c r="L28" s="68"/>
      <c r="M28" s="68"/>
      <c r="N28" s="68"/>
    </row>
    <row r="29" spans="1:14" s="58" customFormat="1" ht="24" customHeight="1">
      <c r="I29" s="65"/>
      <c r="J29" s="66"/>
      <c r="K29" s="67"/>
      <c r="L29" s="68"/>
      <c r="M29" s="68"/>
      <c r="N29" s="68"/>
    </row>
    <row r="30" spans="1:14" s="58" customFormat="1" ht="24" customHeight="1">
      <c r="I30" s="65"/>
      <c r="J30" s="66"/>
      <c r="K30" s="67"/>
      <c r="L30" s="68"/>
      <c r="M30" s="68"/>
      <c r="N30" s="68"/>
    </row>
    <row r="31" spans="1:14" s="58" customFormat="1" ht="24" customHeight="1">
      <c r="I31" s="65"/>
      <c r="J31" s="66"/>
      <c r="K31" s="67"/>
      <c r="L31" s="68"/>
      <c r="M31" s="68"/>
      <c r="N31" s="68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4" sqref="E4"/>
    </sheetView>
  </sheetViews>
  <sheetFormatPr defaultColWidth="10" defaultRowHeight="13.5"/>
  <cols>
    <col min="1" max="1" width="10" style="71" customWidth="1"/>
    <col min="2" max="2" width="5.75" style="71" customWidth="1"/>
    <col min="3" max="3" width="1" style="71" customWidth="1"/>
    <col min="4" max="4" width="8" style="71" customWidth="1"/>
    <col min="5" max="5" width="14.875" style="71" bestFit="1" customWidth="1"/>
    <col min="6" max="6" width="11" style="71" customWidth="1"/>
    <col min="7" max="7" width="13.25" style="71" customWidth="1"/>
    <col min="8" max="8" width="11" style="71" customWidth="1"/>
    <col min="9" max="9" width="13.25" style="71" customWidth="1"/>
    <col min="10" max="10" width="12.25" style="71" customWidth="1"/>
    <col min="11" max="13" width="11" style="71" customWidth="1"/>
    <col min="14" max="16384" width="10" style="71"/>
  </cols>
  <sheetData>
    <row r="1" spans="1:13" ht="50.25" customHeight="1" thickBot="1">
      <c r="A1" s="87" t="s">
        <v>38</v>
      </c>
      <c r="J1" s="72"/>
      <c r="K1" s="73"/>
      <c r="L1" s="74"/>
      <c r="M1" s="75"/>
    </row>
    <row r="2" spans="1:13" ht="21.95" customHeight="1">
      <c r="A2" s="228" t="s">
        <v>39</v>
      </c>
      <c r="B2" s="229"/>
      <c r="C2" s="229"/>
      <c r="D2" s="232" t="s">
        <v>40</v>
      </c>
      <c r="E2" s="76"/>
      <c r="F2" s="234" t="s">
        <v>73</v>
      </c>
      <c r="G2" s="235"/>
      <c r="H2" s="222" t="s">
        <v>74</v>
      </c>
      <c r="I2" s="222"/>
      <c r="J2" s="222" t="s">
        <v>41</v>
      </c>
      <c r="K2" s="222"/>
      <c r="L2" s="222"/>
      <c r="M2" s="223"/>
    </row>
    <row r="3" spans="1:13" ht="21.95" customHeight="1">
      <c r="A3" s="230"/>
      <c r="B3" s="231"/>
      <c r="C3" s="231"/>
      <c r="D3" s="233"/>
      <c r="E3" s="77" t="s">
        <v>42</v>
      </c>
      <c r="F3" s="77" t="str">
        <f>통계요약!F6</f>
        <v>6월(A)</v>
      </c>
      <c r="G3" s="77" t="str">
        <f>통계요약!G6</f>
        <v>6월누계(B)</v>
      </c>
      <c r="H3" s="77" t="str">
        <f>통계요약!H6</f>
        <v>6월(C)</v>
      </c>
      <c r="I3" s="77" t="str">
        <f>통계요약!I6</f>
        <v>6월누계(D)</v>
      </c>
      <c r="J3" s="77" t="s">
        <v>43</v>
      </c>
      <c r="K3" s="78" t="s">
        <v>44</v>
      </c>
      <c r="L3" s="79" t="s">
        <v>45</v>
      </c>
      <c r="M3" s="126" t="s">
        <v>44</v>
      </c>
    </row>
    <row r="4" spans="1:13" ht="21.95" customHeight="1">
      <c r="A4" s="224" t="s">
        <v>46</v>
      </c>
      <c r="B4" s="225"/>
      <c r="C4" s="225"/>
      <c r="D4" s="80" t="s">
        <v>47</v>
      </c>
      <c r="E4" s="121">
        <f>SUM(E6,E8,E10,E12,E14,E16,E18,E22,E24,E26,E28,E20,)</f>
        <v>724877</v>
      </c>
      <c r="F4" s="121">
        <f>SUM(F6,F8,F10,F12,F14,F16,F18,F22,F24,F26,F28,F20)</f>
        <v>61601</v>
      </c>
      <c r="G4" s="121">
        <f>SUM(G6,G8,G10,G12,G14,G16,G18,G22,G24,G26,G28,G20)</f>
        <v>348297</v>
      </c>
      <c r="H4" s="121">
        <f>SUM(H6,H8,H12,H14,H16,H18,H22,H24,H26,H28,H20,H10)</f>
        <v>68224</v>
      </c>
      <c r="I4" s="121">
        <f>SUM(I6,I8,I12,I14,I16,I18,I22,I24,I26,I28,I20,I10)</f>
        <v>362471</v>
      </c>
      <c r="J4" s="110">
        <f t="shared" ref="J4:J27" si="0">H4-F4</f>
        <v>6623</v>
      </c>
      <c r="K4" s="111">
        <f t="shared" ref="K4:K27" si="1">(H4/F4*100)-100</f>
        <v>10.751448840116225</v>
      </c>
      <c r="L4" s="112">
        <f t="shared" ref="L4:L27" si="2">I4-G4</f>
        <v>14174</v>
      </c>
      <c r="M4" s="127">
        <f t="shared" ref="M4:M27" si="3">(I4/G4*100)-100</f>
        <v>4.0695153848583345</v>
      </c>
    </row>
    <row r="5" spans="1:13" ht="21.95" customHeight="1">
      <c r="A5" s="224"/>
      <c r="B5" s="225"/>
      <c r="C5" s="225"/>
      <c r="D5" s="80" t="s">
        <v>48</v>
      </c>
      <c r="E5" s="121">
        <f>SUM(E7,E9,E11,E13,E15,E17,E19,E23,E25,E27,E29,E21)</f>
        <v>11048672</v>
      </c>
      <c r="F5" s="121">
        <f>SUM(F7,F9,F11,F13,F15,F17,F19,F23,F25,F27,F29,F21)</f>
        <v>895288</v>
      </c>
      <c r="G5" s="121">
        <f>SUM(G7,G9,G11,G13,G15,G17,G19,G23,G25,G27,G29,G21)</f>
        <v>5558575</v>
      </c>
      <c r="H5" s="121">
        <f>SUM(H7,H9,H13,H15,H17,H19,H23,H25,H27,H29,H21,H11)</f>
        <v>1033586</v>
      </c>
      <c r="I5" s="121">
        <f>SUM(I7,I9,I13,I15,I17,I19,I23,I25,I27,I29,I21,I11)</f>
        <v>5422010</v>
      </c>
      <c r="J5" s="110">
        <f t="shared" si="0"/>
        <v>138298</v>
      </c>
      <c r="K5" s="111">
        <f t="shared" si="1"/>
        <v>15.44731974515463</v>
      </c>
      <c r="L5" s="112">
        <f t="shared" si="2"/>
        <v>-136565</v>
      </c>
      <c r="M5" s="127">
        <f t="shared" si="3"/>
        <v>-2.4568347103349311</v>
      </c>
    </row>
    <row r="6" spans="1:13" ht="21.2" customHeight="1">
      <c r="A6" s="226" t="s">
        <v>53</v>
      </c>
      <c r="B6" s="227"/>
      <c r="C6" s="227"/>
      <c r="D6" s="81" t="s">
        <v>47</v>
      </c>
      <c r="E6" s="122">
        <v>35729</v>
      </c>
      <c r="F6" s="122">
        <v>3044</v>
      </c>
      <c r="G6" s="122">
        <v>16686</v>
      </c>
      <c r="H6" s="122">
        <v>3082</v>
      </c>
      <c r="I6" s="122">
        <v>16795</v>
      </c>
      <c r="J6" s="113">
        <f t="shared" ref="J6:J18" si="4">H6-F6</f>
        <v>38</v>
      </c>
      <c r="K6" s="114">
        <f t="shared" ref="K6:K17" si="5">(H6/F6*100)-100</f>
        <v>1.2483574244415081</v>
      </c>
      <c r="L6" s="115">
        <f t="shared" si="2"/>
        <v>109</v>
      </c>
      <c r="M6" s="128">
        <f t="shared" si="3"/>
        <v>0.65324223900276479</v>
      </c>
    </row>
    <row r="7" spans="1:13" ht="21.2" customHeight="1">
      <c r="A7" s="226"/>
      <c r="B7" s="227"/>
      <c r="C7" s="227"/>
      <c r="D7" s="81" t="s">
        <v>48</v>
      </c>
      <c r="E7" s="122">
        <v>661078</v>
      </c>
      <c r="F7" s="122">
        <v>56463</v>
      </c>
      <c r="G7" s="122">
        <v>313549</v>
      </c>
      <c r="H7" s="122">
        <v>56146</v>
      </c>
      <c r="I7" s="122">
        <v>308497</v>
      </c>
      <c r="J7" s="113">
        <f t="shared" si="4"/>
        <v>-317</v>
      </c>
      <c r="K7" s="114">
        <f t="shared" si="5"/>
        <v>-0.56142960877035364</v>
      </c>
      <c r="L7" s="115">
        <f t="shared" si="2"/>
        <v>-5052</v>
      </c>
      <c r="M7" s="128">
        <f t="shared" si="3"/>
        <v>-1.6112314183747998</v>
      </c>
    </row>
    <row r="8" spans="1:13" ht="21.2" customHeight="1">
      <c r="A8" s="226" t="s">
        <v>54</v>
      </c>
      <c r="B8" s="227"/>
      <c r="C8" s="227"/>
      <c r="D8" s="81" t="s">
        <v>47</v>
      </c>
      <c r="E8" s="122">
        <v>59188</v>
      </c>
      <c r="F8" s="122">
        <v>5604</v>
      </c>
      <c r="G8" s="122">
        <v>30650</v>
      </c>
      <c r="H8" s="122">
        <v>5577</v>
      </c>
      <c r="I8" s="122">
        <v>29211</v>
      </c>
      <c r="J8" s="113">
        <f t="shared" si="4"/>
        <v>-27</v>
      </c>
      <c r="K8" s="114">
        <f t="shared" si="5"/>
        <v>-0.48179871520342488</v>
      </c>
      <c r="L8" s="115">
        <f t="shared" si="2"/>
        <v>-1439</v>
      </c>
      <c r="M8" s="128">
        <f t="shared" si="3"/>
        <v>-4.694942903752036</v>
      </c>
    </row>
    <row r="9" spans="1:13" ht="21.2" customHeight="1">
      <c r="A9" s="226"/>
      <c r="B9" s="227"/>
      <c r="C9" s="227"/>
      <c r="D9" s="81" t="s">
        <v>48</v>
      </c>
      <c r="E9" s="122">
        <v>905440</v>
      </c>
      <c r="F9" s="122">
        <v>82866</v>
      </c>
      <c r="G9" s="122">
        <v>463773</v>
      </c>
      <c r="H9" s="122">
        <v>85130</v>
      </c>
      <c r="I9" s="122">
        <v>459990</v>
      </c>
      <c r="J9" s="113">
        <f t="shared" si="4"/>
        <v>2264</v>
      </c>
      <c r="K9" s="114">
        <f t="shared" si="5"/>
        <v>2.7321217387106884</v>
      </c>
      <c r="L9" s="115">
        <f t="shared" si="2"/>
        <v>-3783</v>
      </c>
      <c r="M9" s="128">
        <f t="shared" si="3"/>
        <v>-0.81570078465111351</v>
      </c>
    </row>
    <row r="10" spans="1:13" ht="21.2" customHeight="1">
      <c r="A10" s="236" t="s">
        <v>66</v>
      </c>
      <c r="B10" s="237"/>
      <c r="C10" s="238"/>
      <c r="D10" s="81" t="s">
        <v>47</v>
      </c>
      <c r="E10" s="122">
        <v>1727</v>
      </c>
      <c r="F10" s="122">
        <v>103</v>
      </c>
      <c r="G10" s="122">
        <v>514</v>
      </c>
      <c r="H10" s="164">
        <v>0</v>
      </c>
      <c r="I10" s="164">
        <v>0</v>
      </c>
      <c r="J10" s="113">
        <f t="shared" si="4"/>
        <v>-103</v>
      </c>
      <c r="K10" s="114">
        <f t="shared" si="5"/>
        <v>-100</v>
      </c>
      <c r="L10" s="115">
        <f t="shared" si="2"/>
        <v>-514</v>
      </c>
      <c r="M10" s="128">
        <f t="shared" si="3"/>
        <v>-100</v>
      </c>
    </row>
    <row r="11" spans="1:13" ht="21.2" customHeight="1">
      <c r="A11" s="239"/>
      <c r="B11" s="240"/>
      <c r="C11" s="241"/>
      <c r="D11" s="81" t="s">
        <v>65</v>
      </c>
      <c r="E11" s="122">
        <v>36095</v>
      </c>
      <c r="F11" s="122">
        <v>1589</v>
      </c>
      <c r="G11" s="122">
        <v>9164</v>
      </c>
      <c r="H11" s="164">
        <v>0</v>
      </c>
      <c r="I11" s="164">
        <v>0</v>
      </c>
      <c r="J11" s="113">
        <f t="shared" si="4"/>
        <v>-1589</v>
      </c>
      <c r="K11" s="114">
        <f t="shared" si="5"/>
        <v>-100</v>
      </c>
      <c r="L11" s="115">
        <f t="shared" si="2"/>
        <v>-9164</v>
      </c>
      <c r="M11" s="128">
        <f t="shared" si="3"/>
        <v>-100</v>
      </c>
    </row>
    <row r="12" spans="1:13" ht="21.2" customHeight="1">
      <c r="A12" s="226" t="s">
        <v>55</v>
      </c>
      <c r="B12" s="227"/>
      <c r="C12" s="227"/>
      <c r="D12" s="81" t="s">
        <v>47</v>
      </c>
      <c r="E12" s="122">
        <v>60588</v>
      </c>
      <c r="F12" s="122">
        <v>6231</v>
      </c>
      <c r="G12" s="122">
        <v>26844</v>
      </c>
      <c r="H12" s="122">
        <v>10459</v>
      </c>
      <c r="I12" s="122">
        <v>39536</v>
      </c>
      <c r="J12" s="113">
        <f t="shared" si="4"/>
        <v>4228</v>
      </c>
      <c r="K12" s="114">
        <f t="shared" si="5"/>
        <v>67.854277002086349</v>
      </c>
      <c r="L12" s="115">
        <f t="shared" si="2"/>
        <v>12692</v>
      </c>
      <c r="M12" s="128">
        <f t="shared" si="3"/>
        <v>47.280584115631058</v>
      </c>
    </row>
    <row r="13" spans="1:13" ht="21.2" customHeight="1">
      <c r="A13" s="226"/>
      <c r="B13" s="227"/>
      <c r="C13" s="227"/>
      <c r="D13" s="81" t="s">
        <v>48</v>
      </c>
      <c r="E13" s="122">
        <v>474427</v>
      </c>
      <c r="F13" s="122">
        <v>33898</v>
      </c>
      <c r="G13" s="122">
        <v>166520</v>
      </c>
      <c r="H13" s="122">
        <v>147456</v>
      </c>
      <c r="I13" s="122">
        <v>570036</v>
      </c>
      <c r="J13" s="113">
        <f t="shared" si="4"/>
        <v>113558</v>
      </c>
      <c r="K13" s="114">
        <f t="shared" si="5"/>
        <v>334.99911499203495</v>
      </c>
      <c r="L13" s="115">
        <f t="shared" si="2"/>
        <v>403516</v>
      </c>
      <c r="M13" s="128">
        <f t="shared" si="3"/>
        <v>242.32284410281045</v>
      </c>
    </row>
    <row r="14" spans="1:13" ht="21.2" customHeight="1">
      <c r="A14" s="226" t="s">
        <v>62</v>
      </c>
      <c r="B14" s="227"/>
      <c r="C14" s="227"/>
      <c r="D14" s="81" t="s">
        <v>47</v>
      </c>
      <c r="E14" s="122">
        <v>173357</v>
      </c>
      <c r="F14" s="122">
        <v>14061</v>
      </c>
      <c r="G14" s="122">
        <v>83906</v>
      </c>
      <c r="H14" s="122">
        <v>19313</v>
      </c>
      <c r="I14" s="122">
        <v>99838</v>
      </c>
      <c r="J14" s="113">
        <f t="shared" si="4"/>
        <v>5252</v>
      </c>
      <c r="K14" s="114">
        <f t="shared" si="5"/>
        <v>37.351539719792328</v>
      </c>
      <c r="L14" s="115">
        <f t="shared" si="2"/>
        <v>15932</v>
      </c>
      <c r="M14" s="128">
        <f t="shared" si="3"/>
        <v>18.987915047791574</v>
      </c>
    </row>
    <row r="15" spans="1:13" ht="21.2" customHeight="1">
      <c r="A15" s="226"/>
      <c r="B15" s="227"/>
      <c r="C15" s="227"/>
      <c r="D15" s="81" t="s">
        <v>48</v>
      </c>
      <c r="E15" s="122">
        <v>3000801</v>
      </c>
      <c r="F15" s="122">
        <v>223319</v>
      </c>
      <c r="G15" s="122">
        <v>1682263</v>
      </c>
      <c r="H15" s="122">
        <v>290049</v>
      </c>
      <c r="I15" s="122">
        <v>1347284</v>
      </c>
      <c r="J15" s="113">
        <f t="shared" si="4"/>
        <v>66730</v>
      </c>
      <c r="K15" s="114">
        <f t="shared" si="5"/>
        <v>29.881022214858547</v>
      </c>
      <c r="L15" s="115">
        <f t="shared" si="2"/>
        <v>-334979</v>
      </c>
      <c r="M15" s="128">
        <f t="shared" si="3"/>
        <v>-19.912403708575894</v>
      </c>
    </row>
    <row r="16" spans="1:13" ht="21.2" customHeight="1">
      <c r="A16" s="226" t="s">
        <v>56</v>
      </c>
      <c r="B16" s="227"/>
      <c r="C16" s="227"/>
      <c r="D16" s="81" t="s">
        <v>47</v>
      </c>
      <c r="E16" s="122">
        <v>167550</v>
      </c>
      <c r="F16" s="122">
        <v>14758</v>
      </c>
      <c r="G16" s="122">
        <v>82344</v>
      </c>
      <c r="H16" s="122">
        <v>12082</v>
      </c>
      <c r="I16" s="122">
        <v>80826</v>
      </c>
      <c r="J16" s="113">
        <f t="shared" si="4"/>
        <v>-2676</v>
      </c>
      <c r="K16" s="82">
        <f t="shared" si="5"/>
        <v>-18.132538284320361</v>
      </c>
      <c r="L16" s="83">
        <f t="shared" si="2"/>
        <v>-1518</v>
      </c>
      <c r="M16" s="129">
        <f t="shared" si="3"/>
        <v>-1.8434858641795415</v>
      </c>
    </row>
    <row r="17" spans="1:13" ht="21.2" customHeight="1">
      <c r="A17" s="226"/>
      <c r="B17" s="227"/>
      <c r="C17" s="227"/>
      <c r="D17" s="81" t="s">
        <v>48</v>
      </c>
      <c r="E17" s="122">
        <v>2696085</v>
      </c>
      <c r="F17" s="122">
        <v>246232</v>
      </c>
      <c r="G17" s="122">
        <v>1356572</v>
      </c>
      <c r="H17" s="122">
        <v>184291</v>
      </c>
      <c r="I17" s="122">
        <v>1293885</v>
      </c>
      <c r="J17" s="113">
        <f t="shared" si="4"/>
        <v>-61941</v>
      </c>
      <c r="K17" s="82">
        <f t="shared" si="5"/>
        <v>-25.155544364664223</v>
      </c>
      <c r="L17" s="83">
        <f t="shared" si="2"/>
        <v>-62687</v>
      </c>
      <c r="M17" s="129">
        <f t="shared" si="3"/>
        <v>-4.6209858378324213</v>
      </c>
    </row>
    <row r="18" spans="1:13" ht="21.2" customHeight="1">
      <c r="A18" s="244" t="s">
        <v>70</v>
      </c>
      <c r="B18" s="245"/>
      <c r="C18" s="245"/>
      <c r="D18" s="154" t="s">
        <v>47</v>
      </c>
      <c r="E18" s="153">
        <v>225</v>
      </c>
      <c r="F18" s="163">
        <v>0</v>
      </c>
      <c r="G18" s="163">
        <v>0</v>
      </c>
      <c r="H18" s="163">
        <v>0</v>
      </c>
      <c r="I18" s="163">
        <v>0</v>
      </c>
      <c r="J18" s="155">
        <f t="shared" si="4"/>
        <v>0</v>
      </c>
      <c r="K18" s="156" t="s">
        <v>68</v>
      </c>
      <c r="L18" s="157">
        <f t="shared" si="2"/>
        <v>0</v>
      </c>
      <c r="M18" s="158">
        <v>0</v>
      </c>
    </row>
    <row r="19" spans="1:13" ht="21.2" customHeight="1">
      <c r="A19" s="246"/>
      <c r="B19" s="247"/>
      <c r="C19" s="247"/>
      <c r="D19" s="159" t="s">
        <v>48</v>
      </c>
      <c r="E19" s="153">
        <v>4766</v>
      </c>
      <c r="F19" s="163">
        <v>0</v>
      </c>
      <c r="G19" s="163">
        <v>0</v>
      </c>
      <c r="H19" s="163">
        <v>0</v>
      </c>
      <c r="I19" s="163">
        <v>0</v>
      </c>
      <c r="J19" s="155">
        <f t="shared" si="0"/>
        <v>0</v>
      </c>
      <c r="K19" s="160" t="s">
        <v>68</v>
      </c>
      <c r="L19" s="161">
        <f t="shared" si="2"/>
        <v>0</v>
      </c>
      <c r="M19" s="162">
        <v>0</v>
      </c>
    </row>
    <row r="20" spans="1:13" ht="21.2" customHeight="1">
      <c r="A20" s="236" t="s">
        <v>63</v>
      </c>
      <c r="B20" s="237"/>
      <c r="C20" s="238"/>
      <c r="D20" s="84" t="s">
        <v>64</v>
      </c>
      <c r="E20" s="122">
        <v>178</v>
      </c>
      <c r="F20" s="163">
        <v>0</v>
      </c>
      <c r="G20" s="163">
        <v>58</v>
      </c>
      <c r="H20" s="163">
        <v>18</v>
      </c>
      <c r="I20" s="163">
        <v>46</v>
      </c>
      <c r="J20" s="113">
        <f t="shared" si="0"/>
        <v>18</v>
      </c>
      <c r="K20" s="145" t="s">
        <v>68</v>
      </c>
      <c r="L20" s="117">
        <f t="shared" si="2"/>
        <v>-12</v>
      </c>
      <c r="M20" s="130">
        <f t="shared" si="3"/>
        <v>-20.689655172413794</v>
      </c>
    </row>
    <row r="21" spans="1:13" ht="21.2" customHeight="1">
      <c r="A21" s="239"/>
      <c r="B21" s="240"/>
      <c r="C21" s="241"/>
      <c r="D21" s="84" t="s">
        <v>65</v>
      </c>
      <c r="E21" s="122">
        <v>1254</v>
      </c>
      <c r="F21" s="163">
        <v>0</v>
      </c>
      <c r="G21" s="163">
        <v>230</v>
      </c>
      <c r="H21" s="163">
        <v>134</v>
      </c>
      <c r="I21" s="163">
        <v>350</v>
      </c>
      <c r="J21" s="113">
        <f t="shared" si="0"/>
        <v>134</v>
      </c>
      <c r="K21" s="145" t="s">
        <v>68</v>
      </c>
      <c r="L21" s="117">
        <f t="shared" si="2"/>
        <v>120</v>
      </c>
      <c r="M21" s="130">
        <f t="shared" si="3"/>
        <v>52.173913043478279</v>
      </c>
    </row>
    <row r="22" spans="1:13" ht="21.2" customHeight="1">
      <c r="A22" s="226" t="s">
        <v>58</v>
      </c>
      <c r="B22" s="227"/>
      <c r="C22" s="227"/>
      <c r="D22" s="81" t="s">
        <v>47</v>
      </c>
      <c r="E22" s="122">
        <v>486</v>
      </c>
      <c r="F22" s="164">
        <v>64</v>
      </c>
      <c r="G22" s="122">
        <v>360</v>
      </c>
      <c r="H22" s="164">
        <v>34</v>
      </c>
      <c r="I22" s="122">
        <v>242</v>
      </c>
      <c r="J22" s="113">
        <f t="shared" si="0"/>
        <v>-30</v>
      </c>
      <c r="K22" s="114">
        <f t="shared" si="1"/>
        <v>-46.875</v>
      </c>
      <c r="L22" s="115">
        <f t="shared" si="2"/>
        <v>-118</v>
      </c>
      <c r="M22" s="128">
        <f t="shared" si="3"/>
        <v>-32.777777777777771</v>
      </c>
    </row>
    <row r="23" spans="1:13" ht="21.2" customHeight="1">
      <c r="A23" s="248"/>
      <c r="B23" s="249"/>
      <c r="C23" s="249"/>
      <c r="D23" s="84" t="s">
        <v>48</v>
      </c>
      <c r="E23" s="122">
        <v>4285</v>
      </c>
      <c r="F23" s="164">
        <v>522</v>
      </c>
      <c r="G23" s="122">
        <v>3246</v>
      </c>
      <c r="H23" s="164">
        <v>433</v>
      </c>
      <c r="I23" s="122">
        <v>2314</v>
      </c>
      <c r="J23" s="113">
        <f t="shared" si="0"/>
        <v>-89</v>
      </c>
      <c r="K23" s="116">
        <f t="shared" si="1"/>
        <v>-17.049808429118769</v>
      </c>
      <c r="L23" s="117">
        <f t="shared" si="2"/>
        <v>-932</v>
      </c>
      <c r="M23" s="130">
        <f t="shared" si="3"/>
        <v>-28.712261244608754</v>
      </c>
    </row>
    <row r="24" spans="1:13" ht="21.2" customHeight="1">
      <c r="A24" s="226" t="s">
        <v>59</v>
      </c>
      <c r="B24" s="227"/>
      <c r="C24" s="227"/>
      <c r="D24" s="81" t="s">
        <v>47</v>
      </c>
      <c r="E24" s="122">
        <v>81150</v>
      </c>
      <c r="F24" s="122">
        <v>5906</v>
      </c>
      <c r="G24" s="122">
        <v>38001</v>
      </c>
      <c r="H24" s="122">
        <v>6112</v>
      </c>
      <c r="I24" s="122">
        <v>32535</v>
      </c>
      <c r="J24" s="113">
        <f t="shared" si="0"/>
        <v>206</v>
      </c>
      <c r="K24" s="114">
        <f t="shared" si="1"/>
        <v>3.4879783271249494</v>
      </c>
      <c r="L24" s="115">
        <f t="shared" si="2"/>
        <v>-5466</v>
      </c>
      <c r="M24" s="128">
        <f t="shared" si="3"/>
        <v>-14.383832004420938</v>
      </c>
    </row>
    <row r="25" spans="1:13" ht="21.2" customHeight="1">
      <c r="A25" s="226"/>
      <c r="B25" s="227"/>
      <c r="C25" s="227"/>
      <c r="D25" s="81" t="s">
        <v>48</v>
      </c>
      <c r="E25" s="122">
        <v>1256097</v>
      </c>
      <c r="F25" s="122">
        <v>85455</v>
      </c>
      <c r="G25" s="122">
        <v>611307</v>
      </c>
      <c r="H25" s="122">
        <v>98499</v>
      </c>
      <c r="I25" s="122">
        <v>507343</v>
      </c>
      <c r="J25" s="113">
        <f t="shared" si="0"/>
        <v>13044</v>
      </c>
      <c r="K25" s="114">
        <f t="shared" si="1"/>
        <v>15.26417412673338</v>
      </c>
      <c r="L25" s="115">
        <f t="shared" si="2"/>
        <v>-103964</v>
      </c>
      <c r="M25" s="128">
        <f t="shared" si="3"/>
        <v>-17.00683944401095</v>
      </c>
    </row>
    <row r="26" spans="1:13" ht="21.2" customHeight="1">
      <c r="A26" s="226" t="s">
        <v>60</v>
      </c>
      <c r="B26" s="227"/>
      <c r="C26" s="227"/>
      <c r="D26" s="86" t="s">
        <v>47</v>
      </c>
      <c r="E26" s="123">
        <v>115220</v>
      </c>
      <c r="F26" s="123">
        <v>9147</v>
      </c>
      <c r="G26" s="123">
        <v>54046</v>
      </c>
      <c r="H26" s="123">
        <v>8922</v>
      </c>
      <c r="I26" s="123">
        <v>47082</v>
      </c>
      <c r="J26" s="113">
        <f t="shared" si="0"/>
        <v>-225</v>
      </c>
      <c r="K26" s="118">
        <f t="shared" si="1"/>
        <v>-2.4598228927517169</v>
      </c>
      <c r="L26" s="119">
        <f t="shared" si="2"/>
        <v>-6964</v>
      </c>
      <c r="M26" s="131">
        <f t="shared" si="3"/>
        <v>-12.885319912666986</v>
      </c>
    </row>
    <row r="27" spans="1:13" ht="21.2" customHeight="1">
      <c r="A27" s="226"/>
      <c r="B27" s="227"/>
      <c r="C27" s="227"/>
      <c r="D27" s="84" t="s">
        <v>48</v>
      </c>
      <c r="E27" s="134">
        <v>1551822</v>
      </c>
      <c r="F27" s="134">
        <v>129788</v>
      </c>
      <c r="G27" s="134">
        <v>738209</v>
      </c>
      <c r="H27" s="134">
        <v>132666</v>
      </c>
      <c r="I27" s="134">
        <v>679055</v>
      </c>
      <c r="J27" s="135">
        <f t="shared" si="0"/>
        <v>2878</v>
      </c>
      <c r="K27" s="116">
        <f t="shared" si="1"/>
        <v>2.2174623231731658</v>
      </c>
      <c r="L27" s="117">
        <f t="shared" si="2"/>
        <v>-59154</v>
      </c>
      <c r="M27" s="130">
        <f t="shared" si="3"/>
        <v>-8.0131778398800435</v>
      </c>
    </row>
    <row r="28" spans="1:13" ht="21.2" customHeight="1">
      <c r="A28" s="226" t="s">
        <v>61</v>
      </c>
      <c r="B28" s="227"/>
      <c r="C28" s="227"/>
      <c r="D28" s="81" t="s">
        <v>47</v>
      </c>
      <c r="E28" s="122">
        <v>29479</v>
      </c>
      <c r="F28" s="122">
        <v>2683</v>
      </c>
      <c r="G28" s="122">
        <v>14888</v>
      </c>
      <c r="H28" s="122">
        <v>2625</v>
      </c>
      <c r="I28" s="122">
        <v>16360</v>
      </c>
      <c r="J28" s="113">
        <f>H28-F28</f>
        <v>-58</v>
      </c>
      <c r="K28" s="141" t="s">
        <v>67</v>
      </c>
      <c r="L28" s="115">
        <f>I28-G28</f>
        <v>1472</v>
      </c>
      <c r="M28" s="143" t="s">
        <v>67</v>
      </c>
    </row>
    <row r="29" spans="1:13" ht="21.2" customHeight="1" thickBot="1">
      <c r="A29" s="242"/>
      <c r="B29" s="243"/>
      <c r="C29" s="243"/>
      <c r="D29" s="136" t="s">
        <v>48</v>
      </c>
      <c r="E29" s="137">
        <v>456522</v>
      </c>
      <c r="F29" s="137">
        <v>35156</v>
      </c>
      <c r="G29" s="137">
        <v>213742</v>
      </c>
      <c r="H29" s="137">
        <v>38782</v>
      </c>
      <c r="I29" s="137">
        <v>253256</v>
      </c>
      <c r="J29" s="138">
        <f>H29-F29</f>
        <v>3626</v>
      </c>
      <c r="K29" s="142" t="s">
        <v>67</v>
      </c>
      <c r="L29" s="139">
        <f>I29-G29</f>
        <v>39514</v>
      </c>
      <c r="M29" s="144" t="s">
        <v>67</v>
      </c>
    </row>
    <row r="30" spans="1:13" ht="14.25" thickTop="1"/>
  </sheetData>
  <mergeCells count="18"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  <mergeCell ref="J2:M2"/>
    <mergeCell ref="A4:C5"/>
    <mergeCell ref="A6:C7"/>
    <mergeCell ref="A8:C9"/>
    <mergeCell ref="A2:C3"/>
    <mergeCell ref="D2:D3"/>
    <mergeCell ref="F2:G2"/>
    <mergeCell ref="H2:I2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2020-07-22T01:56:21Z</dcterms:modified>
</cp:coreProperties>
</file>