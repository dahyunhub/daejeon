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45" yWindow="1950" windowWidth="22605" windowHeight="1029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(12월)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J18" i="21" l="1"/>
  <c r="H14" i="21"/>
  <c r="H24" i="21" l="1"/>
  <c r="I24" i="21"/>
  <c r="F4" i="33" l="1"/>
  <c r="F7" i="33"/>
  <c r="F14" i="21" l="1"/>
  <c r="G14" i="21"/>
  <c r="F24" i="21"/>
  <c r="G24" i="21"/>
  <c r="G4" i="32" l="1"/>
  <c r="F4" i="32"/>
  <c r="G6" i="33" l="1"/>
  <c r="M25" i="32" l="1"/>
  <c r="M24" i="32"/>
  <c r="M11" i="32"/>
  <c r="M10" i="32"/>
  <c r="M26" i="32" l="1"/>
  <c r="M27" i="32"/>
  <c r="K26" i="32"/>
  <c r="K27" i="32"/>
  <c r="E4" i="32"/>
  <c r="I5" i="32" l="1"/>
  <c r="H5" i="32"/>
  <c r="I4" i="32"/>
  <c r="H4" i="32"/>
  <c r="G5" i="32"/>
  <c r="F5" i="32"/>
  <c r="L35" i="32"/>
  <c r="J35" i="32"/>
  <c r="L34" i="32"/>
  <c r="J34" i="32"/>
  <c r="J28" i="21" l="1"/>
  <c r="M33" i="32" l="1"/>
  <c r="H11" i="21" l="1"/>
  <c r="I15" i="21" l="1"/>
  <c r="I11" i="21"/>
  <c r="H15" i="21"/>
  <c r="H10" i="21" s="1"/>
  <c r="I10" i="21" l="1"/>
  <c r="N4" i="33" s="1"/>
  <c r="F15" i="21"/>
  <c r="F11" i="21"/>
  <c r="G15" i="21"/>
  <c r="G11" i="21"/>
  <c r="F10" i="21" l="1"/>
  <c r="G10" i="21"/>
  <c r="M4" i="33" s="1"/>
  <c r="K9" i="32"/>
  <c r="K8" i="32"/>
  <c r="K6" i="32"/>
  <c r="J15" i="32"/>
  <c r="J16" i="32"/>
  <c r="J17" i="32"/>
  <c r="J18" i="32"/>
  <c r="J19" i="32"/>
  <c r="J14" i="32"/>
  <c r="J8" i="32"/>
  <c r="J6" i="32"/>
  <c r="J17" i="21" l="1"/>
  <c r="M32" i="32" l="1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E5" i="32" l="1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AA7" i="33" l="1"/>
  <c r="N6" i="33"/>
  <c r="N3" i="33"/>
  <c r="I3" i="32" l="1"/>
  <c r="H3" i="32"/>
  <c r="G3" i="32"/>
  <c r="E7" i="21" l="1"/>
  <c r="L28" i="21" l="1"/>
  <c r="K28" i="21"/>
  <c r="L26" i="21"/>
  <c r="L27" i="21"/>
  <c r="L18" i="21"/>
  <c r="J11" i="21" l="1"/>
  <c r="J22" i="21" l="1"/>
  <c r="J23" i="21"/>
  <c r="J24" i="21"/>
  <c r="J26" i="21"/>
  <c r="J27" i="21"/>
  <c r="J16" i="21"/>
  <c r="J12" i="21"/>
  <c r="J13" i="21"/>
  <c r="J14" i="21"/>
  <c r="L25" i="32" l="1"/>
  <c r="I25" i="21"/>
  <c r="I21" i="21"/>
  <c r="E25" i="21" l="1"/>
  <c r="E21" i="21"/>
  <c r="E20" i="21" l="1"/>
  <c r="J13" i="32" l="1"/>
  <c r="J12" i="32"/>
  <c r="L24" i="32"/>
  <c r="F21" i="21" l="1"/>
  <c r="F7" i="21"/>
  <c r="J25" i="21" l="1"/>
  <c r="G20" i="2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<sst xmlns="http://schemas.openxmlformats.org/spreadsheetml/2006/main" count="160" uniqueCount="107">
  <si>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</si>
  <si>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</si>
  <si>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</si>
  <si>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</si>
  <si>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</si>
  <si>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</si>
  <si>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</si>
  <si>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10" type="noConversion"/>
  </si>
  <si>
    <t xml:space="preserve"> 합  계</t>
    <phoneticPr fontId="10" type="noConversion"/>
  </si>
  <si>
    <t xml:space="preserve"> 외  항</t>
    <phoneticPr fontId="10" type="noConversion"/>
  </si>
  <si>
    <t xml:space="preserve"> 내  항</t>
    <phoneticPr fontId="10" type="noConversion"/>
  </si>
  <si>
    <t>연간누계</t>
    <phoneticPr fontId="10" type="noConversion"/>
  </si>
  <si>
    <t>계</t>
    <phoneticPr fontId="10" type="noConversion"/>
  </si>
  <si>
    <t>환적</t>
    <phoneticPr fontId="10" type="noConversion"/>
  </si>
  <si>
    <t>수출</t>
    <phoneticPr fontId="10" type="noConversion"/>
  </si>
  <si>
    <t>전년동기대비</t>
    <phoneticPr fontId="10" type="noConversion"/>
  </si>
  <si>
    <t>(%)</t>
    <phoneticPr fontId="10" type="noConversion"/>
  </si>
  <si>
    <t>환적</t>
    <phoneticPr fontId="10" type="noConversion"/>
  </si>
  <si>
    <t>D-B</t>
    <phoneticPr fontId="10" type="noConversion"/>
  </si>
  <si>
    <t>컨테</t>
    <phoneticPr fontId="10" type="noConversion"/>
  </si>
  <si>
    <t>이너</t>
    <phoneticPr fontId="10" type="noConversion"/>
  </si>
  <si>
    <t>선박</t>
    <phoneticPr fontId="10" type="noConversion"/>
  </si>
  <si>
    <t>화물</t>
    <phoneticPr fontId="10" type="noConversion"/>
  </si>
  <si>
    <t>(단위:TEU, 100% 기준)</t>
    <phoneticPr fontId="10" type="noConversion"/>
  </si>
  <si>
    <t>(화물)</t>
    <phoneticPr fontId="10" type="noConversion"/>
  </si>
  <si>
    <t xml:space="preserve">   (컨테이너)</t>
    <phoneticPr fontId="10" type="noConversion"/>
  </si>
  <si>
    <t>(평택·당진항)</t>
    <phoneticPr fontId="10" type="noConversion"/>
  </si>
  <si>
    <t xml:space="preserve">  □ 전년 동기대비 비교표</t>
    <phoneticPr fontId="10" type="noConversion"/>
  </si>
  <si>
    <t>■ 연도별 수송실적</t>
    <phoneticPr fontId="26" type="noConversion"/>
  </si>
  <si>
    <t>(단위 : 천톤)</t>
    <phoneticPr fontId="10" type="noConversion"/>
  </si>
  <si>
    <t xml:space="preserve">구분 </t>
    <phoneticPr fontId="10" type="noConversion"/>
  </si>
  <si>
    <t>선박입출항</t>
    <phoneticPr fontId="10" type="noConversion"/>
  </si>
  <si>
    <t>화물입출항</t>
    <phoneticPr fontId="10" type="noConversion"/>
  </si>
  <si>
    <t>(단위 : TEU)</t>
    <phoneticPr fontId="10" type="noConversion"/>
  </si>
  <si>
    <t>(단위 : 명)</t>
    <phoneticPr fontId="10" type="noConversion"/>
  </si>
  <si>
    <t>컨테이너</t>
    <phoneticPr fontId="10" type="noConversion"/>
  </si>
  <si>
    <t>여    객</t>
    <phoneticPr fontId="10" type="noConversion"/>
  </si>
  <si>
    <t xml:space="preserve">  □ 연도별 추이 </t>
  </si>
  <si>
    <t>□ 부두별 컨테이너 물동량</t>
    <phoneticPr fontId="10" type="noConversion"/>
  </si>
  <si>
    <t>구     분</t>
    <phoneticPr fontId="10" type="noConversion"/>
  </si>
  <si>
    <t>단위</t>
    <phoneticPr fontId="26" type="noConversion"/>
  </si>
  <si>
    <t>전년동기대비</t>
    <phoneticPr fontId="10" type="noConversion"/>
  </si>
  <si>
    <t>연간누계</t>
    <phoneticPr fontId="10" type="noConversion"/>
  </si>
  <si>
    <t>C-A</t>
    <phoneticPr fontId="10" type="noConversion"/>
  </si>
  <si>
    <t>(%)</t>
    <phoneticPr fontId="10" type="noConversion"/>
  </si>
  <si>
    <t>D-B</t>
    <phoneticPr fontId="10" type="noConversion"/>
  </si>
  <si>
    <t>합  계</t>
    <phoneticPr fontId="10" type="noConversion"/>
  </si>
  <si>
    <t>TEU</t>
    <phoneticPr fontId="26" type="noConversion"/>
  </si>
  <si>
    <t>톤</t>
    <phoneticPr fontId="26" type="noConversion"/>
  </si>
  <si>
    <t>선박입항 및 화물수송</t>
    <phoneticPr fontId="10" type="noConversion"/>
  </si>
  <si>
    <t xml:space="preserve">     (여객)</t>
    <phoneticPr fontId="10" type="noConversion"/>
  </si>
  <si>
    <t xml:space="preserve">     (화물입출항)</t>
    <phoneticPr fontId="10" type="noConversion"/>
  </si>
  <si>
    <t xml:space="preserve">   (선박입출항)</t>
    <phoneticPr fontId="10" type="noConversion"/>
  </si>
  <si>
    <t>국제여객부두1번</t>
  </si>
  <si>
    <t>국제여객부두2번</t>
  </si>
  <si>
    <t>동부두 6</t>
    <phoneticPr fontId="26" type="noConversion"/>
  </si>
  <si>
    <t>동부두 8</t>
    <phoneticPr fontId="26" type="noConversion"/>
  </si>
  <si>
    <t>C-A</t>
    <phoneticPr fontId="10" type="noConversion"/>
  </si>
  <si>
    <t>동부두 12</t>
    <phoneticPr fontId="26" type="noConversion"/>
  </si>
  <si>
    <t>동부두 14</t>
    <phoneticPr fontId="26" type="noConversion"/>
  </si>
  <si>
    <t>동부두 15</t>
    <phoneticPr fontId="26" type="noConversion"/>
  </si>
  <si>
    <t>동부두 16</t>
    <phoneticPr fontId="26" type="noConversion"/>
  </si>
  <si>
    <t>동부두 7</t>
    <phoneticPr fontId="26" type="noConversion"/>
  </si>
  <si>
    <t>동부두 11</t>
    <phoneticPr fontId="26" type="noConversion"/>
  </si>
  <si>
    <t>TEU</t>
    <phoneticPr fontId="26" type="noConversion"/>
  </si>
  <si>
    <t>톤</t>
    <phoneticPr fontId="26" type="noConversion"/>
  </si>
  <si>
    <t>동부두 5</t>
    <phoneticPr fontId="26" type="noConversion"/>
  </si>
  <si>
    <t>자동차(대)</t>
    <phoneticPr fontId="10" type="noConversion"/>
  </si>
  <si>
    <t>동부두 9</t>
    <phoneticPr fontId="26" type="noConversion"/>
  </si>
  <si>
    <t>소계</t>
    <phoneticPr fontId="10" type="noConversion"/>
  </si>
  <si>
    <t>(단위 : 척)</t>
    <phoneticPr fontId="10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</si>
  <si>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10" type="noConversion"/>
  </si>
  <si>
    <t>2021년도</t>
    <phoneticPr fontId="10" type="noConversion"/>
  </si>
  <si>
    <t>국제여객부두 1번선석</t>
  </si>
  <si>
    <t>국제여객부두 2번선석</t>
    <phoneticPr fontId="26" type="noConversion"/>
  </si>
  <si>
    <t>동부두 5번선석</t>
    <phoneticPr fontId="26" type="noConversion"/>
  </si>
  <si>
    <t>동부두 6번선석</t>
    <phoneticPr fontId="26" type="noConversion"/>
  </si>
  <si>
    <t>동부두 6번선석</t>
    <phoneticPr fontId="26" type="noConversion"/>
  </si>
  <si>
    <t>동부두 7번선석</t>
    <phoneticPr fontId="26" type="noConversion"/>
  </si>
  <si>
    <t>동부두 7번선석</t>
    <phoneticPr fontId="26" type="noConversion"/>
  </si>
  <si>
    <t>동부두 8번선석</t>
    <phoneticPr fontId="26" type="noConversion"/>
  </si>
  <si>
    <t>동부두 8번선석</t>
    <phoneticPr fontId="26" type="noConversion"/>
  </si>
  <si>
    <t>동부두 9번선석</t>
    <phoneticPr fontId="26" type="noConversion"/>
  </si>
  <si>
    <t>동부두 9번선석</t>
    <phoneticPr fontId="26" type="noConversion"/>
  </si>
  <si>
    <t>동부두 11번선석</t>
    <phoneticPr fontId="26" type="noConversion"/>
  </si>
  <si>
    <t>동부두 12번선석</t>
    <phoneticPr fontId="26" type="noConversion"/>
  </si>
  <si>
    <t>동부두 12번선석</t>
    <phoneticPr fontId="26" type="noConversion"/>
  </si>
  <si>
    <t>동부두 14번선석</t>
    <phoneticPr fontId="26" type="noConversion"/>
  </si>
  <si>
    <t>동부두 14번선석</t>
    <phoneticPr fontId="26" type="noConversion"/>
  </si>
  <si>
    <t>동부두 15번선석</t>
    <phoneticPr fontId="26" type="noConversion"/>
  </si>
  <si>
    <t>동부두 15번선석</t>
    <phoneticPr fontId="26" type="noConversion"/>
  </si>
  <si>
    <t>동부두 16번선석</t>
    <phoneticPr fontId="26" type="noConversion"/>
  </si>
  <si>
    <t>동부두 16번선석</t>
    <phoneticPr fontId="26" type="noConversion"/>
  </si>
  <si>
    <t>동부두 10</t>
    <phoneticPr fontId="26" type="noConversion"/>
  </si>
  <si>
    <t>동부두 1</t>
    <phoneticPr fontId="26" type="noConversion"/>
  </si>
  <si>
    <t>동부두 1번선석</t>
    <phoneticPr fontId="26" type="noConversion"/>
  </si>
  <si>
    <t>동부두 10번선석</t>
    <phoneticPr fontId="26" type="noConversion"/>
  </si>
  <si>
    <t>2022년도</t>
    <phoneticPr fontId="10" type="noConversion"/>
  </si>
  <si>
    <t>순증</t>
    <phoneticPr fontId="26" type="noConversion"/>
  </si>
  <si>
    <t>고대부두 8</t>
    <phoneticPr fontId="26" type="noConversion"/>
  </si>
  <si>
    <t>고대부두 8번선석</t>
    <phoneticPr fontId="26" type="noConversion"/>
  </si>
  <si>
    <t>12월(A)</t>
    <phoneticPr fontId="10" type="noConversion"/>
  </si>
  <si>
    <t>12월누계(B)</t>
    <phoneticPr fontId="10" type="noConversion"/>
  </si>
  <si>
    <t>12월(C)</t>
    <phoneticPr fontId="10" type="noConversion"/>
  </si>
  <si>
    <t>12월누계(D)</t>
    <phoneticPr fontId="10" type="noConversion"/>
  </si>
  <si>
    <t>(2022.12월분)</t>
    <phoneticPr fontId="10" type="noConversion"/>
  </si>
  <si>
    <t>22.12.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</si>
</sst>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</numFmts>
  <fonts count="48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sz val="11"/>
      <color indexed="8"/>
      <name val="맑은 고딕"/>
      <family val="2"/>
      <scheme val="minor"/>
    </font>
    <font>
      <b/>
      <sz val="11"/>
      <color theme="1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sz val="7"/>
      <color rgb="FF0000FF"/>
      <name val="굴림체"/>
      <family val="3"/>
      <charset val="129"/>
    </font>
    <font>
      <sz val="10"/>
      <color rgb="FF0000FF"/>
      <name val="굴림체"/>
      <family val="3"/>
      <charset val="129"/>
    </font>
    <font>
      <sz val="10"/>
      <color rgb="FF0000FF"/>
      <name val="바탕체"/>
      <family val="1"/>
      <charset val="129"/>
    </font>
    <font>
      <sz val="10"/>
      <color rgb="FFFF0000"/>
      <name val="굴림체"/>
      <family val="3"/>
      <charset val="129"/>
    </font>
    <font>
      <sz val="11"/>
      <color theme="1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4">
    <xf numFmtId="0" fontId="0" fillId="0" borderId="0"/>
    <xf numFmtId="38" fontId="11" fillId="0" borderId="0" applyFont="0" applyFill="0" applyBorder="0" applyAlignment="0" applyProtection="0"/>
    <xf numFmtId="4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38" fontId="14" fillId="2" borderId="0" applyNumberFormat="0" applyBorder="0" applyAlignment="0" applyProtection="0"/>
    <xf numFmtId="10" fontId="14" fillId="3" borderId="1" applyNumberFormat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9" fontId="12" fillId="0" borderId="0"/>
    <xf numFmtId="0" fontId="11" fillId="0" borderId="0"/>
    <xf numFmtId="10" fontId="12" fillId="0" borderId="0" applyFont="0" applyFill="0" applyBorder="0" applyAlignment="0" applyProtection="0"/>
    <xf numFmtId="9" fontId="13" fillId="0" borderId="2" applyNumberFormat="0" applyBorder="0"/>
    <xf numFmtId="176" fontId="8" fillId="0" borderId="0" applyFont="0" applyFill="0" applyBorder="0" applyAlignment="0" applyProtection="0"/>
    <xf numFmtId="0" fontId="8" fillId="0" borderId="0"/>
    <xf numFmtId="0" fontId="29" fillId="0" borderId="0">
      <alignment vertical="center"/>
    </xf>
    <xf numFmtId="0" fontId="6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5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86">
    <xf numFmtId="0" fontId="0" fillId="0" borderId="0" xfId="0"/>
    <xf numFmtId="176" fontId="16" fillId="0" borderId="0" xfId="0" applyNumberFormat="1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176" fontId="16" fillId="5" borderId="3" xfId="0" applyNumberFormat="1" applyFont="1" applyFill="1" applyBorder="1" applyAlignment="1">
      <alignment horizontal="right" vertical="center"/>
    </xf>
    <xf numFmtId="176" fontId="18" fillId="5" borderId="4" xfId="0" applyNumberFormat="1" applyFont="1" applyFill="1" applyBorder="1" applyAlignment="1">
      <alignment horizontal="center" vertical="center"/>
    </xf>
    <xf numFmtId="176" fontId="18" fillId="5" borderId="1" xfId="0" applyNumberFormat="1" applyFont="1" applyFill="1" applyBorder="1" applyAlignment="1">
      <alignment horizontal="center" vertical="center"/>
    </xf>
    <xf numFmtId="176" fontId="16" fillId="5" borderId="0" xfId="0" applyNumberFormat="1" applyFont="1" applyFill="1" applyBorder="1" applyAlignment="1">
      <alignment horizontal="center" vertical="center"/>
    </xf>
    <xf numFmtId="0" fontId="19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 vertical="center"/>
    </xf>
    <xf numFmtId="180" fontId="9" fillId="0" borderId="0" xfId="0" applyNumberFormat="1" applyFont="1" applyAlignment="1">
      <alignment horizontal="right" vertical="center"/>
    </xf>
    <xf numFmtId="176" fontId="17" fillId="4" borderId="3" xfId="0" applyNumberFormat="1" applyFont="1" applyFill="1" applyBorder="1" applyAlignment="1">
      <alignment horizontal="right" vertical="center"/>
    </xf>
    <xf numFmtId="176" fontId="20" fillId="4" borderId="1" xfId="0" applyNumberFormat="1" applyFont="1" applyFill="1" applyBorder="1" applyAlignment="1">
      <alignment horizontal="right" vertical="center"/>
    </xf>
    <xf numFmtId="176" fontId="16" fillId="0" borderId="0" xfId="0" applyNumberFormat="1" applyFont="1" applyBorder="1" applyAlignment="1">
      <alignment horizontal="right" vertical="center"/>
    </xf>
    <xf numFmtId="9" fontId="17" fillId="4" borderId="5" xfId="0" quotePrefix="1" applyNumberFormat="1" applyFont="1" applyFill="1" applyBorder="1" applyAlignment="1">
      <alignment horizontal="right" vertical="center"/>
    </xf>
    <xf numFmtId="176" fontId="17" fillId="5" borderId="6" xfId="0" applyNumberFormat="1" applyFont="1" applyFill="1" applyBorder="1" applyAlignment="1">
      <alignment horizontal="right" vertical="center"/>
    </xf>
    <xf numFmtId="9" fontId="16" fillId="5" borderId="5" xfId="0" quotePrefix="1" applyNumberFormat="1" applyFont="1" applyFill="1" applyBorder="1" applyAlignment="1">
      <alignment horizontal="right" vertical="center"/>
    </xf>
    <xf numFmtId="176" fontId="9" fillId="5" borderId="1" xfId="0" applyNumberFormat="1" applyFont="1" applyFill="1" applyBorder="1" applyAlignment="1">
      <alignment horizontal="right" vertical="center"/>
    </xf>
    <xf numFmtId="9" fontId="16" fillId="0" borderId="5" xfId="0" quotePrefix="1" applyNumberFormat="1" applyFont="1" applyFill="1" applyBorder="1" applyAlignment="1">
      <alignment horizontal="right" vertical="center"/>
    </xf>
    <xf numFmtId="176" fontId="9" fillId="0" borderId="1" xfId="0" applyNumberFormat="1" applyFont="1" applyFill="1" applyBorder="1" applyAlignment="1">
      <alignment horizontal="right" vertical="center"/>
    </xf>
    <xf numFmtId="9" fontId="20" fillId="4" borderId="7" xfId="0" applyNumberFormat="1" applyFont="1" applyFill="1" applyBorder="1" applyAlignment="1">
      <alignment horizontal="right" vertical="center"/>
    </xf>
    <xf numFmtId="9" fontId="9" fillId="5" borderId="7" xfId="0" applyNumberFormat="1" applyFont="1" applyFill="1" applyBorder="1" applyAlignment="1">
      <alignment horizontal="right" vertical="center"/>
    </xf>
    <xf numFmtId="9" fontId="9" fillId="0" borderId="7" xfId="0" applyNumberFormat="1" applyFont="1" applyFill="1" applyBorder="1" applyAlignment="1">
      <alignment horizontal="right" vertical="center"/>
    </xf>
    <xf numFmtId="0" fontId="17" fillId="5" borderId="10" xfId="0" applyFont="1" applyFill="1" applyBorder="1" applyAlignment="1">
      <alignment horizontal="left"/>
    </xf>
    <xf numFmtId="0" fontId="16" fillId="5" borderId="0" xfId="0" applyFont="1" applyFill="1" applyBorder="1" applyAlignment="1">
      <alignment horizontal="center"/>
    </xf>
    <xf numFmtId="176" fontId="16" fillId="0" borderId="0" xfId="0" applyNumberFormat="1" applyFont="1" applyFill="1" applyBorder="1" applyAlignment="1">
      <alignment horizontal="center" vertical="center"/>
    </xf>
    <xf numFmtId="176" fontId="17" fillId="0" borderId="0" xfId="0" applyNumberFormat="1" applyFont="1" applyFill="1" applyBorder="1" applyAlignment="1">
      <alignment horizontal="right" vertical="center"/>
    </xf>
    <xf numFmtId="181" fontId="17" fillId="0" borderId="0" xfId="0" applyNumberFormat="1" applyFont="1" applyFill="1" applyBorder="1" applyAlignment="1">
      <alignment horizontal="right" vertical="center"/>
    </xf>
    <xf numFmtId="9" fontId="17" fillId="0" borderId="0" xfId="0" quotePrefix="1" applyNumberFormat="1" applyFont="1" applyFill="1" applyBorder="1" applyAlignment="1">
      <alignment horizontal="right" vertical="center"/>
    </xf>
    <xf numFmtId="176" fontId="20" fillId="0" borderId="0" xfId="0" applyNumberFormat="1" applyFont="1" applyFill="1" applyBorder="1" applyAlignment="1">
      <alignment horizontal="right" vertical="center"/>
    </xf>
    <xf numFmtId="9" fontId="20" fillId="0" borderId="0" xfId="0" applyNumberFormat="1" applyFont="1" applyFill="1" applyBorder="1" applyAlignment="1">
      <alignment horizontal="right" vertical="center"/>
    </xf>
    <xf numFmtId="176" fontId="17" fillId="6" borderId="15" xfId="0" quotePrefix="1" applyNumberFormat="1" applyFont="1" applyFill="1" applyBorder="1" applyAlignment="1">
      <alignment horizontal="center" vertical="center"/>
    </xf>
    <xf numFmtId="176" fontId="17" fillId="6" borderId="16" xfId="0" applyNumberFormat="1" applyFont="1" applyFill="1" applyBorder="1" applyAlignment="1">
      <alignment horizontal="center" vertical="center"/>
    </xf>
    <xf numFmtId="176" fontId="17" fillId="6" borderId="1" xfId="0" applyNumberFormat="1" applyFont="1" applyFill="1" applyBorder="1" applyAlignment="1">
      <alignment horizontal="center" vertical="center"/>
    </xf>
    <xf numFmtId="9" fontId="17" fillId="6" borderId="5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80" fontId="17" fillId="6" borderId="7" xfId="0" applyNumberFormat="1" applyFont="1" applyFill="1" applyBorder="1" applyAlignment="1">
      <alignment horizontal="center" vertical="center"/>
    </xf>
    <xf numFmtId="182" fontId="17" fillId="4" borderId="3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center" vertical="center"/>
    </xf>
    <xf numFmtId="9" fontId="9" fillId="5" borderId="1" xfId="0" applyNumberFormat="1" applyFont="1" applyFill="1" applyBorder="1" applyAlignment="1">
      <alignment horizontal="right" vertical="center"/>
    </xf>
    <xf numFmtId="176" fontId="18" fillId="0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4" fillId="0" borderId="0" xfId="0" applyFont="1"/>
    <xf numFmtId="0" fontId="8" fillId="0" borderId="0" xfId="16"/>
    <xf numFmtId="0" fontId="27" fillId="6" borderId="18" xfId="0" applyFont="1" applyFill="1" applyBorder="1" applyAlignment="1">
      <alignment horizontal="center" vertical="center"/>
    </xf>
    <xf numFmtId="180" fontId="27" fillId="6" borderId="19" xfId="0" quotePrefix="1" applyNumberFormat="1" applyFont="1" applyFill="1" applyBorder="1" applyAlignment="1">
      <alignment horizontal="center" vertical="center"/>
    </xf>
    <xf numFmtId="0" fontId="27" fillId="4" borderId="18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83" fontId="28" fillId="0" borderId="0" xfId="0" applyNumberFormat="1" applyFont="1" applyBorder="1" applyAlignment="1">
      <alignment vertical="center"/>
    </xf>
    <xf numFmtId="0" fontId="8" fillId="0" borderId="0" xfId="16" applyAlignment="1">
      <alignment horizontal="right"/>
    </xf>
    <xf numFmtId="180" fontId="8" fillId="0" borderId="0" xfId="16" applyNumberFormat="1" applyAlignment="1">
      <alignment horizontal="right"/>
    </xf>
    <xf numFmtId="0" fontId="9" fillId="0" borderId="0" xfId="16" applyFont="1" applyAlignment="1">
      <alignment horizontal="right" vertical="center"/>
    </xf>
    <xf numFmtId="180" fontId="9" fillId="0" borderId="0" xfId="16" applyNumberFormat="1" applyFont="1" applyAlignment="1">
      <alignment horizontal="right" vertical="center"/>
    </xf>
    <xf numFmtId="0" fontId="21" fillId="0" borderId="0" xfId="16" applyFont="1" applyAlignment="1">
      <alignment vertical="center"/>
    </xf>
    <xf numFmtId="0" fontId="19" fillId="0" borderId="0" xfId="16" applyFont="1" applyAlignment="1">
      <alignment vertical="center"/>
    </xf>
    <xf numFmtId="0" fontId="29" fillId="0" borderId="0" xfId="17">
      <alignment vertical="center"/>
    </xf>
    <xf numFmtId="0" fontId="29" fillId="0" borderId="0" xfId="17" applyAlignment="1">
      <alignment horizontal="right"/>
    </xf>
    <xf numFmtId="180" fontId="29" fillId="0" borderId="0" xfId="17" applyNumberFormat="1" applyAlignment="1">
      <alignment horizontal="right"/>
    </xf>
    <xf numFmtId="0" fontId="9" fillId="0" borderId="0" xfId="17" applyFont="1" applyAlignment="1">
      <alignment horizontal="right" vertical="center"/>
    </xf>
    <xf numFmtId="180" fontId="9" fillId="0" borderId="0" xfId="17" applyNumberFormat="1" applyFont="1" applyAlignment="1">
      <alignment horizontal="right" vertical="center"/>
    </xf>
    <xf numFmtId="176" fontId="17" fillId="6" borderId="19" xfId="17" quotePrefix="1" applyNumberFormat="1" applyFont="1" applyFill="1" applyBorder="1" applyAlignment="1">
      <alignment horizontal="center" vertical="center"/>
    </xf>
    <xf numFmtId="176" fontId="17" fillId="6" borderId="1" xfId="17" applyNumberFormat="1" applyFont="1" applyFill="1" applyBorder="1" applyAlignment="1">
      <alignment horizontal="center" vertical="center"/>
    </xf>
    <xf numFmtId="9" fontId="17" fillId="6" borderId="1" xfId="17" applyNumberFormat="1" applyFont="1" applyFill="1" applyBorder="1" applyAlignment="1">
      <alignment horizontal="center" vertical="center"/>
    </xf>
    <xf numFmtId="0" fontId="20" fillId="6" borderId="1" xfId="17" applyFont="1" applyFill="1" applyBorder="1" applyAlignment="1">
      <alignment horizontal="center" vertical="center"/>
    </xf>
    <xf numFmtId="0" fontId="27" fillId="5" borderId="1" xfId="17" applyFont="1" applyFill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2" fillId="0" borderId="0" xfId="17" applyFont="1">
      <alignment vertical="center"/>
    </xf>
    <xf numFmtId="182" fontId="33" fillId="0" borderId="4" xfId="0" applyNumberFormat="1" applyFont="1" applyFill="1" applyBorder="1" applyAlignment="1">
      <alignment horizontal="right" vertical="center"/>
    </xf>
    <xf numFmtId="9" fontId="33" fillId="0" borderId="5" xfId="0" quotePrefix="1" applyNumberFormat="1" applyFont="1" applyFill="1" applyBorder="1" applyAlignment="1">
      <alignment horizontal="right" vertical="center"/>
    </xf>
    <xf numFmtId="9" fontId="34" fillId="0" borderId="7" xfId="0" applyNumberFormat="1" applyFont="1" applyFill="1" applyBorder="1" applyAlignment="1">
      <alignment horizontal="right" vertical="center"/>
    </xf>
    <xf numFmtId="176" fontId="35" fillId="0" borderId="4" xfId="0" applyNumberFormat="1" applyFont="1" applyFill="1" applyBorder="1" applyAlignment="1">
      <alignment horizontal="center" vertical="center"/>
    </xf>
    <xf numFmtId="176" fontId="35" fillId="5" borderId="1" xfId="0" applyNumberFormat="1" applyFont="1" applyFill="1" applyBorder="1" applyAlignment="1">
      <alignment horizontal="center" vertical="center"/>
    </xf>
    <xf numFmtId="176" fontId="33" fillId="5" borderId="1" xfId="0" applyNumberFormat="1" applyFont="1" applyFill="1" applyBorder="1" applyAlignment="1">
      <alignment horizontal="right" vertical="center"/>
    </xf>
    <xf numFmtId="176" fontId="17" fillId="4" borderId="3" xfId="0" applyNumberFormat="1" applyFont="1" applyFill="1" applyBorder="1" applyAlignment="1">
      <alignment horizontal="center" vertical="center" shrinkToFit="1"/>
    </xf>
    <xf numFmtId="176" fontId="17" fillId="4" borderId="3" xfId="0" applyNumberFormat="1" applyFont="1" applyFill="1" applyBorder="1" applyAlignment="1">
      <alignment horizontal="right" vertical="center" shrinkToFit="1"/>
    </xf>
    <xf numFmtId="9" fontId="17" fillId="4" borderId="5" xfId="0" quotePrefix="1" applyNumberFormat="1" applyFont="1" applyFill="1" applyBorder="1" applyAlignment="1">
      <alignment horizontal="right" vertical="center" shrinkToFit="1"/>
    </xf>
    <xf numFmtId="176" fontId="20" fillId="4" borderId="1" xfId="0" applyNumberFormat="1" applyFont="1" applyFill="1" applyBorder="1" applyAlignment="1">
      <alignment horizontal="right" vertical="center" shrinkToFit="1"/>
    </xf>
    <xf numFmtId="185" fontId="17" fillId="4" borderId="1" xfId="17" applyNumberFormat="1" applyFont="1" applyFill="1" applyBorder="1" applyAlignment="1">
      <alignment horizontal="right" vertical="center" shrinkToFit="1"/>
    </xf>
    <xf numFmtId="184" fontId="17" fillId="4" borderId="1" xfId="17" quotePrefix="1" applyNumberFormat="1" applyFont="1" applyFill="1" applyBorder="1" applyAlignment="1">
      <alignment horizontal="right" vertical="center" shrinkToFit="1"/>
    </xf>
    <xf numFmtId="176" fontId="20" fillId="4" borderId="1" xfId="17" applyNumberFormat="1" applyFont="1" applyFill="1" applyBorder="1" applyAlignment="1">
      <alignment horizontal="right" vertical="center" shrinkToFit="1"/>
    </xf>
    <xf numFmtId="185" fontId="17" fillId="5" borderId="1" xfId="17" applyNumberFormat="1" applyFont="1" applyFill="1" applyBorder="1" applyAlignment="1">
      <alignment horizontal="right" vertical="center" shrinkToFit="1"/>
    </xf>
    <xf numFmtId="184" fontId="17" fillId="5" borderId="1" xfId="17" quotePrefix="1" applyNumberFormat="1" applyFont="1" applyFill="1" applyBorder="1" applyAlignment="1">
      <alignment horizontal="right" vertical="center" shrinkToFit="1"/>
    </xf>
    <xf numFmtId="176" fontId="20" fillId="5" borderId="1" xfId="17" applyNumberFormat="1" applyFont="1" applyFill="1" applyBorder="1" applyAlignment="1">
      <alignment horizontal="right" vertical="center" shrinkToFit="1"/>
    </xf>
    <xf numFmtId="183" fontId="27" fillId="4" borderId="1" xfId="17" applyNumberFormat="1" applyFont="1" applyFill="1" applyBorder="1" applyAlignment="1">
      <alignment vertical="center" shrinkToFit="1"/>
    </xf>
    <xf numFmtId="0" fontId="21" fillId="0" borderId="0" xfId="16" applyFont="1" applyAlignment="1">
      <alignment horizontal="left" vertical="center"/>
    </xf>
    <xf numFmtId="0" fontId="21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7" fillId="4" borderId="12" xfId="0" applyNumberFormat="1" applyFont="1" applyFill="1" applyBorder="1" applyAlignment="1">
      <alignment horizontal="right" vertical="center"/>
    </xf>
    <xf numFmtId="176" fontId="17" fillId="4" borderId="22" xfId="0" applyNumberFormat="1" applyFont="1" applyFill="1" applyBorder="1" applyAlignment="1">
      <alignment horizontal="right" vertical="center" shrinkToFit="1"/>
    </xf>
    <xf numFmtId="9" fontId="17" fillId="4" borderId="13" xfId="0" quotePrefix="1" applyNumberFormat="1" applyFont="1" applyFill="1" applyBorder="1" applyAlignment="1">
      <alignment horizontal="right" vertical="center"/>
    </xf>
    <xf numFmtId="176" fontId="20" fillId="4" borderId="12" xfId="0" applyNumberFormat="1" applyFont="1" applyFill="1" applyBorder="1" applyAlignment="1">
      <alignment horizontal="right" vertical="center"/>
    </xf>
    <xf numFmtId="9" fontId="20" fillId="4" borderId="14" xfId="0" applyNumberFormat="1" applyFont="1" applyFill="1" applyBorder="1" applyAlignment="1">
      <alignment horizontal="right" vertical="center"/>
    </xf>
    <xf numFmtId="0" fontId="27" fillId="0" borderId="1" xfId="17" applyFont="1" applyFill="1" applyBorder="1" applyAlignment="1">
      <alignment horizontal="center" vertical="center"/>
    </xf>
    <xf numFmtId="185" fontId="17" fillId="0" borderId="1" xfId="17" applyNumberFormat="1" applyFont="1" applyFill="1" applyBorder="1" applyAlignment="1">
      <alignment horizontal="right" vertical="center" shrinkToFit="1"/>
    </xf>
    <xf numFmtId="183" fontId="28" fillId="0" borderId="12" xfId="0" applyNumberFormat="1" applyFont="1" applyBorder="1" applyAlignment="1">
      <alignment horizontal="right" vertical="center"/>
    </xf>
    <xf numFmtId="183" fontId="28" fillId="0" borderId="12" xfId="0" applyNumberFormat="1" applyFont="1" applyBorder="1" applyAlignment="1">
      <alignment horizontal="right" vertical="center" shrinkToFit="1"/>
    </xf>
    <xf numFmtId="176" fontId="17" fillId="6" borderId="17" xfId="0" applyNumberFormat="1" applyFont="1" applyFill="1" applyBorder="1" applyAlignment="1">
      <alignment horizontal="center" vertical="center"/>
    </xf>
    <xf numFmtId="176" fontId="17" fillId="6" borderId="5" xfId="0" applyNumberFormat="1" applyFont="1" applyFill="1" applyBorder="1" applyAlignment="1">
      <alignment horizontal="center" vertical="center"/>
    </xf>
    <xf numFmtId="0" fontId="29" fillId="0" borderId="0" xfId="17" applyFont="1">
      <alignment vertical="center"/>
    </xf>
    <xf numFmtId="41" fontId="28" fillId="0" borderId="1" xfId="17" applyNumberFormat="1" applyFont="1" applyBorder="1" applyAlignment="1">
      <alignment vertical="center" shrinkToFit="1"/>
    </xf>
    <xf numFmtId="180" fontId="17" fillId="6" borderId="7" xfId="17" applyNumberFormat="1" applyFont="1" applyFill="1" applyBorder="1" applyAlignment="1">
      <alignment horizontal="center" vertical="center"/>
    </xf>
    <xf numFmtId="184" fontId="17" fillId="4" borderId="7" xfId="17" quotePrefix="1" applyNumberFormat="1" applyFont="1" applyFill="1" applyBorder="1" applyAlignment="1">
      <alignment horizontal="right" vertical="center" shrinkToFit="1"/>
    </xf>
    <xf numFmtId="184" fontId="17" fillId="5" borderId="7" xfId="17" quotePrefix="1" applyNumberFormat="1" applyFont="1" applyFill="1" applyBorder="1" applyAlignment="1">
      <alignment horizontal="right" vertical="center" shrinkToFit="1"/>
    </xf>
    <xf numFmtId="184" fontId="17" fillId="5" borderId="7" xfId="17" quotePrefix="1" applyNumberFormat="1" applyFont="1" applyFill="1" applyBorder="1" applyAlignment="1">
      <alignment horizontal="right" vertical="center"/>
    </xf>
    <xf numFmtId="0" fontId="27" fillId="5" borderId="12" xfId="17" applyFont="1" applyFill="1" applyBorder="1" applyAlignment="1">
      <alignment horizontal="center" vertical="center"/>
    </xf>
    <xf numFmtId="185" fontId="17" fillId="5" borderId="12" xfId="17" applyNumberFormat="1" applyFont="1" applyFill="1" applyBorder="1" applyAlignment="1">
      <alignment horizontal="right" vertical="center" shrinkToFit="1"/>
    </xf>
    <xf numFmtId="176" fontId="20" fillId="5" borderId="12" xfId="17" applyNumberFormat="1" applyFont="1" applyFill="1" applyBorder="1" applyAlignment="1">
      <alignment horizontal="right" vertical="center" shrinkToFit="1"/>
    </xf>
    <xf numFmtId="176" fontId="16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2" fontId="16" fillId="5" borderId="3" xfId="0" applyNumberFormat="1" applyFont="1" applyFill="1" applyBorder="1" applyAlignment="1">
      <alignment horizontal="right" vertical="center"/>
    </xf>
    <xf numFmtId="182" fontId="16" fillId="0" borderId="3" xfId="0" applyNumberFormat="1" applyFont="1" applyFill="1" applyBorder="1" applyAlignment="1">
      <alignment horizontal="right" vertical="center"/>
    </xf>
    <xf numFmtId="182" fontId="9" fillId="5" borderId="1" xfId="0" applyNumberFormat="1" applyFont="1" applyFill="1" applyBorder="1" applyAlignment="1">
      <alignment horizontal="right" vertical="center"/>
    </xf>
    <xf numFmtId="182" fontId="34" fillId="0" borderId="1" xfId="0" applyNumberFormat="1" applyFont="1" applyFill="1" applyBorder="1" applyAlignment="1">
      <alignment horizontal="right" vertical="center"/>
    </xf>
    <xf numFmtId="182" fontId="20" fillId="4" borderId="1" xfId="0" applyNumberFormat="1" applyFont="1" applyFill="1" applyBorder="1" applyAlignment="1">
      <alignment horizontal="right" vertical="center"/>
    </xf>
    <xf numFmtId="41" fontId="28" fillId="0" borderId="7" xfId="17" applyNumberFormat="1" applyFont="1" applyBorder="1" applyAlignment="1">
      <alignment vertical="center" shrinkToFit="1"/>
    </xf>
    <xf numFmtId="176" fontId="16" fillId="7" borderId="9" xfId="0" applyNumberFormat="1" applyFont="1" applyFill="1" applyBorder="1" applyAlignment="1">
      <alignment horizontal="center" vertical="center"/>
    </xf>
    <xf numFmtId="176" fontId="16" fillId="7" borderId="8" xfId="0" applyNumberFormat="1" applyFont="1" applyFill="1" applyBorder="1" applyAlignment="1">
      <alignment horizontal="center" vertical="center"/>
    </xf>
    <xf numFmtId="176" fontId="17" fillId="7" borderId="8" xfId="0" applyNumberFormat="1" applyFont="1" applyFill="1" applyBorder="1" applyAlignment="1">
      <alignment horizontal="left" vertical="center"/>
    </xf>
    <xf numFmtId="176" fontId="16" fillId="7" borderId="8" xfId="0" applyNumberFormat="1" applyFont="1" applyFill="1" applyBorder="1" applyAlignment="1">
      <alignment horizontal="left" vertical="center"/>
    </xf>
    <xf numFmtId="176" fontId="16" fillId="7" borderId="11" xfId="0" applyNumberFormat="1" applyFont="1" applyFill="1" applyBorder="1" applyAlignment="1">
      <alignment vertical="center"/>
    </xf>
    <xf numFmtId="0" fontId="27" fillId="5" borderId="16" xfId="17" applyFont="1" applyFill="1" applyBorder="1" applyAlignment="1">
      <alignment horizontal="center" vertical="center"/>
    </xf>
    <xf numFmtId="185" fontId="17" fillId="5" borderId="16" xfId="17" applyNumberFormat="1" applyFont="1" applyFill="1" applyBorder="1" applyAlignment="1">
      <alignment horizontal="right" vertical="center" shrinkToFit="1"/>
    </xf>
    <xf numFmtId="176" fontId="20" fillId="5" borderId="16" xfId="17" applyNumberFormat="1" applyFont="1" applyFill="1" applyBorder="1" applyAlignment="1">
      <alignment horizontal="right" vertical="center" shrinkToFit="1"/>
    </xf>
    <xf numFmtId="41" fontId="28" fillId="0" borderId="12" xfId="17" applyNumberFormat="1" applyFont="1" applyBorder="1" applyAlignment="1">
      <alignment vertical="center" shrinkToFit="1"/>
    </xf>
    <xf numFmtId="41" fontId="27" fillId="0" borderId="7" xfId="17" applyNumberFormat="1" applyFont="1" applyBorder="1" applyAlignment="1">
      <alignment horizontal="right" vertical="center" shrinkToFit="1"/>
    </xf>
    <xf numFmtId="41" fontId="27" fillId="0" borderId="14" xfId="17" applyNumberFormat="1" applyFont="1" applyBorder="1" applyAlignment="1">
      <alignment horizontal="right" vertical="center" shrinkToFit="1"/>
    </xf>
    <xf numFmtId="0" fontId="27" fillId="4" borderId="1" xfId="17" applyFont="1" applyFill="1" applyBorder="1" applyAlignment="1">
      <alignment horizontal="center" vertical="center"/>
    </xf>
    <xf numFmtId="176" fontId="16" fillId="0" borderId="3" xfId="0" applyNumberFormat="1" applyFont="1" applyBorder="1" applyAlignment="1">
      <alignment horizontal="right" vertical="center"/>
    </xf>
    <xf numFmtId="176" fontId="16" fillId="0" borderId="3" xfId="0" applyNumberFormat="1" applyFont="1" applyFill="1" applyBorder="1" applyAlignment="1">
      <alignment horizontal="right" vertical="center"/>
    </xf>
    <xf numFmtId="182" fontId="16" fillId="0" borderId="4" xfId="0" applyNumberFormat="1" applyFont="1" applyBorder="1" applyAlignment="1">
      <alignment horizontal="right" vertical="center"/>
    </xf>
    <xf numFmtId="182" fontId="16" fillId="0" borderId="1" xfId="0" applyNumberFormat="1" applyFont="1" applyBorder="1" applyAlignment="1">
      <alignment horizontal="right" vertical="center"/>
    </xf>
    <xf numFmtId="176" fontId="16" fillId="0" borderId="4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41" fontId="16" fillId="0" borderId="1" xfId="0" applyNumberFormat="1" applyFont="1" applyFill="1" applyBorder="1" applyAlignment="1">
      <alignment horizontal="center" vertical="center"/>
    </xf>
    <xf numFmtId="176" fontId="33" fillId="5" borderId="1" xfId="0" applyNumberFormat="1" applyFont="1" applyFill="1" applyBorder="1" applyAlignment="1">
      <alignment horizontal="center" vertical="center"/>
    </xf>
    <xf numFmtId="176" fontId="33" fillId="5" borderId="7" xfId="0" applyNumberFormat="1" applyFont="1" applyFill="1" applyBorder="1" applyAlignment="1">
      <alignment horizontal="center" vertical="center"/>
    </xf>
    <xf numFmtId="189" fontId="41" fillId="8" borderId="12" xfId="36" applyNumberFormat="1" applyFont="1" applyFill="1" applyBorder="1" applyAlignment="1">
      <alignment horizontal="right" vertical="center"/>
    </xf>
    <xf numFmtId="189" fontId="40" fillId="8" borderId="12" xfId="36" applyNumberFormat="1" applyFont="1" applyFill="1" applyBorder="1" applyAlignment="1">
      <alignment horizontal="right" vertical="center"/>
    </xf>
    <xf numFmtId="41" fontId="29" fillId="0" borderId="0" xfId="17" applyNumberFormat="1">
      <alignment vertical="center"/>
    </xf>
    <xf numFmtId="189" fontId="42" fillId="9" borderId="1" xfId="36" applyNumberFormat="1" applyFont="1" applyFill="1" applyBorder="1" applyAlignment="1">
      <alignment horizontal="right" vertical="center"/>
    </xf>
    <xf numFmtId="176" fontId="16" fillId="5" borderId="1" xfId="0" applyNumberFormat="1" applyFont="1" applyFill="1" applyBorder="1" applyAlignment="1">
      <alignment horizontal="center" vertical="center"/>
    </xf>
    <xf numFmtId="176" fontId="16" fillId="0" borderId="4" xfId="19" applyNumberFormat="1" applyFont="1" applyFill="1" applyBorder="1" applyAlignment="1">
      <alignment horizontal="center" vertical="center"/>
    </xf>
    <xf numFmtId="189" fontId="28" fillId="9" borderId="1" xfId="36" applyNumberFormat="1" applyFont="1" applyFill="1" applyBorder="1" applyAlignment="1">
      <alignment horizontal="right" vertical="center"/>
    </xf>
    <xf numFmtId="176" fontId="43" fillId="5" borderId="4" xfId="0" applyNumberFormat="1" applyFont="1" applyFill="1" applyBorder="1" applyAlignment="1">
      <alignment horizontal="center" vertical="center"/>
    </xf>
    <xf numFmtId="182" fontId="44" fillId="5" borderId="4" xfId="0" applyNumberFormat="1" applyFont="1" applyFill="1" applyBorder="1" applyAlignment="1">
      <alignment horizontal="right" vertical="center"/>
    </xf>
    <xf numFmtId="182" fontId="44" fillId="5" borderId="3" xfId="0" applyNumberFormat="1" applyFont="1" applyFill="1" applyBorder="1" applyAlignment="1">
      <alignment horizontal="right" vertical="center"/>
    </xf>
    <xf numFmtId="9" fontId="44" fillId="5" borderId="5" xfId="0" quotePrefix="1" applyNumberFormat="1" applyFont="1" applyFill="1" applyBorder="1" applyAlignment="1">
      <alignment horizontal="right" vertical="center"/>
    </xf>
    <xf numFmtId="182" fontId="45" fillId="5" borderId="1" xfId="0" applyNumberFormat="1" applyFont="1" applyFill="1" applyBorder="1" applyAlignment="1">
      <alignment horizontal="right" vertical="center"/>
    </xf>
    <xf numFmtId="9" fontId="45" fillId="5" borderId="7" xfId="0" applyNumberFormat="1" applyFont="1" applyFill="1" applyBorder="1" applyAlignment="1">
      <alignment horizontal="right" vertical="center"/>
    </xf>
    <xf numFmtId="176" fontId="43" fillId="5" borderId="1" xfId="0" applyNumberFormat="1" applyFont="1" applyFill="1" applyBorder="1" applyAlignment="1">
      <alignment horizontal="center" vertical="center"/>
    </xf>
    <xf numFmtId="176" fontId="44" fillId="5" borderId="1" xfId="0" applyNumberFormat="1" applyFont="1" applyFill="1" applyBorder="1" applyAlignment="1">
      <alignment horizontal="center" vertical="center"/>
    </xf>
    <xf numFmtId="176" fontId="44" fillId="5" borderId="1" xfId="0" applyNumberFormat="1" applyFont="1" applyFill="1" applyBorder="1" applyAlignment="1">
      <alignment horizontal="right" vertical="center"/>
    </xf>
    <xf numFmtId="9" fontId="45" fillId="5" borderId="1" xfId="0" applyNumberFormat="1" applyFont="1" applyFill="1" applyBorder="1" applyAlignment="1">
      <alignment horizontal="right" vertical="center"/>
    </xf>
    <xf numFmtId="176" fontId="45" fillId="5" borderId="1" xfId="0" applyNumberFormat="1" applyFont="1" applyFill="1" applyBorder="1" applyAlignment="1">
      <alignment horizontal="right" vertical="center"/>
    </xf>
    <xf numFmtId="182" fontId="44" fillId="0" borderId="4" xfId="0" applyNumberFormat="1" applyFont="1" applyFill="1" applyBorder="1" applyAlignment="1">
      <alignment horizontal="right" vertical="center"/>
    </xf>
    <xf numFmtId="176" fontId="46" fillId="0" borderId="0" xfId="0" applyNumberFormat="1" applyFont="1" applyBorder="1" applyAlignment="1">
      <alignment horizontal="center" vertical="center"/>
    </xf>
    <xf numFmtId="182" fontId="28" fillId="0" borderId="12" xfId="0" applyNumberFormat="1" applyFont="1" applyBorder="1" applyAlignment="1">
      <alignment horizontal="right" vertical="center"/>
    </xf>
    <xf numFmtId="176" fontId="28" fillId="0" borderId="12" xfId="15" applyFont="1" applyBorder="1" applyAlignment="1">
      <alignment horizontal="right" vertical="center"/>
    </xf>
    <xf numFmtId="180" fontId="0" fillId="0" borderId="0" xfId="0" applyNumberFormat="1" applyBorder="1" applyAlignment="1">
      <alignment horizontal="center"/>
    </xf>
    <xf numFmtId="187" fontId="27" fillId="6" borderId="35" xfId="0" quotePrefix="1" applyNumberFormat="1" applyFont="1" applyFill="1" applyBorder="1" applyAlignment="1">
      <alignment horizontal="center" vertical="center"/>
    </xf>
    <xf numFmtId="182" fontId="38" fillId="0" borderId="14" xfId="0" applyNumberFormat="1" applyFont="1" applyBorder="1" applyAlignment="1">
      <alignment horizontal="right" vertical="center"/>
    </xf>
    <xf numFmtId="187" fontId="27" fillId="6" borderId="25" xfId="0" quotePrefix="1" applyNumberFormat="1" applyFont="1" applyFill="1" applyBorder="1" applyAlignment="1">
      <alignment horizontal="center" vertical="center"/>
    </xf>
    <xf numFmtId="183" fontId="36" fillId="0" borderId="13" xfId="0" applyNumberFormat="1" applyFont="1" applyBorder="1" applyAlignment="1">
      <alignment horizontal="right" vertical="center" shrinkToFit="1"/>
    </xf>
    <xf numFmtId="176" fontId="38" fillId="0" borderId="14" xfId="15" applyFont="1" applyBorder="1" applyAlignment="1">
      <alignment horizontal="right" vertical="center" shrinkToFit="1"/>
    </xf>
    <xf numFmtId="186" fontId="27" fillId="6" borderId="25" xfId="0" applyNumberFormat="1" applyFont="1" applyFill="1" applyBorder="1" applyAlignment="1">
      <alignment horizontal="center" vertical="center"/>
    </xf>
    <xf numFmtId="183" fontId="36" fillId="0" borderId="13" xfId="0" applyNumberFormat="1" applyFont="1" applyBorder="1" applyAlignment="1">
      <alignment horizontal="right" vertical="center"/>
    </xf>
    <xf numFmtId="176" fontId="17" fillId="4" borderId="3" xfId="0" applyNumberFormat="1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41" fontId="28" fillId="9" borderId="36" xfId="37" applyFont="1" applyFill="1" applyBorder="1" applyAlignment="1">
      <alignment horizontal="center" vertical="center"/>
    </xf>
    <xf numFmtId="176" fontId="16" fillId="0" borderId="1" xfId="15" applyFont="1" applyBorder="1" applyAlignment="1">
      <alignment horizontal="right" vertical="center"/>
    </xf>
    <xf numFmtId="176" fontId="9" fillId="5" borderId="1" xfId="15" applyFont="1" applyFill="1" applyBorder="1" applyAlignment="1">
      <alignment horizontal="right" vertical="center"/>
    </xf>
    <xf numFmtId="176" fontId="9" fillId="5" borderId="7" xfId="15" applyFont="1" applyFill="1" applyBorder="1" applyAlignment="1">
      <alignment horizontal="right" vertical="center"/>
    </xf>
    <xf numFmtId="176" fontId="16" fillId="0" borderId="3" xfId="15" applyFont="1" applyFill="1" applyBorder="1" applyAlignment="1">
      <alignment horizontal="right" vertical="center"/>
    </xf>
    <xf numFmtId="176" fontId="16" fillId="5" borderId="5" xfId="15" quotePrefix="1" applyFont="1" applyFill="1" applyBorder="1" applyAlignment="1">
      <alignment horizontal="right" vertical="center"/>
    </xf>
    <xf numFmtId="41" fontId="16" fillId="0" borderId="1" xfId="0" applyNumberFormat="1" applyFont="1" applyBorder="1" applyAlignment="1">
      <alignment horizontal="right" vertical="center"/>
    </xf>
    <xf numFmtId="41" fontId="28" fillId="0" borderId="1" xfId="17" applyNumberFormat="1" applyFont="1" applyFill="1" applyBorder="1" applyAlignment="1">
      <alignment vertical="center" shrinkToFit="1"/>
    </xf>
    <xf numFmtId="182" fontId="47" fillId="9" borderId="1" xfId="38" applyNumberFormat="1" applyFont="1" applyFill="1" applyBorder="1" applyAlignment="1">
      <alignment horizontal="right" vertical="center"/>
    </xf>
    <xf numFmtId="182" fontId="44" fillId="0" borderId="3" xfId="0" applyNumberFormat="1" applyFont="1" applyFill="1" applyBorder="1" applyAlignment="1">
      <alignment horizontal="right" vertical="center"/>
    </xf>
    <xf numFmtId="182" fontId="47" fillId="9" borderId="1" xfId="52" applyNumberFormat="1" applyFont="1" applyFill="1" applyBorder="1" applyAlignment="1">
      <alignment horizontal="right" vertical="center"/>
    </xf>
    <xf numFmtId="182" fontId="16" fillId="0" borderId="4" xfId="19" applyNumberFormat="1" applyFont="1" applyBorder="1" applyAlignment="1">
      <alignment horizontal="right" vertical="center"/>
    </xf>
    <xf numFmtId="182" fontId="16" fillId="0" borderId="1" xfId="19" applyNumberFormat="1" applyFont="1" applyBorder="1" applyAlignment="1">
      <alignment horizontal="right" vertical="center"/>
    </xf>
    <xf numFmtId="188" fontId="16" fillId="0" borderId="4" xfId="19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center"/>
    </xf>
    <xf numFmtId="176" fontId="16" fillId="2" borderId="1" xfId="0" applyNumberFormat="1" applyFont="1" applyFill="1" applyBorder="1" applyAlignment="1">
      <alignment horizontal="center" vertical="center"/>
    </xf>
    <xf numFmtId="176" fontId="17" fillId="6" borderId="31" xfId="0" applyNumberFormat="1" applyFont="1" applyFill="1" applyBorder="1" applyAlignment="1">
      <alignment horizontal="center" vertical="center"/>
    </xf>
    <xf numFmtId="176" fontId="17" fillId="6" borderId="32" xfId="0" applyNumberFormat="1" applyFont="1" applyFill="1" applyBorder="1" applyAlignment="1">
      <alignment horizontal="center" vertical="center"/>
    </xf>
    <xf numFmtId="176" fontId="17" fillId="6" borderId="22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left" vertical="top"/>
    </xf>
    <xf numFmtId="0" fontId="19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176" fontId="17" fillId="4" borderId="5" xfId="0" applyNumberFormat="1" applyFont="1" applyFill="1" applyBorder="1" applyAlignment="1">
      <alignment horizontal="center" vertical="center"/>
    </xf>
    <xf numFmtId="176" fontId="17" fillId="4" borderId="3" xfId="0" applyNumberFormat="1" applyFont="1" applyFill="1" applyBorder="1" applyAlignment="1">
      <alignment horizontal="center" vertical="center"/>
    </xf>
    <xf numFmtId="176" fontId="17" fillId="6" borderId="25" xfId="0" applyNumberFormat="1" applyFont="1" applyFill="1" applyBorder="1" applyAlignment="1">
      <alignment horizontal="center" vertical="center"/>
    </xf>
    <xf numFmtId="176" fontId="17" fillId="6" borderId="15" xfId="0" applyNumberFormat="1" applyFont="1" applyFill="1" applyBorder="1" applyAlignment="1">
      <alignment horizontal="center" vertical="center"/>
    </xf>
    <xf numFmtId="176" fontId="17" fillId="6" borderId="20" xfId="0" applyNumberFormat="1" applyFont="1" applyFill="1" applyBorder="1" applyAlignment="1">
      <alignment horizontal="center" vertical="center"/>
    </xf>
    <xf numFmtId="176" fontId="17" fillId="6" borderId="26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176" fontId="15" fillId="0" borderId="0" xfId="0" applyNumberFormat="1" applyFont="1" applyAlignment="1">
      <alignment horizontal="center" wrapText="1"/>
    </xf>
    <xf numFmtId="176" fontId="15" fillId="0" borderId="0" xfId="0" applyNumberFormat="1" applyFont="1" applyAlignment="1">
      <alignment horizontal="center"/>
    </xf>
    <xf numFmtId="176" fontId="15" fillId="0" borderId="0" xfId="0" applyNumberFormat="1" applyFont="1" applyAlignment="1">
      <alignment horizontal="center" vertical="top" wrapText="1"/>
    </xf>
    <xf numFmtId="176" fontId="17" fillId="6" borderId="34" xfId="0" applyNumberFormat="1" applyFont="1" applyFill="1" applyBorder="1" applyAlignment="1">
      <alignment horizontal="center" vertical="center"/>
    </xf>
    <xf numFmtId="176" fontId="16" fillId="0" borderId="1" xfId="0" applyNumberFormat="1" applyFont="1" applyBorder="1" applyAlignment="1">
      <alignment horizontal="center" vertical="center"/>
    </xf>
    <xf numFmtId="176" fontId="16" fillId="5" borderId="5" xfId="0" applyNumberFormat="1" applyFont="1" applyFill="1" applyBorder="1" applyAlignment="1">
      <alignment horizontal="center" vertical="center"/>
    </xf>
    <xf numFmtId="176" fontId="16" fillId="5" borderId="3" xfId="0" applyNumberFormat="1" applyFont="1" applyFill="1" applyBorder="1" applyAlignment="1">
      <alignment horizontal="center" vertical="center"/>
    </xf>
    <xf numFmtId="176" fontId="16" fillId="0" borderId="5" xfId="0" applyNumberFormat="1" applyFont="1" applyFill="1" applyBorder="1" applyAlignment="1">
      <alignment horizontal="center" vertical="center"/>
    </xf>
    <xf numFmtId="176" fontId="16" fillId="0" borderId="3" xfId="0" applyNumberFormat="1" applyFont="1" applyFill="1" applyBorder="1" applyAlignment="1">
      <alignment horizontal="center" vertical="center"/>
    </xf>
    <xf numFmtId="176" fontId="17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176" fontId="16" fillId="5" borderId="4" xfId="0" applyNumberFormat="1" applyFont="1" applyFill="1" applyBorder="1" applyAlignment="1">
      <alignment horizontal="center" vertical="center"/>
    </xf>
    <xf numFmtId="176" fontId="16" fillId="5" borderId="23" xfId="0" applyNumberFormat="1" applyFont="1" applyFill="1" applyBorder="1" applyAlignment="1">
      <alignment horizontal="center" vertical="center"/>
    </xf>
    <xf numFmtId="176" fontId="16" fillId="5" borderId="16" xfId="0" applyNumberFormat="1" applyFont="1" applyFill="1" applyBorder="1" applyAlignment="1">
      <alignment horizontal="center" vertical="center"/>
    </xf>
    <xf numFmtId="176" fontId="17" fillId="7" borderId="9" xfId="0" applyNumberFormat="1" applyFont="1" applyFill="1" applyBorder="1" applyAlignment="1">
      <alignment horizontal="center" vertical="center"/>
    </xf>
    <xf numFmtId="176" fontId="17" fillId="7" borderId="8" xfId="0" applyNumberFormat="1" applyFont="1" applyFill="1" applyBorder="1" applyAlignment="1">
      <alignment horizontal="center" vertical="center"/>
    </xf>
    <xf numFmtId="176" fontId="17" fillId="7" borderId="11" xfId="0" applyNumberFormat="1" applyFont="1" applyFill="1" applyBorder="1" applyAlignment="1">
      <alignment horizontal="center" vertical="center"/>
    </xf>
    <xf numFmtId="9" fontId="17" fillId="5" borderId="6" xfId="0" applyNumberFormat="1" applyFont="1" applyFill="1" applyBorder="1" applyAlignment="1">
      <alignment horizontal="right"/>
    </xf>
    <xf numFmtId="9" fontId="17" fillId="5" borderId="6" xfId="0" quotePrefix="1" applyNumberFormat="1" applyFont="1" applyFill="1" applyBorder="1" applyAlignment="1">
      <alignment horizontal="right"/>
    </xf>
    <xf numFmtId="9" fontId="17" fillId="5" borderId="24" xfId="0" quotePrefix="1" applyNumberFormat="1" applyFont="1" applyFill="1" applyBorder="1" applyAlignment="1">
      <alignment horizontal="right"/>
    </xf>
    <xf numFmtId="176" fontId="17" fillId="6" borderId="19" xfId="0" applyNumberFormat="1" applyFont="1" applyFill="1" applyBorder="1" applyAlignment="1">
      <alignment horizontal="center" vertical="center"/>
    </xf>
    <xf numFmtId="176" fontId="16" fillId="2" borderId="4" xfId="0" applyNumberFormat="1" applyFont="1" applyFill="1" applyBorder="1" applyAlignment="1">
      <alignment horizontal="center" vertical="center"/>
    </xf>
    <xf numFmtId="176" fontId="16" fillId="2" borderId="23" xfId="0" applyNumberFormat="1" applyFont="1" applyFill="1" applyBorder="1" applyAlignment="1">
      <alignment horizontal="center" vertical="center"/>
    </xf>
    <xf numFmtId="176" fontId="16" fillId="2" borderId="16" xfId="0" applyNumberFormat="1" applyFont="1" applyFill="1" applyBorder="1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0" fontId="28" fillId="0" borderId="33" xfId="17" applyFont="1" applyBorder="1" applyAlignment="1">
      <alignment horizontal="center" vertical="center"/>
    </xf>
    <xf numFmtId="0" fontId="28" fillId="0" borderId="1" xfId="17" applyFont="1" applyBorder="1" applyAlignment="1">
      <alignment horizontal="center" vertical="center"/>
    </xf>
    <xf numFmtId="0" fontId="28" fillId="0" borderId="11" xfId="17" applyFont="1" applyBorder="1" applyAlignment="1">
      <alignment horizontal="center" vertical="center"/>
    </xf>
    <xf numFmtId="0" fontId="28" fillId="0" borderId="16" xfId="17" applyFont="1" applyBorder="1" applyAlignment="1">
      <alignment horizontal="center" vertical="center"/>
    </xf>
    <xf numFmtId="0" fontId="28" fillId="0" borderId="21" xfId="17" applyFont="1" applyBorder="1" applyAlignment="1">
      <alignment horizontal="center" vertical="center"/>
    </xf>
    <xf numFmtId="0" fontId="28" fillId="0" borderId="12" xfId="17" applyFont="1" applyBorder="1" applyAlignment="1">
      <alignment horizontal="center" vertical="center"/>
    </xf>
    <xf numFmtId="176" fontId="17" fillId="6" borderId="19" xfId="17" applyNumberFormat="1" applyFont="1" applyFill="1" applyBorder="1" applyAlignment="1">
      <alignment horizontal="center" vertical="center"/>
    </xf>
    <xf numFmtId="176" fontId="17" fillId="6" borderId="35" xfId="17" applyNumberFormat="1" applyFont="1" applyFill="1" applyBorder="1" applyAlignment="1">
      <alignment horizontal="center" vertical="center"/>
    </xf>
    <xf numFmtId="0" fontId="27" fillId="4" borderId="33" xfId="17" applyFont="1" applyFill="1" applyBorder="1" applyAlignment="1">
      <alignment horizontal="center" vertical="center"/>
    </xf>
    <xf numFmtId="0" fontId="27" fillId="4" borderId="1" xfId="17" applyFont="1" applyFill="1" applyBorder="1" applyAlignment="1">
      <alignment horizontal="center" vertical="center"/>
    </xf>
    <xf numFmtId="176" fontId="17" fillId="6" borderId="18" xfId="17" applyNumberFormat="1" applyFont="1" applyFill="1" applyBorder="1" applyAlignment="1">
      <alignment horizontal="center" vertical="center"/>
    </xf>
    <xf numFmtId="0" fontId="29" fillId="6" borderId="19" xfId="17" applyFill="1" applyBorder="1">
      <alignment vertical="center"/>
    </xf>
    <xf numFmtId="0" fontId="29" fillId="6" borderId="33" xfId="17" applyFill="1" applyBorder="1">
      <alignment vertical="center"/>
    </xf>
    <xf numFmtId="0" fontId="29" fillId="6" borderId="1" xfId="17" applyFill="1" applyBorder="1">
      <alignment vertical="center"/>
    </xf>
    <xf numFmtId="0" fontId="30" fillId="6" borderId="19" xfId="17" applyFont="1" applyFill="1" applyBorder="1" applyAlignment="1">
      <alignment horizontal="center" vertical="center"/>
    </xf>
    <xf numFmtId="0" fontId="30" fillId="6" borderId="1" xfId="17" applyFont="1" applyFill="1" applyBorder="1" applyAlignment="1">
      <alignment horizontal="center" vertical="center"/>
    </xf>
    <xf numFmtId="0" fontId="28" fillId="0" borderId="33" xfId="17" applyFont="1" applyFill="1" applyBorder="1" applyAlignment="1">
      <alignment horizontal="center" vertical="center"/>
    </xf>
    <xf numFmtId="0" fontId="28" fillId="0" borderId="1" xfId="17" applyFont="1" applyFill="1" applyBorder="1" applyAlignment="1">
      <alignment horizontal="center" vertical="center"/>
    </xf>
  </cellXfs>
  <cellStyles count="54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쉼표 [0] 3" xfId="30"/>
    <cellStyle name="쉼표 [0] 4" xfId="37"/>
    <cellStyle name="쉼표 [0] 5" xfId="53"/>
    <cellStyle name="표준" xfId="0" builtinId="0"/>
    <cellStyle name="표준 2" xfId="19"/>
    <cellStyle name="표준 3" xfId="18"/>
    <cellStyle name="표준 3 2" xfId="21"/>
    <cellStyle name="표준 3 2 2" xfId="26"/>
    <cellStyle name="표준 3 2 2 2" xfId="36"/>
    <cellStyle name="표준 3 2 2 2 2" xfId="52"/>
    <cellStyle name="표준 3 2 2 3" xfId="44"/>
    <cellStyle name="표준 3 2 3" xfId="24"/>
    <cellStyle name="표준 3 2 3 2" xfId="34"/>
    <cellStyle name="표준 3 2 3 2 2" xfId="50"/>
    <cellStyle name="표준 3 2 3 3" xfId="42"/>
    <cellStyle name="표준 3 2 4" xfId="32"/>
    <cellStyle name="표준 3 2 4 2" xfId="48"/>
    <cellStyle name="표준 3 2 5" xfId="40"/>
    <cellStyle name="표준 3 3" xfId="25"/>
    <cellStyle name="표준 3 3 2" xfId="35"/>
    <cellStyle name="표준 3 3 2 2" xfId="51"/>
    <cellStyle name="표준 3 3 3" xfId="43"/>
    <cellStyle name="표준 3 4" xfId="23"/>
    <cellStyle name="표준 3 4 2" xfId="33"/>
    <cellStyle name="표준 3 4 2 2" xfId="49"/>
    <cellStyle name="표준 3 4 3" xfId="41"/>
    <cellStyle name="표준 3 5" xfId="27"/>
    <cellStyle name="표준 3 5 2" xfId="45"/>
    <cellStyle name="표준 3 6" xfId="31"/>
    <cellStyle name="표준 3 6 2" xfId="47"/>
    <cellStyle name="표준 3 7" xfId="39"/>
    <cellStyle name="표준 4" xfId="22"/>
    <cellStyle name="표준 5" xfId="29"/>
    <cellStyle name="표준 6" xfId="28"/>
    <cellStyle name="표준 6 2" xfId="46"/>
    <cellStyle name="표준 7" xfId="3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'21년 12월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116876152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'22년 12월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116137277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5437696"/>
        <c:axId val="195439232"/>
        <c:axId val="0"/>
      </c:bar3DChart>
      <c:catAx>
        <c:axId val="195437696"/>
        <c:scaling>
          <c:orientation val="minMax"/>
        </c:scaling>
        <c:delete val="1"/>
        <c:axPos val="b"/>
        <c:majorTickMark val="out"/>
        <c:minorTickMark val="none"/>
        <c:tickLblPos val="none"/>
        <c:crossAx val="195439232"/>
        <c:crosses val="autoZero"/>
        <c:auto val="1"/>
        <c:lblAlgn val="ctr"/>
        <c:lblOffset val="100"/>
        <c:noMultiLvlLbl val="0"/>
      </c:catAx>
      <c:valAx>
        <c:axId val="195439232"/>
        <c:scaling>
          <c:orientation val="minMax"/>
          <c:min val="10000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54376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'21년 12월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936246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'22년 12월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851953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5484672"/>
        <c:axId val="195629824"/>
        <c:axId val="0"/>
      </c:bar3DChart>
      <c:catAx>
        <c:axId val="195484672"/>
        <c:scaling>
          <c:orientation val="minMax"/>
        </c:scaling>
        <c:delete val="1"/>
        <c:axPos val="b"/>
        <c:majorTickMark val="out"/>
        <c:minorTickMark val="none"/>
        <c:tickLblPos val="none"/>
        <c:crossAx val="195629824"/>
        <c:crosses val="autoZero"/>
        <c:auto val="1"/>
        <c:lblAlgn val="ctr"/>
        <c:lblOffset val="100"/>
        <c:noMultiLvlLbl val="0"/>
      </c:catAx>
      <c:valAx>
        <c:axId val="195629824"/>
        <c:scaling>
          <c:orientation val="minMax"/>
          <c:min val="10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548467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수송실적'!$I$3:$N$3</c:f>
              <c:strCache>
                <c:ptCount val="6"/>
                <c:pt idx="0">
                  <c:v>17 </c:v>
                </c:pt>
                <c:pt idx="1">
                  <c:v>18 </c:v>
                </c:pt>
                <c:pt idx="2">
                  <c:v>19 </c:v>
                </c:pt>
                <c:pt idx="3">
                  <c:v>20 </c:v>
                </c:pt>
                <c:pt idx="4">
                  <c:v>21 </c:v>
                </c:pt>
                <c:pt idx="5">
                  <c:v>22.12.</c:v>
                </c:pt>
              </c:strCache>
            </c:strRef>
          </c:cat>
          <c:val>
            <c:numRef>
              <c:f>'연도별 수송실적'!$I$4:$N$4</c:f>
              <c:numCache>
                <c:formatCode>#,###,</c:formatCode>
                <c:ptCount val="6"/>
                <c:pt idx="0">
                  <c:v>116470047</c:v>
                </c:pt>
                <c:pt idx="1">
                  <c:v>115078864</c:v>
                </c:pt>
                <c:pt idx="2">
                  <c:v>113201331</c:v>
                </c:pt>
                <c:pt idx="3">
                  <c:v>106845294</c:v>
                </c:pt>
                <c:pt idx="4">
                  <c:v>116876152</c:v>
                </c:pt>
                <c:pt idx="5">
                  <c:v>116137277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724800"/>
        <c:axId val="195726720"/>
      </c:lineChart>
      <c:catAx>
        <c:axId val="195724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5726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572672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572480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수송실적'!$B$6:$G$6</c:f>
              <c:strCache>
                <c:ptCount val="6"/>
                <c:pt idx="0">
                  <c:v>17 </c:v>
                </c:pt>
                <c:pt idx="1">
                  <c:v>18 </c:v>
                </c:pt>
                <c:pt idx="2">
                  <c:v>19 </c:v>
                </c:pt>
                <c:pt idx="3">
                  <c:v>20 </c:v>
                </c:pt>
                <c:pt idx="4">
                  <c:v>21 </c:v>
                </c:pt>
                <c:pt idx="5">
                  <c:v>22.12.</c:v>
                </c:pt>
              </c:strCache>
            </c:str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643233</c:v>
                </c:pt>
                <c:pt idx="1">
                  <c:v>689852</c:v>
                </c:pt>
                <c:pt idx="2">
                  <c:v>725047</c:v>
                </c:pt>
                <c:pt idx="3">
                  <c:v>792643</c:v>
                </c:pt>
                <c:pt idx="4">
                  <c:v>936246</c:v>
                </c:pt>
                <c:pt idx="5">
                  <c:v>851953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739008"/>
        <c:axId val="195749376"/>
      </c:lineChart>
      <c:catAx>
        <c:axId val="195739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57493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574937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573900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수송실적'!$I$6:$N$6</c:f>
              <c:strCache>
                <c:ptCount val="6"/>
                <c:pt idx="0">
                  <c:v>17 </c:v>
                </c:pt>
                <c:pt idx="1">
                  <c:v>18 </c:v>
                </c:pt>
                <c:pt idx="2">
                  <c:v>19 </c:v>
                </c:pt>
                <c:pt idx="3">
                  <c:v>20 </c:v>
                </c:pt>
                <c:pt idx="4">
                  <c:v>21 </c:v>
                </c:pt>
                <c:pt idx="5">
                  <c:v>22.12.</c:v>
                </c:pt>
              </c:strCache>
            </c:str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482428</c:v>
                </c:pt>
                <c:pt idx="1">
                  <c:v>452480</c:v>
                </c:pt>
                <c:pt idx="2">
                  <c:v>623733</c:v>
                </c:pt>
                <c:pt idx="3">
                  <c:v>40267</c:v>
                </c:pt>
                <c:pt idx="4" formatCode="_ * #,##0_ ;_ * \-#,##0_ ;_ * &quot;-&quot;_ ;_ @_ ">
                  <c:v>0</c:v>
                </c:pt>
                <c:pt idx="5" formatCode="_ * #,##0_ ;_ * \-#,##0_ ;_ * &quot;-&quot;_ ;_ @_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668096"/>
        <c:axId val="225678464"/>
      </c:lineChart>
      <c:catAx>
        <c:axId val="225668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5678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56784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566809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수송실적'!$B$3:$G$3</c:f>
              <c:strCache>
                <c:ptCount val="6"/>
                <c:pt idx="0">
                  <c:v>17 </c:v>
                </c:pt>
                <c:pt idx="1">
                  <c:v>18 </c:v>
                </c:pt>
                <c:pt idx="2">
                  <c:v>19 </c:v>
                </c:pt>
                <c:pt idx="3">
                  <c:v>20 </c:v>
                </c:pt>
                <c:pt idx="4">
                  <c:v>21 </c:v>
                </c:pt>
                <c:pt idx="5">
                  <c:v>22.12.</c:v>
                </c:pt>
              </c:strCache>
            </c:str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16473</c:v>
                </c:pt>
                <c:pt idx="5">
                  <c:v>16626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684864"/>
        <c:axId val="225711616"/>
      </c:lineChart>
      <c:catAx>
        <c:axId val="225684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5711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571161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568486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수송실적'!$B$3:$G$3</c:f>
              <c:strCache>
                <c:ptCount val="6"/>
                <c:pt idx="0">
                  <c:v>17 </c:v>
                </c:pt>
                <c:pt idx="1">
                  <c:v>18 </c:v>
                </c:pt>
                <c:pt idx="2">
                  <c:v>19 </c:v>
                </c:pt>
                <c:pt idx="3">
                  <c:v>20 </c:v>
                </c:pt>
                <c:pt idx="4">
                  <c:v>21 </c:v>
                </c:pt>
                <c:pt idx="5">
                  <c:v>22.12.</c:v>
                </c:pt>
              </c:strCache>
            </c:str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16473</c:v>
                </c:pt>
                <c:pt idx="5">
                  <c:v>16626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736192"/>
        <c:axId val="225738112"/>
      </c:lineChart>
      <c:catAx>
        <c:axId val="22573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5738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573811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573619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:a16="http://schemas.microsoft.com/office/drawing/2014/main" xmlns="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:a16="http://schemas.microsoft.com/office/drawing/2014/main" xmlns="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1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topLeftCell="A3" zoomScaleNormal="100" zoomScaleSheetLayoutView="110" workbookViewId="0">
      <pane xSplit="4" ySplit="5" topLeftCell="E14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9" bestFit="1" customWidth="1"/>
    <col min="11" max="11" width="7.75" style="8" customWidth="1"/>
    <col min="12" max="12" width="13.75" style="10" bestFit="1" customWidth="1"/>
    <col min="13" max="13" width="7.75" style="11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7" t="s">
        <v>26</v>
      </c>
      <c r="L1" s="231"/>
      <c r="M1" s="231"/>
    </row>
    <row r="2" spans="2:15" ht="33" customHeight="1">
      <c r="B2" s="243" t="s">
        <v>49</v>
      </c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</row>
    <row r="3" spans="2:15" ht="27.75" customHeight="1">
      <c r="B3" s="245" t="s">
        <v>105</v>
      </c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</row>
    <row r="4" spans="2:15" ht="21.2" customHeight="1" thickBot="1">
      <c r="B4" s="252" t="s">
        <v>71</v>
      </c>
      <c r="C4" s="253"/>
      <c r="D4" s="253"/>
      <c r="E4" s="253"/>
      <c r="F4" s="253"/>
      <c r="G4" s="253"/>
      <c r="H4" s="253"/>
      <c r="I4" s="253"/>
      <c r="J4" s="253"/>
      <c r="K4" s="253"/>
      <c r="L4" s="253"/>
      <c r="M4" s="253"/>
    </row>
    <row r="5" spans="2:15" ht="21.2" customHeight="1">
      <c r="B5" s="237" t="s">
        <v>7</v>
      </c>
      <c r="C5" s="238"/>
      <c r="D5" s="239"/>
      <c r="E5" s="32"/>
      <c r="F5" s="235" t="s">
        <v>72</v>
      </c>
      <c r="G5" s="246"/>
      <c r="H5" s="263" t="s">
        <v>97</v>
      </c>
      <c r="I5" s="263"/>
      <c r="J5" s="234" t="s">
        <v>15</v>
      </c>
      <c r="K5" s="235"/>
      <c r="L5" s="235"/>
      <c r="M5" s="236"/>
    </row>
    <row r="6" spans="2:15" ht="20.25" customHeight="1">
      <c r="B6" s="240"/>
      <c r="C6" s="241"/>
      <c r="D6" s="242"/>
      <c r="E6" s="33" t="s">
        <v>11</v>
      </c>
      <c r="F6" s="98" t="s">
        <v>101</v>
      </c>
      <c r="G6" s="34" t="s">
        <v>102</v>
      </c>
      <c r="H6" s="98" t="s">
        <v>103</v>
      </c>
      <c r="I6" s="99" t="s">
        <v>104</v>
      </c>
      <c r="J6" s="34" t="s">
        <v>57</v>
      </c>
      <c r="K6" s="35" t="s">
        <v>16</v>
      </c>
      <c r="L6" s="36" t="s">
        <v>18</v>
      </c>
      <c r="M6" s="37" t="s">
        <v>16</v>
      </c>
    </row>
    <row r="7" spans="2:15" ht="21.2" customHeight="1">
      <c r="B7" s="257" t="s">
        <v>21</v>
      </c>
      <c r="C7" s="232" t="s">
        <v>12</v>
      </c>
      <c r="D7" s="233"/>
      <c r="E7" s="12">
        <f>SUM(E8:E9)</f>
        <v>16473</v>
      </c>
      <c r="F7" s="12">
        <f>SUM(F8:F9)</f>
        <v>1368</v>
      </c>
      <c r="G7" s="12">
        <f>SUM(G8:G9)</f>
        <v>16473</v>
      </c>
      <c r="H7" s="12">
        <f>SUM(H8:H9)</f>
        <v>1370</v>
      </c>
      <c r="I7" s="12">
        <f>SUM(I8:I9)</f>
        <v>16626</v>
      </c>
      <c r="J7" s="12">
        <f>H7-F7</f>
        <v>2</v>
      </c>
      <c r="K7" s="15">
        <f>H7/F7</f>
        <v>1.0014619883040936</v>
      </c>
      <c r="L7" s="13">
        <f>I7-G7</f>
        <v>153</v>
      </c>
      <c r="M7" s="21">
        <f>I7/G7</f>
        <v>1.0092879256965945</v>
      </c>
    </row>
    <row r="8" spans="2:15" ht="19.5" customHeight="1">
      <c r="B8" s="258"/>
      <c r="C8" s="248" t="s">
        <v>9</v>
      </c>
      <c r="D8" s="249"/>
      <c r="E8" s="129">
        <v>10091</v>
      </c>
      <c r="F8" s="129">
        <v>880</v>
      </c>
      <c r="G8" s="129">
        <v>10091</v>
      </c>
      <c r="H8" s="129">
        <v>827</v>
      </c>
      <c r="I8" s="141">
        <v>10009</v>
      </c>
      <c r="J8" s="3">
        <f t="shared" ref="J8:J28" si="0">H8-F8</f>
        <v>-53</v>
      </c>
      <c r="K8" s="17">
        <f t="shared" ref="K8:K28" si="1">H8/F8</f>
        <v>0.93977272727272732</v>
      </c>
      <c r="L8" s="18">
        <f t="shared" ref="L8:L28" si="2">I8-G8</f>
        <v>-82</v>
      </c>
      <c r="M8" s="22">
        <f t="shared" ref="M8:M28" si="3">I8/G8</f>
        <v>0.99187394708155785</v>
      </c>
    </row>
    <row r="9" spans="2:15" ht="19.5" customHeight="1">
      <c r="B9" s="259"/>
      <c r="C9" s="250" t="s">
        <v>10</v>
      </c>
      <c r="D9" s="251"/>
      <c r="E9" s="130">
        <v>6382</v>
      </c>
      <c r="F9" s="130">
        <v>488</v>
      </c>
      <c r="G9" s="130">
        <v>6382</v>
      </c>
      <c r="H9" s="130">
        <v>543</v>
      </c>
      <c r="I9" s="141">
        <v>6617</v>
      </c>
      <c r="J9" s="130">
        <f t="shared" si="0"/>
        <v>55</v>
      </c>
      <c r="K9" s="19">
        <f t="shared" si="1"/>
        <v>1.1127049180327868</v>
      </c>
      <c r="L9" s="20">
        <f t="shared" si="2"/>
        <v>235</v>
      </c>
      <c r="M9" s="23">
        <f t="shared" si="3"/>
        <v>1.0368223127546223</v>
      </c>
    </row>
    <row r="10" spans="2:15" ht="21.2" customHeight="1">
      <c r="B10" s="257" t="s">
        <v>22</v>
      </c>
      <c r="C10" s="232" t="s">
        <v>8</v>
      </c>
      <c r="D10" s="233"/>
      <c r="E10" s="38">
        <f>E11+E15</f>
        <v>116876152</v>
      </c>
      <c r="F10" s="38">
        <f>F11+F15</f>
        <v>10356261</v>
      </c>
      <c r="G10" s="38">
        <f>G11+G15</f>
        <v>116876152</v>
      </c>
      <c r="H10" s="38">
        <f>H11+H15</f>
        <v>9760374</v>
      </c>
      <c r="I10" s="38">
        <f>I11+I15</f>
        <v>116137277</v>
      </c>
      <c r="J10" s="38">
        <f t="shared" si="0"/>
        <v>-595887</v>
      </c>
      <c r="K10" s="15">
        <f t="shared" si="1"/>
        <v>0.94246118362602105</v>
      </c>
      <c r="L10" s="115">
        <f>I10-G10</f>
        <v>-738875</v>
      </c>
      <c r="M10" s="21">
        <f t="shared" si="3"/>
        <v>0.9936781371789174</v>
      </c>
    </row>
    <row r="11" spans="2:15" ht="19.5" customHeight="1">
      <c r="B11" s="258"/>
      <c r="C11" s="254" t="s">
        <v>1</v>
      </c>
      <c r="D11" s="145" t="s">
        <v>0</v>
      </c>
      <c r="E11" s="146">
        <f>SUM(E12:E14)</f>
        <v>104967519</v>
      </c>
      <c r="F11" s="146">
        <f>SUM(F12:F14)</f>
        <v>9253827</v>
      </c>
      <c r="G11" s="146">
        <f>SUM(G12:G14)</f>
        <v>104967519</v>
      </c>
      <c r="H11" s="146">
        <f>SUM(H12:H14)</f>
        <v>8838268</v>
      </c>
      <c r="I11" s="146">
        <f>SUM(I12:I14)</f>
        <v>104335502</v>
      </c>
      <c r="J11" s="147">
        <f>H11-F11</f>
        <v>-415559</v>
      </c>
      <c r="K11" s="148">
        <f t="shared" si="1"/>
        <v>0.95509328194702581</v>
      </c>
      <c r="L11" s="149">
        <f>I11-G11</f>
        <v>-632017</v>
      </c>
      <c r="M11" s="150">
        <f t="shared" si="3"/>
        <v>0.99397892790054421</v>
      </c>
    </row>
    <row r="12" spans="2:15" ht="19.5" customHeight="1">
      <c r="B12" s="258"/>
      <c r="C12" s="255"/>
      <c r="D12" s="4" t="s">
        <v>5</v>
      </c>
      <c r="E12" s="131">
        <v>84583157</v>
      </c>
      <c r="F12" s="131">
        <v>7652227</v>
      </c>
      <c r="G12" s="131">
        <v>84583157</v>
      </c>
      <c r="H12" s="219">
        <v>7339164</v>
      </c>
      <c r="I12" s="216">
        <v>85021042</v>
      </c>
      <c r="J12" s="111">
        <f t="shared" si="0"/>
        <v>-313063</v>
      </c>
      <c r="K12" s="17">
        <f t="shared" si="1"/>
        <v>0.95908864177709308</v>
      </c>
      <c r="L12" s="113">
        <f t="shared" si="2"/>
        <v>437885</v>
      </c>
      <c r="M12" s="22">
        <f t="shared" si="3"/>
        <v>1.0051769763098344</v>
      </c>
      <c r="O12" s="110"/>
    </row>
    <row r="13" spans="2:15" ht="19.5" customHeight="1">
      <c r="B13" s="258"/>
      <c r="C13" s="255"/>
      <c r="D13" s="4" t="s">
        <v>6</v>
      </c>
      <c r="E13" s="131">
        <v>15412892</v>
      </c>
      <c r="F13" s="131">
        <v>1248540</v>
      </c>
      <c r="G13" s="131">
        <v>15412892</v>
      </c>
      <c r="H13" s="219">
        <v>1249586</v>
      </c>
      <c r="I13" s="218">
        <v>15759226</v>
      </c>
      <c r="J13" s="111">
        <f t="shared" si="0"/>
        <v>1046</v>
      </c>
      <c r="K13" s="17">
        <f t="shared" si="1"/>
        <v>1.0008377785253175</v>
      </c>
      <c r="L13" s="113">
        <f t="shared" si="2"/>
        <v>346334</v>
      </c>
      <c r="M13" s="22">
        <f t="shared" si="3"/>
        <v>1.0224704098361295</v>
      </c>
    </row>
    <row r="14" spans="2:15" ht="19.5" customHeight="1">
      <c r="B14" s="258"/>
      <c r="C14" s="256"/>
      <c r="D14" s="4" t="s">
        <v>13</v>
      </c>
      <c r="E14" s="131">
        <v>4971470</v>
      </c>
      <c r="F14" s="131">
        <f>204233+148827</f>
        <v>353060</v>
      </c>
      <c r="G14" s="131">
        <f>2539577+2431893</f>
        <v>4971470</v>
      </c>
      <c r="H14" s="221">
        <f>105785+143733</f>
        <v>249518</v>
      </c>
      <c r="I14" s="218">
        <v>3555234</v>
      </c>
      <c r="J14" s="111">
        <f t="shared" si="0"/>
        <v>-103542</v>
      </c>
      <c r="K14" s="17">
        <f>H14/F14</f>
        <v>0.70672973432277797</v>
      </c>
      <c r="L14" s="113">
        <f t="shared" si="2"/>
        <v>-1416236</v>
      </c>
      <c r="M14" s="22">
        <f t="shared" si="3"/>
        <v>0.71512731646776506</v>
      </c>
    </row>
    <row r="15" spans="2:15" ht="19.5" customHeight="1">
      <c r="B15" s="258"/>
      <c r="C15" s="264" t="s">
        <v>2</v>
      </c>
      <c r="D15" s="71" t="s">
        <v>0</v>
      </c>
      <c r="E15" s="68">
        <f>SUM(E16:E18)</f>
        <v>11908633</v>
      </c>
      <c r="F15" s="156">
        <f>SUM(F16:F18)</f>
        <v>1102434</v>
      </c>
      <c r="G15" s="156">
        <f>SUM(G16:G18)</f>
        <v>11908633</v>
      </c>
      <c r="H15" s="156">
        <f>SUM(H16:H18)</f>
        <v>922106</v>
      </c>
      <c r="I15" s="156">
        <f>SUM(I16:I18)</f>
        <v>11801775</v>
      </c>
      <c r="J15" s="217">
        <f t="shared" si="0"/>
        <v>-180328</v>
      </c>
      <c r="K15" s="69">
        <f t="shared" si="1"/>
        <v>0.83642739610715922</v>
      </c>
      <c r="L15" s="114">
        <f t="shared" si="2"/>
        <v>-106858</v>
      </c>
      <c r="M15" s="70">
        <f t="shared" si="3"/>
        <v>0.99102684581849154</v>
      </c>
    </row>
    <row r="16" spans="2:15" ht="19.5" customHeight="1">
      <c r="B16" s="258"/>
      <c r="C16" s="265"/>
      <c r="D16" s="4" t="s">
        <v>3</v>
      </c>
      <c r="E16" s="131">
        <v>8645260</v>
      </c>
      <c r="F16" s="131">
        <v>859483</v>
      </c>
      <c r="G16" s="131">
        <v>8645260</v>
      </c>
      <c r="H16" s="219">
        <v>632067</v>
      </c>
      <c r="I16" s="218">
        <v>8295705</v>
      </c>
      <c r="J16" s="112">
        <f t="shared" si="0"/>
        <v>-227416</v>
      </c>
      <c r="K16" s="17">
        <f t="shared" si="1"/>
        <v>0.73540372526274511</v>
      </c>
      <c r="L16" s="113">
        <f t="shared" si="2"/>
        <v>-349555</v>
      </c>
      <c r="M16" s="22">
        <f t="shared" si="3"/>
        <v>0.95956686091569254</v>
      </c>
    </row>
    <row r="17" spans="1:13" ht="19.5" customHeight="1">
      <c r="B17" s="258"/>
      <c r="C17" s="265"/>
      <c r="D17" s="5" t="s">
        <v>4</v>
      </c>
      <c r="E17" s="132">
        <v>3263373</v>
      </c>
      <c r="F17" s="132">
        <v>242951</v>
      </c>
      <c r="G17" s="132">
        <v>3263373</v>
      </c>
      <c r="H17" s="220">
        <v>290039</v>
      </c>
      <c r="I17" s="218">
        <v>3506070</v>
      </c>
      <c r="J17" s="112">
        <f t="shared" si="0"/>
        <v>47088</v>
      </c>
      <c r="K17" s="17">
        <f t="shared" si="1"/>
        <v>1.1938168601899148</v>
      </c>
      <c r="L17" s="113">
        <f t="shared" si="2"/>
        <v>242697</v>
      </c>
      <c r="M17" s="22">
        <f t="shared" si="3"/>
        <v>1.0743699846753649</v>
      </c>
    </row>
    <row r="18" spans="1:13" ht="19.5" customHeight="1">
      <c r="B18" s="259"/>
      <c r="C18" s="266"/>
      <c r="D18" s="5" t="s">
        <v>17</v>
      </c>
      <c r="E18" s="136">
        <v>0</v>
      </c>
      <c r="F18" s="214">
        <v>0</v>
      </c>
      <c r="G18" s="214">
        <v>0</v>
      </c>
      <c r="H18" s="142">
        <v>0</v>
      </c>
      <c r="I18" s="209">
        <v>0</v>
      </c>
      <c r="J18" s="212">
        <f t="shared" si="0"/>
        <v>0</v>
      </c>
      <c r="K18" s="213">
        <v>0</v>
      </c>
      <c r="L18" s="210">
        <f t="shared" si="2"/>
        <v>0</v>
      </c>
      <c r="M18" s="211">
        <v>0</v>
      </c>
    </row>
    <row r="19" spans="1:13" ht="20.100000000000001" customHeight="1">
      <c r="B19" s="24"/>
      <c r="C19" s="25"/>
      <c r="D19" s="6"/>
      <c r="E19" s="14"/>
      <c r="F19" s="157"/>
      <c r="G19" s="157"/>
      <c r="H19" s="1"/>
      <c r="I19" s="14"/>
      <c r="J19" s="16"/>
      <c r="K19" s="260" t="s">
        <v>23</v>
      </c>
      <c r="L19" s="261"/>
      <c r="M19" s="262"/>
    </row>
    <row r="20" spans="1:13" ht="21.2" customHeight="1">
      <c r="B20" s="117"/>
      <c r="C20" s="232" t="s">
        <v>8</v>
      </c>
      <c r="D20" s="233"/>
      <c r="E20" s="74">
        <f>SUM(E21,E25)</f>
        <v>936246</v>
      </c>
      <c r="F20" s="168">
        <f>SUM(F21,F25)</f>
        <v>79925</v>
      </c>
      <c r="G20" s="168">
        <f>SUM(G21,G25)</f>
        <v>936246</v>
      </c>
      <c r="H20" s="74">
        <f>SUM(H21,H25)</f>
        <v>61527</v>
      </c>
      <c r="I20" s="74">
        <f>SUM(I21,I25)</f>
        <v>851953</v>
      </c>
      <c r="J20" s="75">
        <f t="shared" si="0"/>
        <v>-18398</v>
      </c>
      <c r="K20" s="76">
        <f t="shared" si="1"/>
        <v>0.76980919612136378</v>
      </c>
      <c r="L20" s="77">
        <f t="shared" si="2"/>
        <v>-84293</v>
      </c>
      <c r="M20" s="21">
        <f>I20/G20</f>
        <v>0.90996703857746786</v>
      </c>
    </row>
    <row r="21" spans="1:13" ht="19.5" customHeight="1">
      <c r="B21" s="118"/>
      <c r="C21" s="247" t="s">
        <v>1</v>
      </c>
      <c r="D21" s="151" t="s">
        <v>0</v>
      </c>
      <c r="E21" s="152">
        <f>SUM(E22:E24)</f>
        <v>936246</v>
      </c>
      <c r="F21" s="152">
        <f>SUM(F22:F24)</f>
        <v>79925</v>
      </c>
      <c r="G21" s="152">
        <f>SUM(G22:G24)</f>
        <v>936246</v>
      </c>
      <c r="H21" s="152">
        <f>SUM(H22:H24)</f>
        <v>61527</v>
      </c>
      <c r="I21" s="152">
        <f>SUM(I22:I24)</f>
        <v>851953</v>
      </c>
      <c r="J21" s="153">
        <f t="shared" si="0"/>
        <v>-18398</v>
      </c>
      <c r="K21" s="154">
        <f t="shared" si="1"/>
        <v>0.76980919612136378</v>
      </c>
      <c r="L21" s="155">
        <f t="shared" si="2"/>
        <v>-84293</v>
      </c>
      <c r="M21" s="150">
        <f t="shared" si="3"/>
        <v>0.90996703857746786</v>
      </c>
    </row>
    <row r="22" spans="1:13" ht="19.5" customHeight="1">
      <c r="B22" s="119" t="s">
        <v>19</v>
      </c>
      <c r="C22" s="247"/>
      <c r="D22" s="41" t="s">
        <v>5</v>
      </c>
      <c r="E22" s="133">
        <v>467367</v>
      </c>
      <c r="F22" s="133">
        <v>39110.5</v>
      </c>
      <c r="G22" s="133">
        <v>467367</v>
      </c>
      <c r="H22" s="143">
        <v>30815</v>
      </c>
      <c r="I22" s="144">
        <v>416040.5</v>
      </c>
      <c r="J22" s="109">
        <f t="shared" si="0"/>
        <v>-8295.5</v>
      </c>
      <c r="K22" s="40">
        <f t="shared" si="1"/>
        <v>0.78789583359967275</v>
      </c>
      <c r="L22" s="20">
        <f t="shared" si="2"/>
        <v>-51326.5</v>
      </c>
      <c r="M22" s="22">
        <f t="shared" si="3"/>
        <v>0.89017945212220806</v>
      </c>
    </row>
    <row r="23" spans="1:13" ht="19.5" customHeight="1">
      <c r="B23" s="119" t="s">
        <v>20</v>
      </c>
      <c r="C23" s="247"/>
      <c r="D23" s="2" t="s">
        <v>14</v>
      </c>
      <c r="E23" s="133">
        <v>457531</v>
      </c>
      <c r="F23" s="133">
        <v>40501.5</v>
      </c>
      <c r="G23" s="133">
        <v>457531</v>
      </c>
      <c r="H23" s="143">
        <v>30257</v>
      </c>
      <c r="I23" s="144">
        <v>418271.5</v>
      </c>
      <c r="J23" s="109">
        <f t="shared" si="0"/>
        <v>-10244.5</v>
      </c>
      <c r="K23" s="40">
        <f t="shared" si="1"/>
        <v>0.74705875091046015</v>
      </c>
      <c r="L23" s="18">
        <f t="shared" si="2"/>
        <v>-39259.5</v>
      </c>
      <c r="M23" s="22">
        <f t="shared" si="3"/>
        <v>0.9141926995110714</v>
      </c>
    </row>
    <row r="24" spans="1:13" ht="19.5" customHeight="1">
      <c r="B24" s="120"/>
      <c r="C24" s="247"/>
      <c r="D24" s="2" t="s">
        <v>13</v>
      </c>
      <c r="E24" s="133">
        <v>11348</v>
      </c>
      <c r="F24" s="133">
        <f>255+58</f>
        <v>313</v>
      </c>
      <c r="G24" s="133">
        <f>6763+4585</f>
        <v>11348</v>
      </c>
      <c r="H24" s="143">
        <f>311+144</f>
        <v>455</v>
      </c>
      <c r="I24" s="144">
        <f>9104+8537</f>
        <v>17641</v>
      </c>
      <c r="J24" s="109">
        <f t="shared" si="0"/>
        <v>142</v>
      </c>
      <c r="K24" s="40">
        <f t="shared" si="1"/>
        <v>1.4536741214057507</v>
      </c>
      <c r="L24" s="18">
        <f t="shared" si="2"/>
        <v>6293</v>
      </c>
      <c r="M24" s="22">
        <f t="shared" si="3"/>
        <v>1.5545470567500881</v>
      </c>
    </row>
    <row r="25" spans="1:13" ht="19.5" customHeight="1">
      <c r="B25" s="118"/>
      <c r="C25" s="224" t="s">
        <v>2</v>
      </c>
      <c r="D25" s="72" t="s">
        <v>69</v>
      </c>
      <c r="E25" s="136">
        <f>SUM(E26:E27)</f>
        <v>0</v>
      </c>
      <c r="F25" s="142">
        <v>0</v>
      </c>
      <c r="G25" s="142">
        <v>0</v>
      </c>
      <c r="H25" s="142">
        <v>0</v>
      </c>
      <c r="I25" s="142">
        <f>SUM(I26:I27)</f>
        <v>0</v>
      </c>
      <c r="J25" s="73">
        <f t="shared" si="0"/>
        <v>0</v>
      </c>
      <c r="K25" s="136">
        <v>0</v>
      </c>
      <c r="L25" s="18">
        <f t="shared" si="2"/>
        <v>0</v>
      </c>
      <c r="M25" s="137">
        <v>0</v>
      </c>
    </row>
    <row r="26" spans="1:13" ht="19.5" customHeight="1">
      <c r="B26" s="118"/>
      <c r="C26" s="224"/>
      <c r="D26" s="72" t="s">
        <v>69</v>
      </c>
      <c r="E26" s="134">
        <v>0</v>
      </c>
      <c r="F26" s="134">
        <v>0</v>
      </c>
      <c r="G26" s="134">
        <v>0</v>
      </c>
      <c r="H26" s="134">
        <v>0</v>
      </c>
      <c r="I26" s="134">
        <v>0</v>
      </c>
      <c r="J26" s="73">
        <f t="shared" si="0"/>
        <v>0</v>
      </c>
      <c r="K26" s="136">
        <v>0</v>
      </c>
      <c r="L26" s="18">
        <f t="shared" si="2"/>
        <v>0</v>
      </c>
      <c r="M26" s="137">
        <v>0</v>
      </c>
    </row>
    <row r="27" spans="1:13" ht="19.5" customHeight="1">
      <c r="B27" s="121"/>
      <c r="C27" s="224"/>
      <c r="D27" s="72" t="s">
        <v>69</v>
      </c>
      <c r="E27" s="135">
        <v>0</v>
      </c>
      <c r="F27" s="135">
        <v>0</v>
      </c>
      <c r="G27" s="135">
        <v>0</v>
      </c>
      <c r="H27" s="135">
        <v>0</v>
      </c>
      <c r="I27" s="135">
        <v>0</v>
      </c>
      <c r="J27" s="73">
        <f t="shared" si="0"/>
        <v>0</v>
      </c>
      <c r="K27" s="136">
        <v>0</v>
      </c>
      <c r="L27" s="18">
        <f t="shared" si="2"/>
        <v>0</v>
      </c>
      <c r="M27" s="137">
        <v>0</v>
      </c>
    </row>
    <row r="28" spans="1:13" s="88" customFormat="1" ht="21.2" customHeight="1" thickBot="1">
      <c r="B28" s="225" t="s">
        <v>67</v>
      </c>
      <c r="C28" s="226"/>
      <c r="D28" s="227"/>
      <c r="E28" s="89">
        <v>1429401</v>
      </c>
      <c r="F28" s="89">
        <v>131436</v>
      </c>
      <c r="G28" s="89">
        <v>1429401</v>
      </c>
      <c r="H28" s="138">
        <v>147955</v>
      </c>
      <c r="I28" s="139">
        <v>1638490</v>
      </c>
      <c r="J28" s="90">
        <f t="shared" si="0"/>
        <v>16519</v>
      </c>
      <c r="K28" s="91">
        <f t="shared" si="1"/>
        <v>1.1256809397729695</v>
      </c>
      <c r="L28" s="92">
        <f t="shared" si="2"/>
        <v>209089</v>
      </c>
      <c r="M28" s="93">
        <f t="shared" si="3"/>
        <v>1.1462773567389417</v>
      </c>
    </row>
    <row r="29" spans="1:13" ht="12.75" customHeight="1">
      <c r="B29" s="26"/>
      <c r="C29" s="26"/>
      <c r="D29" s="26"/>
      <c r="E29" s="27"/>
      <c r="F29" s="28"/>
      <c r="G29" s="28"/>
      <c r="H29" s="28"/>
      <c r="I29" s="28"/>
      <c r="J29" s="27"/>
      <c r="K29" s="29"/>
      <c r="L29" s="30"/>
      <c r="M29" s="31"/>
    </row>
    <row r="30" spans="1:13" s="230" customFormat="1" ht="18.75" customHeight="1">
      <c r="A30" s="230" t="s">
        <v>27</v>
      </c>
    </row>
    <row r="31" spans="1:13" s="42" customFormat="1" ht="21.2" customHeight="1">
      <c r="B31" s="229" t="s">
        <v>24</v>
      </c>
      <c r="C31" s="229"/>
      <c r="D31" s="86"/>
      <c r="E31" s="86"/>
      <c r="F31" s="86"/>
      <c r="G31" s="86"/>
      <c r="H31" s="229" t="s">
        <v>25</v>
      </c>
      <c r="I31" s="229"/>
    </row>
    <row r="32" spans="1:13" s="39" customFormat="1" ht="24" customHeight="1">
      <c r="B32"/>
      <c r="C32"/>
      <c r="D32"/>
      <c r="E32"/>
      <c r="F32"/>
      <c r="G32"/>
      <c r="H32"/>
      <c r="I32"/>
      <c r="J32" s="9"/>
      <c r="K32" s="8"/>
      <c r="L32" s="10"/>
      <c r="M32" s="11"/>
    </row>
    <row r="33" spans="2:13" s="39" customFormat="1" ht="30.2" customHeight="1">
      <c r="B33"/>
      <c r="C33"/>
      <c r="D33"/>
      <c r="E33"/>
      <c r="F33"/>
      <c r="G33"/>
      <c r="H33"/>
      <c r="I33"/>
      <c r="J33" s="9"/>
      <c r="K33" s="8"/>
      <c r="L33" s="10"/>
      <c r="M33" s="11"/>
    </row>
    <row r="34" spans="2:13" s="39" customFormat="1" ht="37.15" customHeight="1">
      <c r="B34"/>
      <c r="C34"/>
      <c r="D34"/>
      <c r="E34"/>
      <c r="F34"/>
      <c r="G34"/>
      <c r="H34"/>
      <c r="I34"/>
      <c r="J34" s="9"/>
      <c r="K34" s="8"/>
      <c r="L34" s="10"/>
      <c r="M34" s="11"/>
    </row>
    <row r="35" spans="2:13" s="39" customFormat="1" ht="37.15" customHeight="1">
      <c r="B35"/>
      <c r="C35"/>
      <c r="D35"/>
      <c r="E35"/>
      <c r="F35"/>
      <c r="G35"/>
      <c r="H35"/>
      <c r="I35"/>
      <c r="J35" s="9"/>
      <c r="K35" s="8"/>
      <c r="L35" s="10"/>
      <c r="M35" s="11"/>
    </row>
    <row r="40" spans="2:13" s="228" customFormat="1" ht="24" customHeight="1"/>
    <row r="41" spans="2:13" ht="19.5" customHeight="1">
      <c r="B41" s="222"/>
      <c r="C41" s="223"/>
      <c r="D41" s="223"/>
      <c r="E41" s="223"/>
      <c r="F41" s="223"/>
      <c r="G41" s="223"/>
      <c r="H41" s="223"/>
      <c r="I41" s="223"/>
      <c r="J41" s="223"/>
      <c r="K41" s="223"/>
      <c r="L41" s="223"/>
      <c r="M41" s="223"/>
    </row>
    <row r="42" spans="2:13" ht="19.5" customHeight="1">
      <c r="B42" s="222"/>
      <c r="C42" s="223"/>
      <c r="D42" s="223"/>
      <c r="E42" s="223"/>
      <c r="F42" s="223"/>
      <c r="G42" s="223"/>
      <c r="H42" s="223"/>
      <c r="I42" s="223"/>
      <c r="J42" s="223"/>
      <c r="K42" s="223"/>
      <c r="L42" s="223"/>
      <c r="M42" s="223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10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B1" sqref="B1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44" customFormat="1" ht="18.75">
      <c r="A1" s="43" t="s">
        <v>28</v>
      </c>
    </row>
    <row r="2" spans="1:27" s="44" customFormat="1" ht="15" thickBot="1">
      <c r="A2"/>
      <c r="B2"/>
      <c r="C2"/>
      <c r="D2" s="160"/>
      <c r="E2" s="160"/>
      <c r="F2" s="267" t="s">
        <v>70</v>
      </c>
      <c r="G2" s="267"/>
      <c r="H2"/>
      <c r="I2"/>
      <c r="J2"/>
      <c r="K2" s="160"/>
      <c r="L2" s="160"/>
      <c r="M2" s="267" t="s">
        <v>29</v>
      </c>
      <c r="N2" s="267"/>
    </row>
    <row r="3" spans="1:27" s="44" customFormat="1" ht="32.25" customHeight="1">
      <c r="A3" s="45" t="s">
        <v>30</v>
      </c>
      <c r="B3" s="46">
        <v>17</v>
      </c>
      <c r="C3" s="46">
        <v>18</v>
      </c>
      <c r="D3" s="46">
        <v>19</v>
      </c>
      <c r="E3" s="46">
        <v>20</v>
      </c>
      <c r="F3" s="46">
        <v>21</v>
      </c>
      <c r="G3" s="166" t="s">
        <v>106</v>
      </c>
      <c r="H3" s="47" t="s">
        <v>30</v>
      </c>
      <c r="I3" s="46">
        <v>17</v>
      </c>
      <c r="J3" s="46">
        <v>18</v>
      </c>
      <c r="K3" s="46">
        <v>19</v>
      </c>
      <c r="L3" s="46">
        <v>20</v>
      </c>
      <c r="M3" s="46">
        <v>21</v>
      </c>
      <c r="N3" s="161" t="str">
        <f>$G$3</f>
        <v>22.12.</v>
      </c>
    </row>
    <row r="4" spans="1:27" s="44" customFormat="1" ht="39.200000000000003" customHeight="1" thickBot="1">
      <c r="A4" s="66" t="s">
        <v>31</v>
      </c>
      <c r="B4" s="96">
        <v>19440</v>
      </c>
      <c r="C4" s="96">
        <v>18829</v>
      </c>
      <c r="D4" s="96">
        <v>18416</v>
      </c>
      <c r="E4" s="96">
        <v>17326</v>
      </c>
      <c r="F4" s="96">
        <f>통계요약!G7</f>
        <v>16473</v>
      </c>
      <c r="G4" s="167">
        <f>통계요약!I7</f>
        <v>16626</v>
      </c>
      <c r="H4" s="66" t="s">
        <v>32</v>
      </c>
      <c r="I4" s="158">
        <v>116470047</v>
      </c>
      <c r="J4" s="158">
        <v>115078864</v>
      </c>
      <c r="K4" s="158">
        <v>113201331</v>
      </c>
      <c r="L4" s="158">
        <v>106845294</v>
      </c>
      <c r="M4" s="158">
        <f>통계요약!G10</f>
        <v>116876152</v>
      </c>
      <c r="N4" s="162">
        <f>통계요약!I10</f>
        <v>116137277</v>
      </c>
    </row>
    <row r="5" spans="1:27" s="44" customFormat="1" ht="30.2" customHeight="1" thickBot="1">
      <c r="A5"/>
      <c r="B5"/>
      <c r="C5"/>
      <c r="D5" s="160"/>
      <c r="E5" s="160"/>
      <c r="F5" s="267" t="s">
        <v>33</v>
      </c>
      <c r="G5" s="267"/>
      <c r="H5" s="48"/>
      <c r="I5" s="49"/>
      <c r="J5" s="49"/>
      <c r="K5" s="160"/>
      <c r="L5" s="160"/>
      <c r="M5" s="267" t="s">
        <v>34</v>
      </c>
      <c r="N5" s="267"/>
    </row>
    <row r="6" spans="1:27" s="44" customFormat="1" ht="32.25" customHeight="1">
      <c r="A6" s="45" t="s">
        <v>30</v>
      </c>
      <c r="B6" s="46">
        <v>17</v>
      </c>
      <c r="C6" s="46">
        <v>18</v>
      </c>
      <c r="D6" s="46">
        <v>19</v>
      </c>
      <c r="E6" s="46">
        <v>20</v>
      </c>
      <c r="F6" s="46">
        <v>21</v>
      </c>
      <c r="G6" s="163" t="str">
        <f>$G$3</f>
        <v>22.12.</v>
      </c>
      <c r="H6" s="47" t="s">
        <v>30</v>
      </c>
      <c r="I6" s="46">
        <v>17</v>
      </c>
      <c r="J6" s="46">
        <v>18</v>
      </c>
      <c r="K6" s="46">
        <v>19</v>
      </c>
      <c r="L6" s="46">
        <v>20</v>
      </c>
      <c r="M6" s="46">
        <v>21</v>
      </c>
      <c r="N6" s="161" t="str">
        <f>$G$3</f>
        <v>22.12.</v>
      </c>
    </row>
    <row r="7" spans="1:27" s="44" customFormat="1" ht="37.5" customHeight="1" thickBot="1">
      <c r="A7" s="66" t="s">
        <v>35</v>
      </c>
      <c r="B7" s="97">
        <v>643233</v>
      </c>
      <c r="C7" s="97">
        <v>689852</v>
      </c>
      <c r="D7" s="97">
        <v>725047</v>
      </c>
      <c r="E7" s="97">
        <v>792643</v>
      </c>
      <c r="F7" s="97">
        <f>통계요약!G20</f>
        <v>936246</v>
      </c>
      <c r="G7" s="164">
        <f>통계요약!I20</f>
        <v>851953</v>
      </c>
      <c r="H7" s="66" t="s">
        <v>36</v>
      </c>
      <c r="I7" s="96">
        <v>482428</v>
      </c>
      <c r="J7" s="96">
        <v>452480</v>
      </c>
      <c r="K7" s="96">
        <v>623733</v>
      </c>
      <c r="L7" s="96">
        <v>40267</v>
      </c>
      <c r="M7" s="159">
        <v>0</v>
      </c>
      <c r="N7" s="165">
        <v>0</v>
      </c>
      <c r="AA7" s="87">
        <f>(19166/188141)^(1/4)-1</f>
        <v>-0.43504740355323723</v>
      </c>
    </row>
    <row r="12" spans="1:27" s="55" customFormat="1" ht="25.5" customHeight="1">
      <c r="A12" s="55" t="s">
        <v>37</v>
      </c>
    </row>
    <row r="13" spans="1:27" s="44" customFormat="1" ht="21.2" customHeight="1">
      <c r="A13" s="85" t="s">
        <v>52</v>
      </c>
      <c r="H13" s="85" t="s">
        <v>51</v>
      </c>
      <c r="I13" s="50"/>
      <c r="J13" s="51"/>
      <c r="K13" s="52"/>
      <c r="L13" s="53"/>
      <c r="M13" s="53"/>
      <c r="N13" s="53"/>
    </row>
    <row r="14" spans="1:27" s="44" customFormat="1" ht="24" customHeight="1">
      <c r="I14" s="50"/>
      <c r="J14" s="51"/>
      <c r="K14" s="52"/>
      <c r="L14" s="53"/>
      <c r="M14" s="53"/>
      <c r="N14" s="53"/>
    </row>
    <row r="15" spans="1:27" s="44" customFormat="1" ht="24" customHeight="1">
      <c r="I15" s="50"/>
      <c r="J15" s="51"/>
      <c r="K15" s="52"/>
      <c r="L15" s="53"/>
      <c r="M15" s="53"/>
      <c r="N15" s="53"/>
    </row>
    <row r="16" spans="1:27" s="44" customFormat="1" ht="24" customHeight="1">
      <c r="I16" s="50"/>
      <c r="J16" s="51"/>
      <c r="K16" s="52"/>
      <c r="L16" s="53"/>
      <c r="M16" s="53"/>
      <c r="N16" s="53"/>
    </row>
    <row r="17" spans="1:14" s="44" customFormat="1" ht="24" customHeight="1">
      <c r="I17" s="50"/>
      <c r="J17" s="51"/>
      <c r="K17" s="52"/>
      <c r="L17" s="53"/>
      <c r="M17" s="53"/>
      <c r="N17" s="53"/>
    </row>
    <row r="18" spans="1:14" s="44" customFormat="1" ht="24" customHeight="1">
      <c r="I18" s="50"/>
      <c r="J18" s="51"/>
      <c r="K18" s="52"/>
      <c r="L18" s="53"/>
      <c r="M18" s="53"/>
      <c r="N18" s="53"/>
    </row>
    <row r="19" spans="1:14" s="44" customFormat="1" ht="24" customHeight="1">
      <c r="I19" s="50"/>
      <c r="J19" s="51"/>
      <c r="K19" s="52"/>
      <c r="L19" s="53"/>
      <c r="M19" s="53"/>
      <c r="N19" s="53"/>
    </row>
    <row r="20" spans="1:14" s="44" customFormat="1" ht="24" customHeight="1">
      <c r="I20" s="50"/>
      <c r="J20" s="51"/>
      <c r="K20" s="52"/>
      <c r="L20" s="53"/>
      <c r="M20" s="53"/>
      <c r="N20" s="53"/>
    </row>
    <row r="21" spans="1:14" s="44" customFormat="1" ht="24" customHeight="1">
      <c r="I21" s="50"/>
      <c r="J21" s="51"/>
      <c r="K21" s="52"/>
      <c r="L21" s="53"/>
      <c r="M21" s="53"/>
      <c r="N21" s="53"/>
    </row>
    <row r="22" spans="1:14" s="44" customFormat="1" ht="36" customHeight="1">
      <c r="I22" s="50"/>
      <c r="J22" s="51"/>
      <c r="K22" s="52"/>
      <c r="L22" s="53"/>
      <c r="M22" s="53"/>
      <c r="N22" s="53"/>
    </row>
    <row r="23" spans="1:14" s="44" customFormat="1" ht="27.75" customHeight="1">
      <c r="A23" s="54" t="s">
        <v>25</v>
      </c>
      <c r="H23" s="85" t="s">
        <v>50</v>
      </c>
      <c r="I23" s="50"/>
      <c r="J23" s="51"/>
      <c r="K23" s="52"/>
      <c r="L23" s="53"/>
      <c r="M23" s="53"/>
      <c r="N23" s="53"/>
    </row>
    <row r="24" spans="1:14" s="44" customFormat="1" ht="24" customHeight="1">
      <c r="I24" s="50"/>
      <c r="J24" s="51"/>
      <c r="K24" s="52"/>
      <c r="L24" s="53"/>
      <c r="M24" s="53"/>
      <c r="N24" s="53"/>
    </row>
    <row r="25" spans="1:14" s="44" customFormat="1" ht="24" customHeight="1">
      <c r="I25" s="50"/>
      <c r="J25" s="51"/>
      <c r="K25" s="52"/>
      <c r="L25" s="53"/>
      <c r="M25" s="53"/>
      <c r="N25" s="53"/>
    </row>
    <row r="26" spans="1:14" s="44" customFormat="1" ht="24" customHeight="1">
      <c r="I26" s="50"/>
      <c r="J26" s="51"/>
      <c r="K26" s="52"/>
      <c r="L26" s="53"/>
      <c r="M26" s="53"/>
      <c r="N26" s="53"/>
    </row>
    <row r="27" spans="1:14" s="44" customFormat="1" ht="24" customHeight="1">
      <c r="I27" s="50"/>
      <c r="J27" s="51"/>
      <c r="K27" s="52"/>
      <c r="L27" s="53"/>
      <c r="M27" s="53"/>
      <c r="N27" s="53"/>
    </row>
    <row r="28" spans="1:14" s="44" customFormat="1" ht="24" customHeight="1">
      <c r="I28" s="50"/>
      <c r="J28" s="51"/>
      <c r="K28" s="52"/>
      <c r="L28" s="53"/>
      <c r="M28" s="53"/>
      <c r="N28" s="53"/>
    </row>
    <row r="29" spans="1:14" s="44" customFormat="1" ht="24" customHeight="1">
      <c r="I29" s="50"/>
      <c r="J29" s="51"/>
      <c r="K29" s="52"/>
      <c r="L29" s="53"/>
      <c r="M29" s="53"/>
      <c r="N29" s="53"/>
    </row>
    <row r="30" spans="1:14" s="44" customFormat="1" ht="24" customHeight="1">
      <c r="I30" s="50"/>
      <c r="J30" s="51"/>
      <c r="K30" s="52"/>
      <c r="L30" s="53"/>
      <c r="M30" s="53"/>
      <c r="N30" s="53"/>
    </row>
    <row r="31" spans="1:14" s="44" customFormat="1" ht="24" customHeight="1">
      <c r="I31" s="50"/>
      <c r="J31" s="51"/>
      <c r="K31" s="52"/>
      <c r="L31" s="53"/>
      <c r="M31" s="53"/>
      <c r="N31" s="53"/>
    </row>
  </sheetData>
  <mergeCells count="4">
    <mergeCell ref="F2:G2"/>
    <mergeCell ref="M2:N2"/>
    <mergeCell ref="F5:G5"/>
    <mergeCell ref="M5:N5"/>
  </mergeCells>
  <phoneticPr fontId="25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zoomScale="85" zoomScaleNormal="85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J24" sqref="J24"/>
    </sheetView>
  </sheetViews>
  <sheetFormatPr defaultColWidth="10" defaultRowHeight="13.5"/>
  <cols>
    <col min="1" max="1" width="10" style="56" customWidth="1"/>
    <col min="2" max="2" width="5.75" style="56" customWidth="1"/>
    <col min="3" max="3" width="1" style="56" customWidth="1"/>
    <col min="4" max="4" width="8" style="56" customWidth="1"/>
    <col min="5" max="5" width="14.875" style="56" bestFit="1" customWidth="1"/>
    <col min="6" max="6" width="11" style="56" customWidth="1"/>
    <col min="7" max="7" width="13.25" style="56" customWidth="1"/>
    <col min="8" max="8" width="11" style="56" customWidth="1"/>
    <col min="9" max="9" width="13.25" style="56" customWidth="1"/>
    <col min="10" max="10" width="12.25" style="56" customWidth="1"/>
    <col min="11" max="11" width="11" style="56" customWidth="1"/>
    <col min="12" max="12" width="12.75" style="56" customWidth="1"/>
    <col min="13" max="13" width="11" style="56" customWidth="1"/>
    <col min="14" max="14" width="10" style="56"/>
    <col min="15" max="16" width="11.25" style="56" bestFit="1" customWidth="1"/>
    <col min="17" max="18" width="10" style="56"/>
    <col min="19" max="19" width="13.125" style="56" bestFit="1" customWidth="1"/>
    <col min="20" max="16384" width="10" style="56"/>
  </cols>
  <sheetData>
    <row r="1" spans="1:19" ht="50.25" customHeight="1" thickBot="1">
      <c r="A1" s="67" t="s">
        <v>38</v>
      </c>
      <c r="F1" s="100"/>
      <c r="G1" s="100"/>
      <c r="H1" s="100"/>
      <c r="I1" s="100"/>
      <c r="J1" s="57"/>
      <c r="K1" s="58"/>
      <c r="L1" s="59"/>
      <c r="M1" s="60"/>
    </row>
    <row r="2" spans="1:19" ht="21.95" customHeight="1">
      <c r="A2" s="278" t="s">
        <v>39</v>
      </c>
      <c r="B2" s="279"/>
      <c r="C2" s="279"/>
      <c r="D2" s="282" t="s">
        <v>40</v>
      </c>
      <c r="E2" s="61"/>
      <c r="F2" s="274" t="s">
        <v>72</v>
      </c>
      <c r="G2" s="274"/>
      <c r="H2" s="274" t="s">
        <v>97</v>
      </c>
      <c r="I2" s="274"/>
      <c r="J2" s="274" t="s">
        <v>41</v>
      </c>
      <c r="K2" s="274"/>
      <c r="L2" s="274"/>
      <c r="M2" s="275"/>
      <c r="O2" s="140"/>
      <c r="P2" s="140"/>
    </row>
    <row r="3" spans="1:19" ht="21.95" customHeight="1">
      <c r="A3" s="280"/>
      <c r="B3" s="281"/>
      <c r="C3" s="281"/>
      <c r="D3" s="283"/>
      <c r="E3" s="62" t="s">
        <v>42</v>
      </c>
      <c r="F3" s="62" t="str">
        <f>통계요약!F6</f>
        <v>12월(A)</v>
      </c>
      <c r="G3" s="62" t="str">
        <f>통계요약!G6</f>
        <v>12월누계(B)</v>
      </c>
      <c r="H3" s="62" t="str">
        <f>통계요약!H6</f>
        <v>12월(C)</v>
      </c>
      <c r="I3" s="62" t="str">
        <f>통계요약!I6</f>
        <v>12월누계(D)</v>
      </c>
      <c r="J3" s="62" t="s">
        <v>43</v>
      </c>
      <c r="K3" s="63" t="s">
        <v>44</v>
      </c>
      <c r="L3" s="64" t="s">
        <v>45</v>
      </c>
      <c r="M3" s="102" t="s">
        <v>44</v>
      </c>
      <c r="O3" s="140"/>
      <c r="P3" s="140"/>
    </row>
    <row r="4" spans="1:19" ht="21.95" customHeight="1">
      <c r="A4" s="276" t="s">
        <v>46</v>
      </c>
      <c r="B4" s="277"/>
      <c r="C4" s="277"/>
      <c r="D4" s="128" t="s">
        <v>47</v>
      </c>
      <c r="E4" s="84">
        <f>SUM(E6,E8,E10,E12,E14,E16,E18,E22,E20,E26,E28,E30,E32,E24,E34)</f>
        <v>936245.75</v>
      </c>
      <c r="F4" s="84">
        <f>SUM(F6,F8,F10,F12,F14,F16,F18,F22,F20,F26,F28,F30,F32,F24,F34)</f>
        <v>79924.75</v>
      </c>
      <c r="G4" s="84">
        <f>SUM(G6,G8,G10,G12,G14,G16,G18,G22,G20,G26,G28,G30,G32,G24,G34)</f>
        <v>936245.75</v>
      </c>
      <c r="H4" s="84">
        <f>SUM(H6,H8,H10,H12,H14,H16,H18,H22,H20,H26,H28,H30,H32,H24,H34)</f>
        <v>61527.25</v>
      </c>
      <c r="I4" s="84">
        <f>SUM(I6,I8,I10,I12,I14,I16,I18,I22,I20,I26,I28,I30,I32,I24,I34)</f>
        <v>851953</v>
      </c>
      <c r="J4" s="78">
        <f t="shared" ref="J4:J31" si="0">H4-F4</f>
        <v>-18397.5</v>
      </c>
      <c r="K4" s="79">
        <f t="shared" ref="K4:K33" si="1">(H4/F4*100)-100</f>
        <v>-23.018526801772921</v>
      </c>
      <c r="L4" s="80">
        <f t="shared" ref="L4:L31" si="2">I4-G4</f>
        <v>-84292.75</v>
      </c>
      <c r="M4" s="103">
        <f t="shared" ref="M4:M33" si="3">(I4/G4*100)-100</f>
        <v>-9.0032718439576342</v>
      </c>
      <c r="O4" s="140"/>
      <c r="P4" s="140"/>
    </row>
    <row r="5" spans="1:19" ht="21.95" customHeight="1">
      <c r="A5" s="276"/>
      <c r="B5" s="277"/>
      <c r="C5" s="277"/>
      <c r="D5" s="128" t="s">
        <v>48</v>
      </c>
      <c r="E5" s="84">
        <f>SUM(E7,E9,E11,E13,E15,E17,E19,E21,E23,E27,E29,E31,E33,E25)</f>
        <v>14361448</v>
      </c>
      <c r="F5" s="84">
        <f>SUM(F7,F9,F11,F13,F15,F17,F19,F21,F23,F27,F29,F31,F33,F25,F35)</f>
        <v>1257314</v>
      </c>
      <c r="G5" s="84">
        <f>SUM(G7,G9,G11,G13,G15,G17,G19,G21,G23,G27,G29,G31,G33,G25,G35)</f>
        <v>14361448</v>
      </c>
      <c r="H5" s="84">
        <f>SUM(H7,H9,H11,H13,H15,H17,H19,H21,H23,H27,H29,H31,H33,H25,H35)</f>
        <v>935633</v>
      </c>
      <c r="I5" s="84">
        <f>SUM(I7,I9,I11,I13,I15,I17,I19,I21,I23,I27,I29,I31,I33,I25,I35)</f>
        <v>13134878</v>
      </c>
      <c r="J5" s="78">
        <f t="shared" si="0"/>
        <v>-321681</v>
      </c>
      <c r="K5" s="79">
        <f t="shared" si="1"/>
        <v>-25.584778344948049</v>
      </c>
      <c r="L5" s="80">
        <f t="shared" si="2"/>
        <v>-1226570</v>
      </c>
      <c r="M5" s="103">
        <f t="shared" si="3"/>
        <v>-8.5407126078094677</v>
      </c>
    </row>
    <row r="6" spans="1:19" ht="21.2" customHeight="1">
      <c r="A6" s="268" t="s">
        <v>53</v>
      </c>
      <c r="B6" s="269"/>
      <c r="C6" s="269"/>
      <c r="D6" s="65" t="s">
        <v>47</v>
      </c>
      <c r="E6" s="208">
        <v>54806</v>
      </c>
      <c r="F6" s="208">
        <v>4994</v>
      </c>
      <c r="G6" s="208">
        <v>54806</v>
      </c>
      <c r="H6" s="169">
        <v>4732</v>
      </c>
      <c r="I6" s="187">
        <v>56152</v>
      </c>
      <c r="J6" s="81">
        <f t="shared" ref="J6:J20" si="4">H6-F6</f>
        <v>-262</v>
      </c>
      <c r="K6" s="82">
        <f t="shared" ref="K6:K19" si="5">(H6/F6*100)-100</f>
        <v>-5.2462955546656076</v>
      </c>
      <c r="L6" s="83">
        <f>I6-G6</f>
        <v>1346</v>
      </c>
      <c r="M6" s="104">
        <f>(I6/G6*100)-100</f>
        <v>2.4559354815166188</v>
      </c>
      <c r="P6" s="56" t="s">
        <v>73</v>
      </c>
    </row>
    <row r="7" spans="1:19" ht="21.2" customHeight="1">
      <c r="A7" s="268"/>
      <c r="B7" s="269"/>
      <c r="C7" s="269"/>
      <c r="D7" s="65" t="s">
        <v>48</v>
      </c>
      <c r="E7" s="208">
        <v>1010788</v>
      </c>
      <c r="F7" s="208">
        <v>94645</v>
      </c>
      <c r="G7" s="208">
        <v>1010788</v>
      </c>
      <c r="H7" s="170">
        <v>91998</v>
      </c>
      <c r="I7" s="188">
        <v>1063612</v>
      </c>
      <c r="J7" s="81">
        <f t="shared" si="4"/>
        <v>-2647</v>
      </c>
      <c r="K7" s="82">
        <f t="shared" si="5"/>
        <v>-2.7967668656558686</v>
      </c>
      <c r="L7" s="83">
        <f t="shared" si="2"/>
        <v>52824</v>
      </c>
      <c r="M7" s="104">
        <f t="shared" si="3"/>
        <v>5.2260216781362629</v>
      </c>
      <c r="P7" s="56" t="s">
        <v>73</v>
      </c>
    </row>
    <row r="8" spans="1:19" ht="21.2" customHeight="1">
      <c r="A8" s="268" t="s">
        <v>54</v>
      </c>
      <c r="B8" s="269"/>
      <c r="C8" s="269"/>
      <c r="D8" s="65" t="s">
        <v>47</v>
      </c>
      <c r="E8" s="208">
        <v>73318.25</v>
      </c>
      <c r="F8" s="208">
        <v>7092.75</v>
      </c>
      <c r="G8" s="208">
        <v>73318.25</v>
      </c>
      <c r="H8" s="171">
        <v>5099.25</v>
      </c>
      <c r="I8" s="189">
        <v>70330.75</v>
      </c>
      <c r="J8" s="81">
        <f t="shared" si="4"/>
        <v>-1993.5</v>
      </c>
      <c r="K8" s="82">
        <f t="shared" si="5"/>
        <v>-28.106164745691018</v>
      </c>
      <c r="L8" s="83">
        <f>I8-G8</f>
        <v>-2987.5</v>
      </c>
      <c r="M8" s="104">
        <f>(I8/G8*100)-100</f>
        <v>-4.0747017284236904</v>
      </c>
      <c r="P8" s="56" t="s">
        <v>74</v>
      </c>
    </row>
    <row r="9" spans="1:19" ht="21.2" customHeight="1">
      <c r="A9" s="268"/>
      <c r="B9" s="269"/>
      <c r="C9" s="269"/>
      <c r="D9" s="65" t="s">
        <v>48</v>
      </c>
      <c r="E9" s="208">
        <v>1108270</v>
      </c>
      <c r="F9" s="208">
        <v>98737</v>
      </c>
      <c r="G9" s="208">
        <v>1108270</v>
      </c>
      <c r="H9" s="172">
        <v>77218</v>
      </c>
      <c r="I9" s="190">
        <v>1023659</v>
      </c>
      <c r="J9" s="81">
        <f t="shared" si="4"/>
        <v>-21519</v>
      </c>
      <c r="K9" s="82">
        <f t="shared" si="5"/>
        <v>-21.794261523035942</v>
      </c>
      <c r="L9" s="83">
        <f t="shared" si="2"/>
        <v>-84611</v>
      </c>
      <c r="M9" s="104">
        <f t="shared" si="3"/>
        <v>-7.6345114457668188</v>
      </c>
      <c r="P9" s="56" t="s">
        <v>74</v>
      </c>
    </row>
    <row r="10" spans="1:19" ht="21.2" customHeight="1">
      <c r="A10" s="268" t="s">
        <v>94</v>
      </c>
      <c r="B10" s="269"/>
      <c r="C10" s="269"/>
      <c r="D10" s="65" t="s">
        <v>47</v>
      </c>
      <c r="E10" s="208">
        <v>32</v>
      </c>
      <c r="F10" s="208">
        <v>20</v>
      </c>
      <c r="G10" s="208">
        <v>32</v>
      </c>
      <c r="H10" s="101"/>
      <c r="I10" s="201">
        <v>11</v>
      </c>
      <c r="J10" s="81">
        <f t="shared" si="4"/>
        <v>-20</v>
      </c>
      <c r="K10" s="101">
        <v>0</v>
      </c>
      <c r="L10" s="83">
        <f t="shared" si="2"/>
        <v>-21</v>
      </c>
      <c r="M10" s="104">
        <f t="shared" si="3"/>
        <v>-65.625</v>
      </c>
      <c r="P10" s="56" t="s">
        <v>95</v>
      </c>
      <c r="S10" s="140"/>
    </row>
    <row r="11" spans="1:19" ht="21.2" customHeight="1">
      <c r="A11" s="268"/>
      <c r="B11" s="269"/>
      <c r="C11" s="269"/>
      <c r="D11" s="65" t="s">
        <v>48</v>
      </c>
      <c r="E11" s="208">
        <v>760</v>
      </c>
      <c r="F11" s="208">
        <v>450</v>
      </c>
      <c r="G11" s="208">
        <v>760</v>
      </c>
      <c r="H11" s="101"/>
      <c r="I11" s="202">
        <v>39</v>
      </c>
      <c r="J11" s="81">
        <f t="shared" si="4"/>
        <v>-450</v>
      </c>
      <c r="K11" s="101">
        <v>0</v>
      </c>
      <c r="L11" s="83">
        <f t="shared" si="2"/>
        <v>-721</v>
      </c>
      <c r="M11" s="104">
        <f t="shared" si="3"/>
        <v>-94.868421052631575</v>
      </c>
      <c r="P11" s="56" t="s">
        <v>95</v>
      </c>
    </row>
    <row r="12" spans="1:19" ht="21.2" customHeight="1">
      <c r="A12" s="268" t="s">
        <v>66</v>
      </c>
      <c r="B12" s="269"/>
      <c r="C12" s="269"/>
      <c r="D12" s="65" t="s">
        <v>47</v>
      </c>
      <c r="E12" s="101">
        <v>0</v>
      </c>
      <c r="F12" s="101">
        <v>0</v>
      </c>
      <c r="G12" s="101">
        <v>0</v>
      </c>
      <c r="H12" s="101"/>
      <c r="I12" s="101"/>
      <c r="J12" s="81">
        <f t="shared" si="4"/>
        <v>0</v>
      </c>
      <c r="K12" s="101">
        <v>0</v>
      </c>
      <c r="L12" s="83">
        <f t="shared" si="2"/>
        <v>0</v>
      </c>
      <c r="M12" s="116">
        <v>0</v>
      </c>
      <c r="P12" s="56" t="s">
        <v>75</v>
      </c>
    </row>
    <row r="13" spans="1:19" ht="21.2" customHeight="1">
      <c r="A13" s="268"/>
      <c r="B13" s="269"/>
      <c r="C13" s="269"/>
      <c r="D13" s="65" t="s">
        <v>65</v>
      </c>
      <c r="E13" s="101">
        <v>0</v>
      </c>
      <c r="F13" s="101">
        <v>0</v>
      </c>
      <c r="G13" s="101">
        <v>0</v>
      </c>
      <c r="H13" s="101"/>
      <c r="I13" s="101"/>
      <c r="J13" s="81">
        <f t="shared" si="4"/>
        <v>0</v>
      </c>
      <c r="K13" s="101">
        <v>0</v>
      </c>
      <c r="L13" s="83">
        <f t="shared" si="2"/>
        <v>0</v>
      </c>
      <c r="M13" s="116">
        <v>0</v>
      </c>
      <c r="P13" s="56" t="s">
        <v>75</v>
      </c>
    </row>
    <row r="14" spans="1:19" ht="21.2" customHeight="1">
      <c r="A14" s="268" t="s">
        <v>55</v>
      </c>
      <c r="B14" s="269"/>
      <c r="C14" s="269"/>
      <c r="D14" s="65" t="s">
        <v>47</v>
      </c>
      <c r="E14" s="208">
        <v>113070.25</v>
      </c>
      <c r="F14" s="208">
        <v>10464</v>
      </c>
      <c r="G14" s="208">
        <v>113070.25</v>
      </c>
      <c r="H14" s="179">
        <v>8556</v>
      </c>
      <c r="I14" s="203">
        <v>127735.25</v>
      </c>
      <c r="J14" s="81">
        <f t="shared" si="4"/>
        <v>-1908</v>
      </c>
      <c r="K14" s="82">
        <f t="shared" si="5"/>
        <v>-18.233944954128447</v>
      </c>
      <c r="L14" s="83">
        <f t="shared" si="2"/>
        <v>14665</v>
      </c>
      <c r="M14" s="104">
        <f>(I14/G14*100)-100</f>
        <v>12.969813014475505</v>
      </c>
      <c r="P14" s="56" t="s">
        <v>76</v>
      </c>
    </row>
    <row r="15" spans="1:19" ht="21.2" customHeight="1">
      <c r="A15" s="268"/>
      <c r="B15" s="269"/>
      <c r="C15" s="269"/>
      <c r="D15" s="65" t="s">
        <v>48</v>
      </c>
      <c r="E15" s="208">
        <v>1740430</v>
      </c>
      <c r="F15" s="208">
        <v>175550</v>
      </c>
      <c r="G15" s="208">
        <v>1740430</v>
      </c>
      <c r="H15" s="180">
        <v>126425</v>
      </c>
      <c r="I15" s="204">
        <v>2021215</v>
      </c>
      <c r="J15" s="81">
        <f t="shared" si="4"/>
        <v>-49125</v>
      </c>
      <c r="K15" s="82">
        <f t="shared" si="5"/>
        <v>-27.983480489888919</v>
      </c>
      <c r="L15" s="83">
        <f t="shared" si="2"/>
        <v>280785</v>
      </c>
      <c r="M15" s="104">
        <f t="shared" si="3"/>
        <v>16.133082054434823</v>
      </c>
      <c r="P15" s="56" t="s">
        <v>77</v>
      </c>
    </row>
    <row r="16" spans="1:19" ht="21.2" customHeight="1">
      <c r="A16" s="268" t="s">
        <v>62</v>
      </c>
      <c r="B16" s="269"/>
      <c r="C16" s="269"/>
      <c r="D16" s="65" t="s">
        <v>47</v>
      </c>
      <c r="E16" s="208">
        <v>257133.25</v>
      </c>
      <c r="F16" s="208">
        <v>15260</v>
      </c>
      <c r="G16" s="208">
        <v>257133.25</v>
      </c>
      <c r="H16" s="181">
        <v>16547</v>
      </c>
      <c r="I16" s="205">
        <v>206399</v>
      </c>
      <c r="J16" s="81">
        <f t="shared" si="4"/>
        <v>1287</v>
      </c>
      <c r="K16" s="82">
        <f t="shared" si="5"/>
        <v>8.4338138925294857</v>
      </c>
      <c r="L16" s="83">
        <f t="shared" si="2"/>
        <v>-50734.25</v>
      </c>
      <c r="M16" s="104">
        <f t="shared" si="3"/>
        <v>-19.730723272855613</v>
      </c>
      <c r="P16" s="56" t="s">
        <v>78</v>
      </c>
    </row>
    <row r="17" spans="1:16" ht="21.2" customHeight="1">
      <c r="A17" s="268"/>
      <c r="B17" s="269"/>
      <c r="C17" s="269"/>
      <c r="D17" s="65" t="s">
        <v>48</v>
      </c>
      <c r="E17" s="208">
        <v>3567347</v>
      </c>
      <c r="F17" s="208">
        <v>220674</v>
      </c>
      <c r="G17" s="208">
        <v>3567347</v>
      </c>
      <c r="H17" s="182">
        <v>241423</v>
      </c>
      <c r="I17" s="206">
        <v>2900266</v>
      </c>
      <c r="J17" s="81">
        <f t="shared" si="4"/>
        <v>20749</v>
      </c>
      <c r="K17" s="82">
        <f t="shared" si="5"/>
        <v>9.4025576189310982</v>
      </c>
      <c r="L17" s="83">
        <f t="shared" si="2"/>
        <v>-667081</v>
      </c>
      <c r="M17" s="104">
        <f t="shared" si="3"/>
        <v>-18.699638695086293</v>
      </c>
      <c r="P17" s="56" t="s">
        <v>79</v>
      </c>
    </row>
    <row r="18" spans="1:16" ht="21.2" customHeight="1">
      <c r="A18" s="268" t="s">
        <v>56</v>
      </c>
      <c r="B18" s="269"/>
      <c r="C18" s="269"/>
      <c r="D18" s="65" t="s">
        <v>47</v>
      </c>
      <c r="E18" s="208">
        <v>148930</v>
      </c>
      <c r="F18" s="208">
        <v>13245</v>
      </c>
      <c r="G18" s="208">
        <v>148930</v>
      </c>
      <c r="H18" s="183">
        <v>6141</v>
      </c>
      <c r="I18" s="207">
        <v>120730</v>
      </c>
      <c r="J18" s="81">
        <f t="shared" si="4"/>
        <v>-7104</v>
      </c>
      <c r="K18" s="82">
        <f t="shared" si="5"/>
        <v>-53.63533408833522</v>
      </c>
      <c r="L18" s="83">
        <f t="shared" si="2"/>
        <v>-28200</v>
      </c>
      <c r="M18" s="105">
        <f t="shared" si="3"/>
        <v>-18.935070167192634</v>
      </c>
      <c r="P18" s="56" t="s">
        <v>80</v>
      </c>
    </row>
    <row r="19" spans="1:16" ht="21.2" customHeight="1">
      <c r="A19" s="268"/>
      <c r="B19" s="269"/>
      <c r="C19" s="269"/>
      <c r="D19" s="65" t="s">
        <v>48</v>
      </c>
      <c r="E19" s="208">
        <v>2355281</v>
      </c>
      <c r="F19" s="208">
        <v>219108</v>
      </c>
      <c r="G19" s="208">
        <v>2355281</v>
      </c>
      <c r="H19" s="184">
        <v>94528</v>
      </c>
      <c r="I19" s="208">
        <v>1935255</v>
      </c>
      <c r="J19" s="81">
        <f t="shared" si="4"/>
        <v>-124580</v>
      </c>
      <c r="K19" s="82">
        <f t="shared" si="5"/>
        <v>-56.857805283239315</v>
      </c>
      <c r="L19" s="83">
        <f t="shared" si="2"/>
        <v>-420026</v>
      </c>
      <c r="M19" s="105">
        <f t="shared" si="3"/>
        <v>-17.833371049993602</v>
      </c>
      <c r="P19" s="56" t="s">
        <v>81</v>
      </c>
    </row>
    <row r="20" spans="1:16" ht="21.2" customHeight="1">
      <c r="A20" s="284" t="s">
        <v>68</v>
      </c>
      <c r="B20" s="285"/>
      <c r="C20" s="285"/>
      <c r="D20" s="94" t="s">
        <v>47</v>
      </c>
      <c r="E20" s="101">
        <v>0</v>
      </c>
      <c r="F20" s="101"/>
      <c r="G20" s="101">
        <v>0</v>
      </c>
      <c r="H20" s="101"/>
      <c r="I20" s="101"/>
      <c r="J20" s="95">
        <f t="shared" si="4"/>
        <v>0</v>
      </c>
      <c r="K20" s="101">
        <v>0</v>
      </c>
      <c r="L20" s="83">
        <f t="shared" si="2"/>
        <v>0</v>
      </c>
      <c r="M20" s="116">
        <v>0</v>
      </c>
      <c r="P20" s="56" t="s">
        <v>82</v>
      </c>
    </row>
    <row r="21" spans="1:16" ht="21.2" customHeight="1">
      <c r="A21" s="284"/>
      <c r="B21" s="285"/>
      <c r="C21" s="285"/>
      <c r="D21" s="94" t="s">
        <v>48</v>
      </c>
      <c r="E21" s="101">
        <v>0</v>
      </c>
      <c r="F21" s="101"/>
      <c r="G21" s="101">
        <v>0</v>
      </c>
      <c r="H21" s="101"/>
      <c r="I21" s="101"/>
      <c r="J21" s="95">
        <f t="shared" si="0"/>
        <v>0</v>
      </c>
      <c r="K21" s="101">
        <v>0</v>
      </c>
      <c r="L21" s="83">
        <f t="shared" si="2"/>
        <v>0</v>
      </c>
      <c r="M21" s="116">
        <v>0</v>
      </c>
      <c r="P21" s="56" t="s">
        <v>83</v>
      </c>
    </row>
    <row r="22" spans="1:16" ht="21.2" customHeight="1">
      <c r="A22" s="268" t="s">
        <v>93</v>
      </c>
      <c r="B22" s="269"/>
      <c r="C22" s="269"/>
      <c r="D22" s="65" t="s">
        <v>47</v>
      </c>
      <c r="E22" s="101">
        <v>8</v>
      </c>
      <c r="F22" s="101"/>
      <c r="G22" s="101">
        <v>8</v>
      </c>
      <c r="H22" s="101"/>
      <c r="I22" s="101"/>
      <c r="J22" s="95">
        <f t="shared" si="0"/>
        <v>0</v>
      </c>
      <c r="K22" s="101">
        <v>0</v>
      </c>
      <c r="L22" s="83">
        <f t="shared" si="2"/>
        <v>-8</v>
      </c>
      <c r="M22" s="116">
        <v>0</v>
      </c>
      <c r="P22" s="56" t="s">
        <v>96</v>
      </c>
    </row>
    <row r="23" spans="1:16" ht="21.2" customHeight="1">
      <c r="A23" s="268"/>
      <c r="B23" s="269"/>
      <c r="C23" s="269"/>
      <c r="D23" s="65" t="s">
        <v>48</v>
      </c>
      <c r="E23" s="101">
        <v>43</v>
      </c>
      <c r="F23" s="101"/>
      <c r="G23" s="101">
        <v>43</v>
      </c>
      <c r="H23" s="101"/>
      <c r="I23" s="101"/>
      <c r="J23" s="95">
        <f t="shared" si="0"/>
        <v>0</v>
      </c>
      <c r="K23" s="101">
        <v>0</v>
      </c>
      <c r="L23" s="83">
        <f t="shared" si="2"/>
        <v>-43</v>
      </c>
      <c r="M23" s="116">
        <v>0</v>
      </c>
      <c r="P23" s="56" t="s">
        <v>96</v>
      </c>
    </row>
    <row r="24" spans="1:16" ht="21.2" customHeight="1">
      <c r="A24" s="268" t="s">
        <v>63</v>
      </c>
      <c r="B24" s="269"/>
      <c r="C24" s="269"/>
      <c r="D24" s="65" t="s">
        <v>64</v>
      </c>
      <c r="E24" s="215">
        <v>43</v>
      </c>
      <c r="F24" s="215"/>
      <c r="G24" s="215">
        <v>43</v>
      </c>
      <c r="H24" s="101"/>
      <c r="I24" s="191">
        <v>107</v>
      </c>
      <c r="J24" s="95">
        <f t="shared" si="0"/>
        <v>0</v>
      </c>
      <c r="K24" s="101">
        <v>0</v>
      </c>
      <c r="L24" s="83">
        <f t="shared" si="2"/>
        <v>64</v>
      </c>
      <c r="M24" s="104">
        <f t="shared" si="3"/>
        <v>148.83720930232559</v>
      </c>
      <c r="P24" s="56" t="s">
        <v>84</v>
      </c>
    </row>
    <row r="25" spans="1:16" ht="21.2" customHeight="1">
      <c r="A25" s="268"/>
      <c r="B25" s="269"/>
      <c r="C25" s="269"/>
      <c r="D25" s="65" t="s">
        <v>65</v>
      </c>
      <c r="E25" s="215">
        <v>492</v>
      </c>
      <c r="F25" s="215"/>
      <c r="G25" s="215">
        <v>492</v>
      </c>
      <c r="H25" s="101"/>
      <c r="I25" s="192">
        <v>244</v>
      </c>
      <c r="J25" s="95">
        <f t="shared" si="0"/>
        <v>0</v>
      </c>
      <c r="K25" s="101">
        <v>0</v>
      </c>
      <c r="L25" s="83">
        <f t="shared" si="2"/>
        <v>-248</v>
      </c>
      <c r="M25" s="104">
        <f t="shared" si="3"/>
        <v>-50.40650406504065</v>
      </c>
      <c r="P25" s="56" t="s">
        <v>84</v>
      </c>
    </row>
    <row r="26" spans="1:16" ht="21.2" customHeight="1">
      <c r="A26" s="268" t="s">
        <v>58</v>
      </c>
      <c r="B26" s="269"/>
      <c r="C26" s="269"/>
      <c r="D26" s="65" t="s">
        <v>47</v>
      </c>
      <c r="E26" s="208">
        <v>478</v>
      </c>
      <c r="F26" s="208">
        <v>12</v>
      </c>
      <c r="G26" s="208">
        <v>478</v>
      </c>
      <c r="H26" s="101"/>
      <c r="I26" s="193">
        <v>212</v>
      </c>
      <c r="J26" s="95">
        <f t="shared" si="0"/>
        <v>-12</v>
      </c>
      <c r="K26" s="82">
        <f t="shared" si="1"/>
        <v>-100</v>
      </c>
      <c r="L26" s="83">
        <f t="shared" si="2"/>
        <v>-266</v>
      </c>
      <c r="M26" s="104">
        <f t="shared" si="3"/>
        <v>-55.64853556485356</v>
      </c>
      <c r="P26" s="56" t="s">
        <v>85</v>
      </c>
    </row>
    <row r="27" spans="1:16" ht="21.2" customHeight="1">
      <c r="A27" s="268"/>
      <c r="B27" s="269"/>
      <c r="C27" s="269"/>
      <c r="D27" s="65" t="s">
        <v>48</v>
      </c>
      <c r="E27" s="208">
        <v>2537</v>
      </c>
      <c r="F27" s="208">
        <v>98</v>
      </c>
      <c r="G27" s="208">
        <v>2537</v>
      </c>
      <c r="H27" s="101"/>
      <c r="I27" s="194">
        <v>1888</v>
      </c>
      <c r="J27" s="95">
        <f t="shared" si="0"/>
        <v>-98</v>
      </c>
      <c r="K27" s="82">
        <f t="shared" si="1"/>
        <v>-100</v>
      </c>
      <c r="L27" s="83">
        <f t="shared" si="2"/>
        <v>-649</v>
      </c>
      <c r="M27" s="104">
        <f t="shared" si="3"/>
        <v>-25.581395348837205</v>
      </c>
      <c r="P27" s="56" t="s">
        <v>86</v>
      </c>
    </row>
    <row r="28" spans="1:16" ht="21.2" customHeight="1">
      <c r="A28" s="268" t="s">
        <v>59</v>
      </c>
      <c r="B28" s="269"/>
      <c r="C28" s="269"/>
      <c r="D28" s="65" t="s">
        <v>47</v>
      </c>
      <c r="E28" s="208">
        <v>95587</v>
      </c>
      <c r="F28" s="208">
        <v>8419</v>
      </c>
      <c r="G28" s="208">
        <v>95587</v>
      </c>
      <c r="H28" s="173">
        <v>5735</v>
      </c>
      <c r="I28" s="195">
        <v>87855</v>
      </c>
      <c r="J28" s="95">
        <f t="shared" si="0"/>
        <v>-2684</v>
      </c>
      <c r="K28" s="82">
        <f t="shared" si="1"/>
        <v>-31.880270816011404</v>
      </c>
      <c r="L28" s="83">
        <f t="shared" si="2"/>
        <v>-7732</v>
      </c>
      <c r="M28" s="104">
        <f t="shared" si="3"/>
        <v>-8.0889660727923314</v>
      </c>
      <c r="P28" s="56" t="s">
        <v>87</v>
      </c>
    </row>
    <row r="29" spans="1:16" ht="21.2" customHeight="1">
      <c r="A29" s="268"/>
      <c r="B29" s="269"/>
      <c r="C29" s="269"/>
      <c r="D29" s="65" t="s">
        <v>48</v>
      </c>
      <c r="E29" s="208">
        <v>1614394</v>
      </c>
      <c r="F29" s="208">
        <v>140460</v>
      </c>
      <c r="G29" s="208">
        <v>1614394</v>
      </c>
      <c r="H29" s="174">
        <v>93299</v>
      </c>
      <c r="I29" s="196">
        <v>1481921</v>
      </c>
      <c r="J29" s="95">
        <f t="shared" si="0"/>
        <v>-47161</v>
      </c>
      <c r="K29" s="82">
        <f t="shared" si="1"/>
        <v>-33.576107076747832</v>
      </c>
      <c r="L29" s="83">
        <f t="shared" si="2"/>
        <v>-132473</v>
      </c>
      <c r="M29" s="104">
        <f t="shared" si="3"/>
        <v>-8.2057415971565746</v>
      </c>
      <c r="P29" s="56" t="s">
        <v>88</v>
      </c>
    </row>
    <row r="30" spans="1:16" ht="21.2" customHeight="1">
      <c r="A30" s="268" t="s">
        <v>60</v>
      </c>
      <c r="B30" s="269"/>
      <c r="C30" s="269"/>
      <c r="D30" s="65" t="s">
        <v>47</v>
      </c>
      <c r="E30" s="208">
        <v>139949</v>
      </c>
      <c r="F30" s="208">
        <v>16362</v>
      </c>
      <c r="G30" s="208">
        <v>139949</v>
      </c>
      <c r="H30" s="175">
        <v>10922</v>
      </c>
      <c r="I30" s="197">
        <v>136389</v>
      </c>
      <c r="J30" s="81">
        <f t="shared" si="0"/>
        <v>-5440</v>
      </c>
      <c r="K30" s="82">
        <f t="shared" si="1"/>
        <v>-33.247769221366582</v>
      </c>
      <c r="L30" s="83">
        <f t="shared" si="2"/>
        <v>-3560</v>
      </c>
      <c r="M30" s="104">
        <f t="shared" si="3"/>
        <v>-2.5437838069582455</v>
      </c>
      <c r="P30" s="56" t="s">
        <v>89</v>
      </c>
    </row>
    <row r="31" spans="1:16" ht="21.2" customHeight="1">
      <c r="A31" s="268"/>
      <c r="B31" s="269"/>
      <c r="C31" s="269"/>
      <c r="D31" s="65" t="s">
        <v>48</v>
      </c>
      <c r="E31" s="208">
        <v>2096293</v>
      </c>
      <c r="F31" s="208">
        <v>237361</v>
      </c>
      <c r="G31" s="208">
        <v>2096293</v>
      </c>
      <c r="H31" s="176">
        <v>153423</v>
      </c>
      <c r="I31" s="198">
        <v>1982852</v>
      </c>
      <c r="J31" s="81">
        <f t="shared" si="0"/>
        <v>-83938</v>
      </c>
      <c r="K31" s="82">
        <f t="shared" si="1"/>
        <v>-35.363012457817419</v>
      </c>
      <c r="L31" s="83">
        <f t="shared" si="2"/>
        <v>-113441</v>
      </c>
      <c r="M31" s="104">
        <f t="shared" si="3"/>
        <v>-5.4115049756880325</v>
      </c>
      <c r="P31" s="56" t="s">
        <v>90</v>
      </c>
    </row>
    <row r="32" spans="1:16" ht="21.2" customHeight="1">
      <c r="A32" s="268" t="s">
        <v>61</v>
      </c>
      <c r="B32" s="269"/>
      <c r="C32" s="269"/>
      <c r="D32" s="65" t="s">
        <v>47</v>
      </c>
      <c r="E32" s="208">
        <v>52891</v>
      </c>
      <c r="F32" s="208">
        <v>4056</v>
      </c>
      <c r="G32" s="208">
        <v>52891</v>
      </c>
      <c r="H32" s="177">
        <v>3795</v>
      </c>
      <c r="I32" s="199">
        <v>45952</v>
      </c>
      <c r="J32" s="81">
        <f>H32-F32</f>
        <v>-261</v>
      </c>
      <c r="K32" s="82">
        <f t="shared" si="1"/>
        <v>-6.4349112426035475</v>
      </c>
      <c r="L32" s="83">
        <f>I32-G32</f>
        <v>-6939</v>
      </c>
      <c r="M32" s="104">
        <f t="shared" si="3"/>
        <v>-13.119434308294416</v>
      </c>
      <c r="P32" s="56" t="s">
        <v>91</v>
      </c>
    </row>
    <row r="33" spans="1:16" ht="21.2" customHeight="1">
      <c r="A33" s="268"/>
      <c r="B33" s="269"/>
      <c r="C33" s="269"/>
      <c r="D33" s="65" t="s">
        <v>48</v>
      </c>
      <c r="E33" s="208">
        <v>864813</v>
      </c>
      <c r="F33" s="208">
        <v>70231</v>
      </c>
      <c r="G33" s="208">
        <v>864813</v>
      </c>
      <c r="H33" s="178">
        <v>57319</v>
      </c>
      <c r="I33" s="200">
        <v>722543</v>
      </c>
      <c r="J33" s="81">
        <f>H33-F33</f>
        <v>-12912</v>
      </c>
      <c r="K33" s="82">
        <f t="shared" si="1"/>
        <v>-18.385043641696683</v>
      </c>
      <c r="L33" s="83">
        <f>I33-G33</f>
        <v>-142270</v>
      </c>
      <c r="M33" s="104">
        <f t="shared" si="3"/>
        <v>-16.450955293225249</v>
      </c>
      <c r="P33" s="56" t="s">
        <v>92</v>
      </c>
    </row>
    <row r="34" spans="1:16" ht="21.2" customHeight="1">
      <c r="A34" s="270" t="s">
        <v>99</v>
      </c>
      <c r="B34" s="271"/>
      <c r="C34" s="271"/>
      <c r="D34" s="122" t="s">
        <v>47</v>
      </c>
      <c r="E34" s="101">
        <v>0</v>
      </c>
      <c r="F34" s="101"/>
      <c r="G34" s="101">
        <v>0</v>
      </c>
      <c r="H34" s="101"/>
      <c r="I34" s="185">
        <v>80</v>
      </c>
      <c r="J34" s="123">
        <f>H34-F34</f>
        <v>0</v>
      </c>
      <c r="K34" s="101">
        <v>0</v>
      </c>
      <c r="L34" s="124">
        <f>I34-G34</f>
        <v>80</v>
      </c>
      <c r="M34" s="126" t="s">
        <v>98</v>
      </c>
      <c r="P34" s="56" t="s">
        <v>100</v>
      </c>
    </row>
    <row r="35" spans="1:16" ht="21.2" customHeight="1" thickBot="1">
      <c r="A35" s="272"/>
      <c r="B35" s="273"/>
      <c r="C35" s="273"/>
      <c r="D35" s="106" t="s">
        <v>48</v>
      </c>
      <c r="E35" s="125">
        <v>0</v>
      </c>
      <c r="F35" s="125">
        <v>0</v>
      </c>
      <c r="G35" s="125">
        <v>0</v>
      </c>
      <c r="H35" s="125">
        <v>0</v>
      </c>
      <c r="I35" s="186">
        <v>1384</v>
      </c>
      <c r="J35" s="107">
        <f>H35-F35</f>
        <v>0</v>
      </c>
      <c r="K35" s="125">
        <v>0</v>
      </c>
      <c r="L35" s="108">
        <f>I35-G35</f>
        <v>1384</v>
      </c>
      <c r="M35" s="127" t="s">
        <v>98</v>
      </c>
      <c r="P35" s="56" t="s">
        <v>100</v>
      </c>
    </row>
  </sheetData>
  <mergeCells count="21">
    <mergeCell ref="A34:C35"/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12:C13"/>
    <mergeCell ref="A32:C33"/>
    <mergeCell ref="A28:C29"/>
    <mergeCell ref="A30:C31"/>
    <mergeCell ref="A20:C21"/>
    <mergeCell ref="A14:C15"/>
    <mergeCell ref="A16:C17"/>
    <mergeCell ref="A18:C19"/>
    <mergeCell ref="A26:C27"/>
    <mergeCell ref="A24:C25"/>
    <mergeCell ref="A22:C23"/>
  </mergeCells>
  <phoneticPr fontId="26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재게(12월)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2023-01-30T04:53:13Z</dcterms:modified>
</cp:coreProperties>
</file>