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15" i="21" l="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<sst xmlns="http://schemas.openxmlformats.org/spreadsheetml/2006/main" count="124" uniqueCount="82">
  <si>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</si>
  <si>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</si>
  <si>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</si>
  <si>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</si>
  <si>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</si>
  <si>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</si>
  <si>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</si>
  <si>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</si>
  <si>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</si>
  <si>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</si>
  <si>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</si>
  <si>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</si>
  <si>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</si>
  <si>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</si>
  <si>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</si>
  <si>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</si>
  <si>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</si>
  <si>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</si>
  <si>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</si>
  <si>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</si>
  <si>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</si>
  <si>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</si>
  <si>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</si>
  <si>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</si>
  <si>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</si>
  <si>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</si>
  <si>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</si>
  <si>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</si>
  <si>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</si>
  <si>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</si>
  <si>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</si>
  <si>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</si>
  <si>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</si>
  <si>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</si>
  <si>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</si>
  <si>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</si>
  <si>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</si>
  <si>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</si>
  <si>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</si>
  <si>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</si>
  <si>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</si>
  <si>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</si>
  <si>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</si>
  <si>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</si>
  <si>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</si>
  <si>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</si>
  <si>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</si>
  <si>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</si>
  <si>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</si>
  <si>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</si>
  <si>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</si>
  <si>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</si>
  <si>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</si>
  <si>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</si>
  <si>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</si>
  <si>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</si>
  <si>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</si>
  <si>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</si>
  <si>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</si>
  <si>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</si>
  <si>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</si>
  <si>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</si>
  <si>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</si>
  <si>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</si>
  <si>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</si>
  <si>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</si>
  <si>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</si>
  <si>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</si>
  <si>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</si>
  <si>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</si>
  <si>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</si>
  <si>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</si>
  <si>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</si>
  <si>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</si>
  <si>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</si>
  <si>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</si>
  <si>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</si>
  <si>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 6월분)</t>
    <phoneticPr fontId="5" type="noConversion"/>
  </si>
  <si>
    <t>6월(A)</t>
    <phoneticPr fontId="5" type="noConversion"/>
  </si>
  <si>
    <t>6월누계(B)</t>
    <phoneticPr fontId="5" type="noConversion"/>
  </si>
  <si>
    <t>6월(C)</t>
    <phoneticPr fontId="5" type="noConversion"/>
  </si>
  <si>
    <t>6월누계(D)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</si>
</sst>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6월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53342342</c:v>
                </c:pt>
              </c:numCache>
            </c:numRef>
          </c:val>
        </c:ser>
        <c:ser>
          <c:idx val="1"/>
          <c:order val="1"/>
          <c:tx>
            <c:v>'21년 6월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57791864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6749056"/>
        <c:axId val="136750592"/>
        <c:axId val="0"/>
      </c:bar3DChart>
      <c:catAx>
        <c:axId val="136749056"/>
        <c:scaling>
          <c:orientation val="minMax"/>
        </c:scaling>
        <c:delete val="1"/>
        <c:axPos val="b"/>
        <c:majorTickMark val="out"/>
        <c:minorTickMark val="none"/>
        <c:tickLblPos val="none"/>
        <c:crossAx val="136750592"/>
        <c:crosses val="autoZero"/>
        <c:auto val="1"/>
        <c:lblAlgn val="ctr"/>
        <c:lblOffset val="100"/>
        <c:noMultiLvlLbl val="0"/>
      </c:catAx>
      <c:valAx>
        <c:axId val="13675059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74905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6월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364129</c:v>
                </c:pt>
              </c:numCache>
            </c:numRef>
          </c:val>
        </c:ser>
        <c:ser>
          <c:idx val="1"/>
          <c:order val="1"/>
          <c:tx>
            <c:v>'21년 6월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452536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6843648"/>
        <c:axId val="136845184"/>
        <c:axId val="0"/>
      </c:bar3DChart>
      <c:catAx>
        <c:axId val="136843648"/>
        <c:scaling>
          <c:orientation val="minMax"/>
        </c:scaling>
        <c:delete val="1"/>
        <c:axPos val="b"/>
        <c:majorTickMark val="out"/>
        <c:minorTickMark val="none"/>
        <c:tickLblPos val="none"/>
        <c:crossAx val="136845184"/>
        <c:crosses val="autoZero"/>
        <c:auto val="1"/>
        <c:lblAlgn val="ctr"/>
        <c:lblOffset val="100"/>
        <c:noMultiLvlLbl val="0"/>
      </c:catAx>
      <c:valAx>
        <c:axId val="136845184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84364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57791.864000000001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57152"/>
        <c:axId val="136688000"/>
      </c:lineChart>
      <c:catAx>
        <c:axId val="13665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688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688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6571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452536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87712"/>
        <c:axId val="140789632"/>
      </c:lineChart>
      <c:catAx>
        <c:axId val="14078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78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7896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787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15360"/>
        <c:axId val="140817536"/>
      </c:lineChart>
      <c:catAx>
        <c:axId val="14081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17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8175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153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8290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42112"/>
        <c:axId val="140844032"/>
      </c:lineChart>
      <c:catAx>
        <c:axId val="14084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44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844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421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8290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80512"/>
        <c:axId val="140882688"/>
      </c:lineChart>
      <c:catAx>
        <c:axId val="14088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82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8826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880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3" zoomScale="115" zoomScaleNormal="115" workbookViewId="0">
      <pane xSplit="4" ySplit="5" topLeftCell="E35" activePane="bottomRight" state="frozen"/>
      <selection activeCell="A3" sqref="A3"/>
      <selection pane="topRight" activeCell="E3" sqref="E3"/>
      <selection pane="bottomLeft" activeCell="A8" sqref="A8"/>
      <selection pane="bottomRight" activeCell="F43" sqref="F4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77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73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74</v>
      </c>
      <c r="G5" s="198"/>
      <c r="H5" s="215" t="s">
        <v>75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78</v>
      </c>
      <c r="G6" s="41" t="s">
        <v>79</v>
      </c>
      <c r="H6" s="170" t="s">
        <v>80</v>
      </c>
      <c r="I6" s="171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17326</v>
      </c>
      <c r="F7" s="13">
        <f>SUM(F8:F9)</f>
        <v>1342</v>
      </c>
      <c r="G7" s="13">
        <f>SUM(G8:G9)</f>
        <v>8705</v>
      </c>
      <c r="H7" s="13">
        <f>SUM(H8:H9)</f>
        <v>1379</v>
      </c>
      <c r="I7" s="13">
        <f>SUM(I8:I9)</f>
        <v>8290</v>
      </c>
      <c r="J7" s="13">
        <f>H7-F7</f>
        <v>37</v>
      </c>
      <c r="K7" s="16">
        <f>H7/F7</f>
        <v>1.0275707898658719</v>
      </c>
      <c r="L7" s="14">
        <f>I7-G7</f>
        <v>-415</v>
      </c>
      <c r="M7" s="24">
        <f>I7/G7</f>
        <v>0.95232624928202181</v>
      </c>
    </row>
    <row r="8" spans="2:13" ht="19.5" customHeight="1">
      <c r="B8" s="210"/>
      <c r="C8" s="200" t="s">
        <v>9</v>
      </c>
      <c r="D8" s="201"/>
      <c r="E8" s="20">
        <v>10177</v>
      </c>
      <c r="F8" s="20">
        <v>756</v>
      </c>
      <c r="G8" s="21">
        <v>5250</v>
      </c>
      <c r="H8" s="20">
        <v>867</v>
      </c>
      <c r="I8" s="20">
        <v>5071</v>
      </c>
      <c r="J8" s="4">
        <f t="shared" ref="J8:J28" si="0">H8-F8</f>
        <v>111</v>
      </c>
      <c r="K8" s="18">
        <f t="shared" ref="K8:K28" si="1">H8/F8</f>
        <v>1.1468253968253967</v>
      </c>
      <c r="L8" s="19">
        <f t="shared" ref="L8:L28" si="2">I8-G8</f>
        <v>-179</v>
      </c>
      <c r="M8" s="26">
        <f t="shared" ref="M8:M28" si="3">I8/G8</f>
        <v>0.96590476190476193</v>
      </c>
    </row>
    <row r="9" spans="2:13" ht="19.5" customHeight="1">
      <c r="B9" s="211"/>
      <c r="C9" s="202" t="s">
        <v>10</v>
      </c>
      <c r="D9" s="203"/>
      <c r="E9" s="21">
        <v>7149</v>
      </c>
      <c r="F9" s="21">
        <v>586</v>
      </c>
      <c r="G9" s="21">
        <v>3455</v>
      </c>
      <c r="H9" s="21">
        <v>512</v>
      </c>
      <c r="I9" s="21">
        <v>3219</v>
      </c>
      <c r="J9" s="21">
        <f t="shared" si="0"/>
        <v>-74</v>
      </c>
      <c r="K9" s="22">
        <f t="shared" si="1"/>
        <v>0.87372013651877134</v>
      </c>
      <c r="L9" s="23">
        <f t="shared" si="2"/>
        <v>-236</v>
      </c>
      <c r="M9" s="27">
        <f t="shared" si="3"/>
        <v>0.93169319826338637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106845294</v>
      </c>
      <c r="F10" s="45">
        <f>F11+F15</f>
        <v>7667690</v>
      </c>
      <c r="G10" s="45">
        <f>G11+G15</f>
        <v>53342342</v>
      </c>
      <c r="H10" s="45">
        <f>H11+H15</f>
        <v>9238901</v>
      </c>
      <c r="I10" s="45">
        <f>I11+I15</f>
        <v>57791864</v>
      </c>
      <c r="J10" s="45">
        <f t="shared" si="0"/>
        <v>1571211</v>
      </c>
      <c r="K10" s="16">
        <f t="shared" si="1"/>
        <v>1.2049132137579897</v>
      </c>
      <c r="L10" s="49">
        <f>I10-G10</f>
        <v>4449522</v>
      </c>
      <c r="M10" s="24">
        <f t="shared" si="3"/>
        <v>1.0834144477570933</v>
      </c>
    </row>
    <row r="11" spans="2:13" ht="19.5" customHeight="1">
      <c r="B11" s="210"/>
      <c r="C11" s="206" t="s">
        <v>1</v>
      </c>
      <c r="D11" s="98" t="s">
        <v>0</v>
      </c>
      <c r="E11" s="92">
        <f>SUM(E12:E14)</f>
        <v>95663945</v>
      </c>
      <c r="F11" s="92">
        <f>SUM(F12:F14)</f>
        <v>6827900</v>
      </c>
      <c r="G11" s="92">
        <f>SUM(G12:G14)</f>
        <v>47857973</v>
      </c>
      <c r="H11" s="92">
        <f>SUM(H12:H14)</f>
        <v>8248512</v>
      </c>
      <c r="I11" s="92">
        <f>SUM(I12:I14)</f>
        <v>51915199</v>
      </c>
      <c r="J11" s="93">
        <f t="shared" si="0"/>
        <v>1420612</v>
      </c>
      <c r="K11" s="94">
        <f t="shared" si="1"/>
        <v>1.208059871995782</v>
      </c>
      <c r="L11" s="95">
        <f t="shared" si="2"/>
        <v>4057226</v>
      </c>
      <c r="M11" s="96">
        <f t="shared" si="3"/>
        <v>1.0847763861624478</v>
      </c>
    </row>
    <row r="12" spans="2:13" ht="19.5" customHeight="1">
      <c r="B12" s="210"/>
      <c r="C12" s="207"/>
      <c r="D12" s="5" t="s">
        <v>5</v>
      </c>
      <c r="E12" s="46">
        <v>76439827</v>
      </c>
      <c r="F12" s="46">
        <v>5582630</v>
      </c>
      <c r="G12" s="46">
        <v>38798351</v>
      </c>
      <c r="H12" s="46">
        <v>6566858</v>
      </c>
      <c r="I12" s="46">
        <v>41373947</v>
      </c>
      <c r="J12" s="93">
        <f t="shared" si="0"/>
        <v>984228</v>
      </c>
      <c r="K12" s="18">
        <f t="shared" si="1"/>
        <v>1.1763018505614737</v>
      </c>
      <c r="L12" s="48">
        <f t="shared" si="2"/>
        <v>2575596</v>
      </c>
      <c r="M12" s="26">
        <f t="shared" si="3"/>
        <v>1.0663841615330507</v>
      </c>
    </row>
    <row r="13" spans="2:13" ht="19.5" customHeight="1">
      <c r="B13" s="210"/>
      <c r="C13" s="207"/>
      <c r="D13" s="5" t="s">
        <v>6</v>
      </c>
      <c r="E13" s="46">
        <v>13946411</v>
      </c>
      <c r="F13" s="46">
        <v>991831</v>
      </c>
      <c r="G13" s="46">
        <v>6582816</v>
      </c>
      <c r="H13" s="46">
        <v>1262362</v>
      </c>
      <c r="I13" s="46">
        <v>7963805</v>
      </c>
      <c r="J13" s="93">
        <f t="shared" si="0"/>
        <v>270531</v>
      </c>
      <c r="K13" s="18">
        <f t="shared" si="1"/>
        <v>1.2727591696569274</v>
      </c>
      <c r="L13" s="48">
        <f t="shared" si="2"/>
        <v>1380989</v>
      </c>
      <c r="M13" s="26">
        <f t="shared" si="3"/>
        <v>1.2097869665504855</v>
      </c>
    </row>
    <row r="14" spans="2:13" ht="19.5" customHeight="1">
      <c r="B14" s="210"/>
      <c r="C14" s="208"/>
      <c r="D14" s="5" t="s">
        <v>13</v>
      </c>
      <c r="E14" s="46">
        <v>5277707</v>
      </c>
      <c r="F14" s="46">
        <v>253439</v>
      </c>
      <c r="G14" s="46">
        <v>2476806</v>
      </c>
      <c r="H14" s="46">
        <v>419292</v>
      </c>
      <c r="I14" s="46">
        <v>2577447</v>
      </c>
      <c r="J14" s="93">
        <f t="shared" si="0"/>
        <v>165853</v>
      </c>
      <c r="K14" s="18">
        <f>H14/F14</f>
        <v>1.6544099369078951</v>
      </c>
      <c r="L14" s="48">
        <f t="shared" si="2"/>
        <v>100641</v>
      </c>
      <c r="M14" s="26">
        <f t="shared" si="3"/>
        <v>1.0406333802485943</v>
      </c>
    </row>
    <row r="15" spans="2:13" ht="19.5" customHeight="1">
      <c r="B15" s="210"/>
      <c r="C15" s="216" t="s">
        <v>2</v>
      </c>
      <c r="D15" s="97" t="s">
        <v>0</v>
      </c>
      <c r="E15" s="87">
        <f>SUM(E16:E18)</f>
        <v>11181349</v>
      </c>
      <c r="F15" s="87">
        <f>SUM(F16:F18)</f>
        <v>839790</v>
      </c>
      <c r="G15" s="87">
        <f>SUM(G16:G18)</f>
        <v>5484369</v>
      </c>
      <c r="H15" s="87">
        <f>SUM(H16:H18)</f>
        <v>990389</v>
      </c>
      <c r="I15" s="87">
        <f>SUM(I16:I18)</f>
        <v>5876665</v>
      </c>
      <c r="J15" s="88">
        <f t="shared" si="0"/>
        <v>150599</v>
      </c>
      <c r="K15" s="89">
        <f t="shared" si="1"/>
        <v>1.1793293561485609</v>
      </c>
      <c r="L15" s="90">
        <f t="shared" si="2"/>
        <v>392296</v>
      </c>
      <c r="M15" s="91">
        <f t="shared" si="3"/>
        <v>1.0715298332406153</v>
      </c>
    </row>
    <row r="16" spans="2:13" ht="19.5" customHeight="1">
      <c r="B16" s="210"/>
      <c r="C16" s="217"/>
      <c r="D16" s="5" t="s">
        <v>3</v>
      </c>
      <c r="E16" s="46">
        <v>8023567</v>
      </c>
      <c r="F16" s="46">
        <v>620299</v>
      </c>
      <c r="G16" s="46">
        <v>3938405</v>
      </c>
      <c r="H16" s="46">
        <v>721481</v>
      </c>
      <c r="I16" s="46">
        <v>4233968</v>
      </c>
      <c r="J16" s="88">
        <f t="shared" si="0"/>
        <v>101182</v>
      </c>
      <c r="K16" s="18">
        <f t="shared" si="1"/>
        <v>1.1631181091699325</v>
      </c>
      <c r="L16" s="48">
        <f t="shared" si="2"/>
        <v>295563</v>
      </c>
      <c r="M16" s="26">
        <f t="shared" si="3"/>
        <v>1.0750463702945736</v>
      </c>
    </row>
    <row r="17" spans="1:13" ht="19.5" customHeight="1">
      <c r="B17" s="210"/>
      <c r="C17" s="217"/>
      <c r="D17" s="6" t="s">
        <v>4</v>
      </c>
      <c r="E17" s="47">
        <v>3148861</v>
      </c>
      <c r="F17" s="47">
        <v>216972</v>
      </c>
      <c r="G17" s="47">
        <v>1537043</v>
      </c>
      <c r="H17" s="47">
        <v>268908</v>
      </c>
      <c r="I17" s="47">
        <v>1642697</v>
      </c>
      <c r="J17" s="160">
        <v>0</v>
      </c>
      <c r="K17" s="18">
        <f t="shared" si="1"/>
        <v>1.2393672916320999</v>
      </c>
      <c r="L17" s="48">
        <f t="shared" si="2"/>
        <v>105654</v>
      </c>
      <c r="M17" s="26">
        <f t="shared" si="3"/>
        <v>1.0687384803157751</v>
      </c>
    </row>
    <row r="18" spans="1:13" ht="19.5" customHeight="1">
      <c r="B18" s="211"/>
      <c r="C18" s="218"/>
      <c r="D18" s="6" t="s">
        <v>17</v>
      </c>
      <c r="E18" s="47">
        <v>8921</v>
      </c>
      <c r="F18" s="47">
        <v>2519</v>
      </c>
      <c r="G18" s="47">
        <v>8921</v>
      </c>
      <c r="H18" s="157"/>
      <c r="I18" s="157"/>
      <c r="J18" s="88">
        <f t="shared" si="0"/>
        <v>-2519</v>
      </c>
      <c r="K18" s="18">
        <f t="shared" si="1"/>
        <v>0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4">
        <f>SUM(E21,E25)</f>
        <v>792643</v>
      </c>
      <c r="F20" s="3">
        <f>SUM(F21,F25)</f>
        <v>68224</v>
      </c>
      <c r="G20" s="3">
        <f>SUM(G21,G25)</f>
        <v>364129</v>
      </c>
      <c r="H20" s="104">
        <f>SUM(H21,H25)</f>
        <v>85042</v>
      </c>
      <c r="I20" s="104">
        <f>SUM(I21,I25)</f>
        <v>452536</v>
      </c>
      <c r="J20" s="105">
        <f t="shared" si="0"/>
        <v>16818</v>
      </c>
      <c r="K20" s="106">
        <f t="shared" si="1"/>
        <v>1.2465114915572233</v>
      </c>
      <c r="L20" s="107">
        <f t="shared" si="2"/>
        <v>88407</v>
      </c>
      <c r="M20" s="24">
        <f>I20/G20</f>
        <v>1.2427903298007026</v>
      </c>
    </row>
    <row r="21" spans="1:13" ht="19.5" customHeight="1">
      <c r="B21" s="25"/>
      <c r="C21" s="199" t="s">
        <v>1</v>
      </c>
      <c r="D21" s="99" t="s">
        <v>0</v>
      </c>
      <c r="E21" s="100">
        <f>SUM(E22:E24)</f>
        <v>792643</v>
      </c>
      <c r="F21" s="100">
        <f>SUM(F22:F24)</f>
        <v>68224</v>
      </c>
      <c r="G21" s="100">
        <f>SUM(G22:G24)</f>
        <v>364129</v>
      </c>
      <c r="H21" s="100">
        <f>SUM(H22:H24)</f>
        <v>85042</v>
      </c>
      <c r="I21" s="100">
        <f>SUM(I22:I24)</f>
        <v>452536</v>
      </c>
      <c r="J21" s="101">
        <f t="shared" si="0"/>
        <v>16818</v>
      </c>
      <c r="K21" s="102">
        <f t="shared" si="1"/>
        <v>1.2465114915572233</v>
      </c>
      <c r="L21" s="103">
        <f t="shared" si="2"/>
        <v>88407</v>
      </c>
      <c r="M21" s="96">
        <f t="shared" si="3"/>
        <v>1.2427903298007026</v>
      </c>
    </row>
    <row r="22" spans="1:13" ht="19.5" customHeight="1">
      <c r="B22" s="159" t="s">
        <v>19</v>
      </c>
      <c r="C22" s="199"/>
      <c r="D22" s="52" t="s">
        <v>5</v>
      </c>
      <c r="E22" s="54">
        <v>391129</v>
      </c>
      <c r="F22" s="54">
        <v>32589</v>
      </c>
      <c r="G22" s="54">
        <v>179467</v>
      </c>
      <c r="H22" s="54">
        <v>43346</v>
      </c>
      <c r="I22" s="54">
        <v>226981</v>
      </c>
      <c r="J22" s="101">
        <f t="shared" si="0"/>
        <v>10757</v>
      </c>
      <c r="K22" s="51">
        <f t="shared" si="1"/>
        <v>1.3300807020773882</v>
      </c>
      <c r="L22" s="23">
        <f t="shared" si="2"/>
        <v>47514</v>
      </c>
      <c r="M22" s="26">
        <f t="shared" si="3"/>
        <v>1.2647506226771497</v>
      </c>
    </row>
    <row r="23" spans="1:13" ht="19.5" customHeight="1">
      <c r="B23" s="159" t="s">
        <v>20</v>
      </c>
      <c r="C23" s="199"/>
      <c r="D23" s="2" t="s">
        <v>14</v>
      </c>
      <c r="E23" s="54">
        <v>389634</v>
      </c>
      <c r="F23" s="54">
        <v>34949</v>
      </c>
      <c r="G23" s="54">
        <v>178032</v>
      </c>
      <c r="H23" s="54">
        <v>40603</v>
      </c>
      <c r="I23" s="54">
        <v>219008</v>
      </c>
      <c r="J23" s="101">
        <f t="shared" si="0"/>
        <v>5654</v>
      </c>
      <c r="K23" s="51">
        <f t="shared" si="1"/>
        <v>1.1617785916621362</v>
      </c>
      <c r="L23" s="19">
        <f t="shared" si="2"/>
        <v>40976</v>
      </c>
      <c r="M23" s="26">
        <f t="shared" si="3"/>
        <v>1.230160869955963</v>
      </c>
    </row>
    <row r="24" spans="1:13" ht="19.5" customHeight="1">
      <c r="B24" s="31"/>
      <c r="C24" s="199"/>
      <c r="D24" s="2" t="s">
        <v>13</v>
      </c>
      <c r="E24" s="54">
        <v>11880</v>
      </c>
      <c r="F24" s="54">
        <v>686</v>
      </c>
      <c r="G24" s="54">
        <v>6630</v>
      </c>
      <c r="H24" s="54">
        <v>1093</v>
      </c>
      <c r="I24" s="54">
        <v>6547</v>
      </c>
      <c r="J24" s="101">
        <f t="shared" si="0"/>
        <v>407</v>
      </c>
      <c r="K24" s="51">
        <f t="shared" si="1"/>
        <v>1.5932944606413995</v>
      </c>
      <c r="L24" s="19">
        <f t="shared" si="2"/>
        <v>-83</v>
      </c>
      <c r="M24" s="26">
        <f t="shared" si="3"/>
        <v>0.98748114630467576</v>
      </c>
    </row>
    <row r="25" spans="1:13" ht="19.5" customHeight="1">
      <c r="B25" s="25"/>
      <c r="C25" s="176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/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177" t="s">
        <v>69</v>
      </c>
      <c r="C28" s="178"/>
      <c r="D28" s="179"/>
      <c r="E28" s="140">
        <v>1260128</v>
      </c>
      <c r="F28" s="140">
        <v>70020</v>
      </c>
      <c r="G28" s="140">
        <v>556521</v>
      </c>
      <c r="H28" s="140">
        <v>127172</v>
      </c>
      <c r="I28" s="140">
        <v>617847</v>
      </c>
      <c r="J28" s="141">
        <f t="shared" si="0"/>
        <v>57152</v>
      </c>
      <c r="K28" s="142">
        <f t="shared" si="1"/>
        <v>1.8162239360182806</v>
      </c>
      <c r="L28" s="143">
        <f t="shared" si="2"/>
        <v>61326</v>
      </c>
      <c r="M28" s="144">
        <f t="shared" si="3"/>
        <v>1.1101953026031364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28"/>
      <c r="E31" s="128"/>
      <c r="F31" s="128"/>
      <c r="G31" s="128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3" zoomScale="85" zoomScaleNormal="85" workbookViewId="0">
      <selection activeCell="N12" sqref="N1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21.6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21.6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8290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57791.864000000001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21.6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21.6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452536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2" sqref="O2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41" t="s">
        <v>39</v>
      </c>
      <c r="B2" s="242"/>
      <c r="C2" s="242"/>
      <c r="D2" s="245" t="s">
        <v>40</v>
      </c>
      <c r="E2" s="75"/>
      <c r="F2" s="247" t="s">
        <v>74</v>
      </c>
      <c r="G2" s="248"/>
      <c r="H2" s="237" t="s">
        <v>76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6" t="s">
        <v>42</v>
      </c>
      <c r="F3" s="76" t="str">
        <f>통계요약!F6</f>
        <v>6월(A)</v>
      </c>
      <c r="G3" s="76" t="str">
        <f>통계요약!G6</f>
        <v>6월누계(B)</v>
      </c>
      <c r="H3" s="161" t="str">
        <f>통계요약!H6</f>
        <v>6월(C)</v>
      </c>
      <c r="I3" s="76" t="str">
        <f>통계요약!I6</f>
        <v>6월누계(D)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39" t="s">
        <v>46</v>
      </c>
      <c r="B4" s="240"/>
      <c r="C4" s="240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68224</v>
      </c>
      <c r="G4" s="118">
        <f>SUM(G6,G8,G10,G12,G14,G16,G18,G22,G24,G26,G28,G20)</f>
        <v>364129</v>
      </c>
      <c r="H4" s="118">
        <f>SUM(H6,H8,H12,H14,H16,H18,H22,H24,H26,H28,H20,H10)</f>
        <v>85042</v>
      </c>
      <c r="I4" s="118">
        <f>SUM(I6,I8,I12,I14,I16,I18,I22,I24,I26,I28,I20,I10)</f>
        <v>452524</v>
      </c>
      <c r="J4" s="108">
        <f t="shared" ref="J4:J27" si="0">H4-F4</f>
        <v>16818</v>
      </c>
      <c r="K4" s="109">
        <f t="shared" ref="K4:K29" si="1">(H4/F4*100)-100</f>
        <v>24.651149155722322</v>
      </c>
      <c r="L4" s="110">
        <f t="shared" ref="L4:L27" si="2">I4-G4</f>
        <v>88395</v>
      </c>
      <c r="M4" s="122">
        <f t="shared" ref="M4:M27" si="3">(I4/G4*100)-100</f>
        <v>24.275737444696802</v>
      </c>
    </row>
    <row r="5" spans="1:13" ht="21.95" customHeight="1">
      <c r="A5" s="239"/>
      <c r="B5" s="240"/>
      <c r="C5" s="240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1033586</v>
      </c>
      <c r="G5" s="118">
        <f>SUM(G7,G9,G11,G13,G15,G17,G19,G23,G25,G27,G29,G21)</f>
        <v>5434363</v>
      </c>
      <c r="H5" s="118">
        <f>SUM(H7,H9,H13,H15,H17,H19,H23,H25,H27,H29,H21,H11)</f>
        <v>1263340</v>
      </c>
      <c r="I5" s="118">
        <f>SUM(I7,I9,I13,I15,I17,I19,I23,I25,I27,I29,I21,I11)</f>
        <v>6897711</v>
      </c>
      <c r="J5" s="108">
        <f t="shared" si="0"/>
        <v>229754</v>
      </c>
      <c r="K5" s="109">
        <f t="shared" si="1"/>
        <v>22.228822758822204</v>
      </c>
      <c r="L5" s="110">
        <f t="shared" si="2"/>
        <v>1463348</v>
      </c>
      <c r="M5" s="122">
        <f t="shared" si="3"/>
        <v>26.927682232489801</v>
      </c>
    </row>
    <row r="6" spans="1:13" ht="21.2" customHeight="1">
      <c r="A6" s="227" t="s">
        <v>53</v>
      </c>
      <c r="B6" s="228"/>
      <c r="C6" s="228"/>
      <c r="D6" s="80" t="s">
        <v>47</v>
      </c>
      <c r="E6" s="119">
        <v>40012</v>
      </c>
      <c r="F6" s="119">
        <v>3082</v>
      </c>
      <c r="G6" s="119">
        <v>16795</v>
      </c>
      <c r="H6" s="119">
        <v>4764</v>
      </c>
      <c r="I6" s="119">
        <v>26289</v>
      </c>
      <c r="J6" s="111">
        <f>I6-F6</f>
        <v>23207</v>
      </c>
      <c r="K6" s="112">
        <f>(I6/F6*100)-100</f>
        <v>752.98507462686575</v>
      </c>
      <c r="L6" s="113">
        <f>I6-G6</f>
        <v>9494</v>
      </c>
      <c r="M6" s="123">
        <f>(I6/G6*100)-100</f>
        <v>56.528728788329857</v>
      </c>
    </row>
    <row r="7" spans="1:13" ht="21.2" customHeight="1">
      <c r="A7" s="227"/>
      <c r="B7" s="228"/>
      <c r="C7" s="228"/>
      <c r="D7" s="80" t="s">
        <v>48</v>
      </c>
      <c r="E7" s="119">
        <v>733864</v>
      </c>
      <c r="F7" s="119">
        <v>56146</v>
      </c>
      <c r="G7" s="119">
        <v>308497</v>
      </c>
      <c r="H7" s="119">
        <v>83324</v>
      </c>
      <c r="I7" s="119">
        <v>478387</v>
      </c>
      <c r="J7" s="111">
        <f t="shared" ref="J7:J18" si="4">H7-F7</f>
        <v>27178</v>
      </c>
      <c r="K7" s="112">
        <f t="shared" ref="K7:K17" si="5">(H7/F7*100)-100</f>
        <v>48.405941652121271</v>
      </c>
      <c r="L7" s="113">
        <f t="shared" si="2"/>
        <v>169890</v>
      </c>
      <c r="M7" s="123">
        <f t="shared" si="3"/>
        <v>55.070227587302298</v>
      </c>
    </row>
    <row r="8" spans="1:13" ht="21.2" customHeight="1">
      <c r="A8" s="227" t="s">
        <v>54</v>
      </c>
      <c r="B8" s="228"/>
      <c r="C8" s="228"/>
      <c r="D8" s="80" t="s">
        <v>47</v>
      </c>
      <c r="E8" s="119">
        <v>64529</v>
      </c>
      <c r="F8" s="119">
        <v>5577</v>
      </c>
      <c r="G8" s="119">
        <v>29211</v>
      </c>
      <c r="H8" s="119">
        <v>5955</v>
      </c>
      <c r="I8" s="119">
        <v>33921</v>
      </c>
      <c r="J8" s="111">
        <f>I8-F8</f>
        <v>28344</v>
      </c>
      <c r="K8" s="112">
        <f>(I8/F8*100)-100</f>
        <v>508.23023130715444</v>
      </c>
      <c r="L8" s="113">
        <f>I8-G8</f>
        <v>4710</v>
      </c>
      <c r="M8" s="123">
        <f>(I8/G8*100)-100</f>
        <v>16.124062853034829</v>
      </c>
    </row>
    <row r="9" spans="1:13" ht="21.2" customHeight="1">
      <c r="A9" s="227"/>
      <c r="B9" s="228"/>
      <c r="C9" s="228"/>
      <c r="D9" s="80" t="s">
        <v>48</v>
      </c>
      <c r="E9" s="119">
        <v>1014764</v>
      </c>
      <c r="F9" s="119">
        <v>85130</v>
      </c>
      <c r="G9" s="119">
        <v>459990</v>
      </c>
      <c r="H9" s="119">
        <v>92985</v>
      </c>
      <c r="I9" s="119">
        <v>531424</v>
      </c>
      <c r="J9" s="111">
        <f t="shared" si="4"/>
        <v>7855</v>
      </c>
      <c r="K9" s="112">
        <f t="shared" si="5"/>
        <v>9.2270644896041318</v>
      </c>
      <c r="L9" s="113">
        <f t="shared" si="2"/>
        <v>71434</v>
      </c>
      <c r="M9" s="123">
        <f t="shared" si="3"/>
        <v>15.529468031913723</v>
      </c>
    </row>
    <row r="10" spans="1:13" ht="21.2" customHeight="1">
      <c r="A10" s="221" t="s">
        <v>66</v>
      </c>
      <c r="B10" s="222"/>
      <c r="C10" s="223"/>
      <c r="D10" s="80" t="s">
        <v>47</v>
      </c>
      <c r="E10" s="119">
        <v>11</v>
      </c>
      <c r="F10" s="156"/>
      <c r="G10" s="156"/>
      <c r="H10" s="119"/>
      <c r="I10" s="156"/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24"/>
      <c r="B11" s="225"/>
      <c r="C11" s="226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7" t="s">
        <v>55</v>
      </c>
      <c r="B12" s="228"/>
      <c r="C12" s="228"/>
      <c r="D12" s="80" t="s">
        <v>47</v>
      </c>
      <c r="E12" s="119">
        <v>94591</v>
      </c>
      <c r="F12" s="119">
        <v>10459</v>
      </c>
      <c r="G12" s="119">
        <v>39564</v>
      </c>
      <c r="H12" s="119">
        <v>11987</v>
      </c>
      <c r="I12" s="119">
        <v>56347</v>
      </c>
      <c r="J12" s="111">
        <f>I12-F12</f>
        <v>45888</v>
      </c>
      <c r="K12" s="112">
        <f>(I12/F12*100)-100</f>
        <v>438.74175351372025</v>
      </c>
      <c r="L12" s="113">
        <f>I12-G12</f>
        <v>16783</v>
      </c>
      <c r="M12" s="123">
        <f>(I12/G12*100)-100</f>
        <v>42.419876655545465</v>
      </c>
    </row>
    <row r="13" spans="1:13" ht="21.2" customHeight="1">
      <c r="A13" s="227"/>
      <c r="B13" s="228"/>
      <c r="C13" s="228"/>
      <c r="D13" s="80" t="s">
        <v>48</v>
      </c>
      <c r="E13" s="119">
        <v>1458673</v>
      </c>
      <c r="F13" s="119">
        <v>147456</v>
      </c>
      <c r="G13" s="119">
        <v>570561</v>
      </c>
      <c r="H13" s="119">
        <v>185387</v>
      </c>
      <c r="I13" s="119">
        <v>842789</v>
      </c>
      <c r="J13" s="111">
        <f t="shared" si="4"/>
        <v>37931</v>
      </c>
      <c r="K13" s="112">
        <f t="shared" si="5"/>
        <v>25.723605685763886</v>
      </c>
      <c r="L13" s="113">
        <f t="shared" si="2"/>
        <v>272228</v>
      </c>
      <c r="M13" s="123">
        <f t="shared" si="3"/>
        <v>47.712339259080096</v>
      </c>
    </row>
    <row r="14" spans="1:13" ht="21.2" customHeight="1">
      <c r="A14" s="227" t="s">
        <v>62</v>
      </c>
      <c r="B14" s="228"/>
      <c r="C14" s="228"/>
      <c r="D14" s="80" t="s">
        <v>47</v>
      </c>
      <c r="E14" s="119">
        <v>230422</v>
      </c>
      <c r="F14" s="119">
        <v>19313</v>
      </c>
      <c r="G14" s="119">
        <v>101271</v>
      </c>
      <c r="H14" s="119">
        <v>23567</v>
      </c>
      <c r="I14" s="119">
        <v>132185</v>
      </c>
      <c r="J14" s="111">
        <f t="shared" si="4"/>
        <v>4254</v>
      </c>
      <c r="K14" s="112">
        <f t="shared" si="5"/>
        <v>22.026614197690677</v>
      </c>
      <c r="L14" s="113">
        <f t="shared" si="2"/>
        <v>30914</v>
      </c>
      <c r="M14" s="123">
        <f t="shared" si="3"/>
        <v>30.526014357515976</v>
      </c>
    </row>
    <row r="15" spans="1:13" ht="21.2" customHeight="1">
      <c r="A15" s="227"/>
      <c r="B15" s="228"/>
      <c r="C15" s="228"/>
      <c r="D15" s="80" t="s">
        <v>48</v>
      </c>
      <c r="E15" s="119">
        <v>3151058</v>
      </c>
      <c r="F15" s="119">
        <v>290049</v>
      </c>
      <c r="G15" s="119">
        <v>1355831</v>
      </c>
      <c r="H15" s="119">
        <v>324560</v>
      </c>
      <c r="I15" s="119">
        <v>1841489</v>
      </c>
      <c r="J15" s="111">
        <f t="shared" si="4"/>
        <v>34511</v>
      </c>
      <c r="K15" s="112">
        <f t="shared" si="5"/>
        <v>11.898334419356729</v>
      </c>
      <c r="L15" s="113">
        <f t="shared" si="2"/>
        <v>485658</v>
      </c>
      <c r="M15" s="123">
        <f t="shared" si="3"/>
        <v>35.819951011593645</v>
      </c>
    </row>
    <row r="16" spans="1:13" ht="21.2" customHeight="1">
      <c r="A16" s="227" t="s">
        <v>56</v>
      </c>
      <c r="B16" s="228"/>
      <c r="C16" s="228"/>
      <c r="D16" s="80" t="s">
        <v>47</v>
      </c>
      <c r="E16" s="119">
        <v>142475</v>
      </c>
      <c r="F16" s="119">
        <v>12082</v>
      </c>
      <c r="G16" s="119">
        <v>81023</v>
      </c>
      <c r="H16" s="119">
        <v>15422</v>
      </c>
      <c r="I16" s="119">
        <v>75303</v>
      </c>
      <c r="J16" s="111">
        <f t="shared" si="4"/>
        <v>3340</v>
      </c>
      <c r="K16" s="81">
        <f t="shared" si="5"/>
        <v>27.644429730177137</v>
      </c>
      <c r="L16" s="82">
        <f t="shared" si="2"/>
        <v>-5720</v>
      </c>
      <c r="M16" s="124">
        <f t="shared" si="3"/>
        <v>-7.0597237821359471</v>
      </c>
    </row>
    <row r="17" spans="1:13" ht="21.2" customHeight="1">
      <c r="A17" s="227"/>
      <c r="B17" s="228"/>
      <c r="C17" s="228"/>
      <c r="D17" s="80" t="s">
        <v>48</v>
      </c>
      <c r="E17" s="119">
        <v>2264820</v>
      </c>
      <c r="F17" s="119">
        <v>184291</v>
      </c>
      <c r="G17" s="119">
        <v>1297166</v>
      </c>
      <c r="H17" s="119">
        <v>217538</v>
      </c>
      <c r="I17" s="119">
        <v>1183765</v>
      </c>
      <c r="J17" s="111">
        <f t="shared" si="4"/>
        <v>33247</v>
      </c>
      <c r="K17" s="81">
        <f t="shared" si="5"/>
        <v>18.040490311518198</v>
      </c>
      <c r="L17" s="82">
        <f t="shared" si="2"/>
        <v>-113401</v>
      </c>
      <c r="M17" s="124">
        <f t="shared" si="3"/>
        <v>-8.7422118680261462</v>
      </c>
    </row>
    <row r="18" spans="1:13" ht="21.2" customHeight="1">
      <c r="A18" s="231" t="s">
        <v>70</v>
      </c>
      <c r="B18" s="232"/>
      <c r="C18" s="232"/>
      <c r="D18" s="146" t="s">
        <v>47</v>
      </c>
      <c r="E18" s="145">
        <v>670</v>
      </c>
      <c r="F18" s="155"/>
      <c r="G18" s="155"/>
      <c r="H18" s="155"/>
      <c r="I18" s="155"/>
      <c r="J18" s="147">
        <f t="shared" si="4"/>
        <v>0</v>
      </c>
      <c r="K18" s="148" t="s">
        <v>68</v>
      </c>
      <c r="L18" s="149">
        <f t="shared" si="2"/>
        <v>0</v>
      </c>
      <c r="M18" s="150">
        <v>0</v>
      </c>
    </row>
    <row r="19" spans="1:13" ht="21.2" customHeight="1">
      <c r="A19" s="233"/>
      <c r="B19" s="234"/>
      <c r="C19" s="234"/>
      <c r="D19" s="151" t="s">
        <v>48</v>
      </c>
      <c r="E19" s="145">
        <v>6371</v>
      </c>
      <c r="F19" s="155"/>
      <c r="G19" s="155"/>
      <c r="H19" s="155"/>
      <c r="I19" s="155"/>
      <c r="J19" s="147">
        <f t="shared" si="0"/>
        <v>0</v>
      </c>
      <c r="K19" s="152" t="s">
        <v>68</v>
      </c>
      <c r="L19" s="153">
        <f t="shared" si="2"/>
        <v>0</v>
      </c>
      <c r="M19" s="154">
        <v>0</v>
      </c>
    </row>
    <row r="20" spans="1:13" ht="21.2" customHeight="1">
      <c r="A20" s="221" t="s">
        <v>63</v>
      </c>
      <c r="B20" s="222"/>
      <c r="C20" s="223"/>
      <c r="D20" s="83" t="s">
        <v>64</v>
      </c>
      <c r="E20" s="119">
        <v>112</v>
      </c>
      <c r="F20" s="155">
        <v>18</v>
      </c>
      <c r="G20" s="155">
        <v>46</v>
      </c>
      <c r="H20" s="155"/>
      <c r="I20" s="155">
        <v>16</v>
      </c>
      <c r="J20" s="111">
        <f t="shared" si="0"/>
        <v>-18</v>
      </c>
      <c r="K20" s="138" t="s">
        <v>68</v>
      </c>
      <c r="L20" s="115">
        <f t="shared" si="2"/>
        <v>-30</v>
      </c>
      <c r="M20" s="125">
        <f t="shared" si="3"/>
        <v>-65.217391304347828</v>
      </c>
    </row>
    <row r="21" spans="1:13" ht="21.2" customHeight="1">
      <c r="A21" s="224"/>
      <c r="B21" s="225"/>
      <c r="C21" s="226"/>
      <c r="D21" s="83" t="s">
        <v>65</v>
      </c>
      <c r="E21" s="119">
        <v>776</v>
      </c>
      <c r="F21" s="155">
        <v>134</v>
      </c>
      <c r="G21" s="155">
        <v>350</v>
      </c>
      <c r="H21" s="155"/>
      <c r="I21" s="155">
        <v>129</v>
      </c>
      <c r="J21" s="111">
        <f t="shared" si="0"/>
        <v>-134</v>
      </c>
      <c r="K21" s="138" t="s">
        <v>68</v>
      </c>
      <c r="L21" s="115">
        <f t="shared" si="2"/>
        <v>-221</v>
      </c>
      <c r="M21" s="125">
        <f t="shared" si="3"/>
        <v>-63.142857142857146</v>
      </c>
    </row>
    <row r="22" spans="1:13" ht="21.2" customHeight="1">
      <c r="A22" s="227" t="s">
        <v>58</v>
      </c>
      <c r="B22" s="228"/>
      <c r="C22" s="228"/>
      <c r="D22" s="80" t="s">
        <v>47</v>
      </c>
      <c r="E22" s="119">
        <v>544</v>
      </c>
      <c r="F22" s="156">
        <v>34</v>
      </c>
      <c r="G22" s="119">
        <v>242</v>
      </c>
      <c r="H22" s="119">
        <v>68</v>
      </c>
      <c r="I22" s="156">
        <v>176</v>
      </c>
      <c r="J22" s="111">
        <f t="shared" si="0"/>
        <v>34</v>
      </c>
      <c r="K22" s="112">
        <f t="shared" si="1"/>
        <v>100</v>
      </c>
      <c r="L22" s="113">
        <f t="shared" si="2"/>
        <v>-66</v>
      </c>
      <c r="M22" s="123">
        <f t="shared" si="3"/>
        <v>-27.272727272727266</v>
      </c>
    </row>
    <row r="23" spans="1:13" ht="21.2" customHeight="1">
      <c r="A23" s="235"/>
      <c r="B23" s="236"/>
      <c r="C23" s="236"/>
      <c r="D23" s="83" t="s">
        <v>48</v>
      </c>
      <c r="E23" s="119">
        <v>4339</v>
      </c>
      <c r="F23" s="156">
        <v>433</v>
      </c>
      <c r="G23" s="119">
        <v>2314</v>
      </c>
      <c r="H23" s="119">
        <v>602</v>
      </c>
      <c r="I23" s="156">
        <v>1567</v>
      </c>
      <c r="J23" s="111">
        <f t="shared" si="0"/>
        <v>169</v>
      </c>
      <c r="K23" s="114">
        <f t="shared" si="1"/>
        <v>39.030023094688204</v>
      </c>
      <c r="L23" s="115">
        <f t="shared" si="2"/>
        <v>-747</v>
      </c>
      <c r="M23" s="125">
        <f t="shared" si="3"/>
        <v>-32.281763180639587</v>
      </c>
    </row>
    <row r="24" spans="1:13" ht="21.2" customHeight="1">
      <c r="A24" s="227" t="s">
        <v>59</v>
      </c>
      <c r="B24" s="228"/>
      <c r="C24" s="228"/>
      <c r="D24" s="80" t="s">
        <v>47</v>
      </c>
      <c r="E24" s="119">
        <v>75409</v>
      </c>
      <c r="F24" s="119">
        <v>6112</v>
      </c>
      <c r="G24" s="119">
        <v>32535</v>
      </c>
      <c r="H24" s="119">
        <v>8111</v>
      </c>
      <c r="I24" s="119">
        <v>42883</v>
      </c>
      <c r="J24" s="111">
        <f t="shared" si="0"/>
        <v>1999</v>
      </c>
      <c r="K24" s="112">
        <f t="shared" si="1"/>
        <v>32.706151832460733</v>
      </c>
      <c r="L24" s="113">
        <f t="shared" si="2"/>
        <v>10348</v>
      </c>
      <c r="M24" s="123">
        <f t="shared" si="3"/>
        <v>31.805747656370045</v>
      </c>
    </row>
    <row r="25" spans="1:13" ht="21.2" customHeight="1">
      <c r="A25" s="227"/>
      <c r="B25" s="228"/>
      <c r="C25" s="228"/>
      <c r="D25" s="80" t="s">
        <v>48</v>
      </c>
      <c r="E25" s="119">
        <v>1215186</v>
      </c>
      <c r="F25" s="119">
        <v>98499</v>
      </c>
      <c r="G25" s="119">
        <v>507343</v>
      </c>
      <c r="H25" s="119">
        <v>136902</v>
      </c>
      <c r="I25" s="119">
        <v>699276</v>
      </c>
      <c r="J25" s="111">
        <f t="shared" si="0"/>
        <v>38403</v>
      </c>
      <c r="K25" s="112">
        <f t="shared" si="1"/>
        <v>38.988213078305364</v>
      </c>
      <c r="L25" s="113">
        <f t="shared" si="2"/>
        <v>191933</v>
      </c>
      <c r="M25" s="123">
        <f t="shared" si="3"/>
        <v>37.831013732327051</v>
      </c>
    </row>
    <row r="26" spans="1:13" ht="21.2" customHeight="1">
      <c r="A26" s="227" t="s">
        <v>60</v>
      </c>
      <c r="B26" s="228"/>
      <c r="C26" s="228"/>
      <c r="D26" s="85" t="s">
        <v>47</v>
      </c>
      <c r="E26" s="120">
        <v>105261</v>
      </c>
      <c r="F26" s="120">
        <v>8922</v>
      </c>
      <c r="G26" s="120">
        <v>47082</v>
      </c>
      <c r="H26" s="119">
        <v>10181</v>
      </c>
      <c r="I26" s="120">
        <v>58245</v>
      </c>
      <c r="J26" s="111">
        <f t="shared" si="0"/>
        <v>1259</v>
      </c>
      <c r="K26" s="116">
        <f t="shared" si="1"/>
        <v>14.111185832772904</v>
      </c>
      <c r="L26" s="117">
        <f t="shared" si="2"/>
        <v>11163</v>
      </c>
      <c r="M26" s="126">
        <f t="shared" si="3"/>
        <v>23.709697973747936</v>
      </c>
    </row>
    <row r="27" spans="1:13" ht="21.2" customHeight="1">
      <c r="A27" s="227"/>
      <c r="B27" s="228"/>
      <c r="C27" s="228"/>
      <c r="D27" s="83" t="s">
        <v>48</v>
      </c>
      <c r="E27" s="129">
        <v>1550056</v>
      </c>
      <c r="F27" s="129">
        <v>132666</v>
      </c>
      <c r="G27" s="129">
        <v>679055</v>
      </c>
      <c r="H27" s="119">
        <v>147737</v>
      </c>
      <c r="I27" s="129">
        <v>887949</v>
      </c>
      <c r="J27" s="130">
        <f t="shared" si="0"/>
        <v>15071</v>
      </c>
      <c r="K27" s="114">
        <f t="shared" si="1"/>
        <v>11.360107337222786</v>
      </c>
      <c r="L27" s="115">
        <f t="shared" si="2"/>
        <v>208894</v>
      </c>
      <c r="M27" s="125">
        <f t="shared" si="3"/>
        <v>30.762456649314117</v>
      </c>
    </row>
    <row r="28" spans="1:13" ht="21.2" customHeight="1">
      <c r="A28" s="227" t="s">
        <v>61</v>
      </c>
      <c r="B28" s="228"/>
      <c r="C28" s="228"/>
      <c r="D28" s="80" t="s">
        <v>47</v>
      </c>
      <c r="E28" s="119">
        <v>38607</v>
      </c>
      <c r="F28" s="119">
        <v>2625</v>
      </c>
      <c r="G28" s="119">
        <v>16360</v>
      </c>
      <c r="H28" s="119">
        <v>4987</v>
      </c>
      <c r="I28" s="119">
        <v>27159</v>
      </c>
      <c r="J28" s="111">
        <f>H28-F28</f>
        <v>2362</v>
      </c>
      <c r="K28" s="114">
        <f t="shared" si="1"/>
        <v>89.980952380952374</v>
      </c>
      <c r="L28" s="113">
        <f>I28-G28</f>
        <v>10799</v>
      </c>
      <c r="M28" s="136" t="s">
        <v>67</v>
      </c>
    </row>
    <row r="29" spans="1:13" ht="21.2" customHeight="1" thickBot="1">
      <c r="A29" s="229"/>
      <c r="B29" s="230"/>
      <c r="C29" s="230"/>
      <c r="D29" s="131" t="s">
        <v>48</v>
      </c>
      <c r="E29" s="132">
        <v>594069</v>
      </c>
      <c r="F29" s="132">
        <v>38782</v>
      </c>
      <c r="G29" s="132">
        <v>253256</v>
      </c>
      <c r="H29" s="132">
        <v>74305</v>
      </c>
      <c r="I29" s="132">
        <v>430936</v>
      </c>
      <c r="J29" s="133">
        <f>H29-F29</f>
        <v>35523</v>
      </c>
      <c r="K29" s="173">
        <f t="shared" si="1"/>
        <v>91.596616987262138</v>
      </c>
      <c r="L29" s="134">
        <f>I29-G29</f>
        <v>177680</v>
      </c>
      <c r="M29" s="13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2021-07-22T08:25:57Z</cp:lastPrinted>
  <dcterms:created xsi:type="dcterms:W3CDTF">1998-03-31T03:01:22Z</dcterms:created>
  <dcterms:modified xsi:type="dcterms:W3CDTF">2021-07-22T08:27:44Z</dcterms:modified>
</cp:coreProperties>
</file>