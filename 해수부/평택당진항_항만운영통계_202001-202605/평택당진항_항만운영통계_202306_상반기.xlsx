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통계\2023\6월\"/>
    </mc:Choice>
  </mc:AlternateContent>
  <xr:revisionPtr revIDLastSave="0" documentId="13_ncr:1_{7B3894A9-5CF9-48F4-A579-A3E8BBF27C88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G24" i="21" l="1"/>
  <c r="F24" i="21"/>
  <c r="H24" i="21"/>
  <c r="F14" i="21"/>
  <c r="G14" i="21"/>
  <c r="H14" i="21"/>
  <c r="I14" i="21"/>
  <c r="AG11" i="32" l="1"/>
  <c r="AI11" i="32" s="1"/>
  <c r="AH11" i="32"/>
  <c r="AJ11" i="32" s="1"/>
  <c r="AH10" i="32"/>
  <c r="AG10" i="32"/>
  <c r="AH9" i="32"/>
  <c r="AG9" i="32"/>
  <c r="AF11" i="32"/>
  <c r="AE11" i="32"/>
  <c r="AF10" i="32"/>
  <c r="AE10" i="32"/>
  <c r="AF9" i="32"/>
  <c r="AE9" i="32"/>
  <c r="M27" i="32"/>
  <c r="M25" i="32"/>
  <c r="M26" i="32"/>
  <c r="M24" i="32"/>
  <c r="M11" i="32"/>
  <c r="M10" i="32"/>
  <c r="AJ10" i="32" l="1"/>
  <c r="AJ9" i="32"/>
  <c r="AI10" i="32"/>
  <c r="AI9" i="32"/>
  <c r="F5" i="32"/>
  <c r="F4" i="32"/>
  <c r="G5" i="32"/>
  <c r="G4" i="32"/>
  <c r="E5" i="32"/>
  <c r="E4" i="32"/>
  <c r="M35" i="32" l="1"/>
  <c r="L35" i="32"/>
  <c r="J35" i="32"/>
  <c r="M34" i="32"/>
  <c r="L34" i="32"/>
  <c r="J34" i="32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I5" i="32" l="1"/>
  <c r="H5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N6" i="33" l="1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<sst xmlns="http://schemas.openxmlformats.org/spreadsheetml/2006/main" count="170" uniqueCount="117">
  <si>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</si>
  <si>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</si>
  <si>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</si>
  <si>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</si>
  <si>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</si>
  <si>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</si>
  <si>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</si>
  <si>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</si>
  <si>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</si>
  <si>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</si>
  <si>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</si>
  <si>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</si>
  <si>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</si>
  <si>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</si>
  <si>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</si>
  <si>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</si>
  <si>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</si>
  <si>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</si>
  <si>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</si>
  <si>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</si>
  <si>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</si>
  <si>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</si>
  <si>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</si>
  <si>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</si>
  <si>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</si>
  <si>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</si>
  <si>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</si>
  <si>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</si>
  <si>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</si>
  <si>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</si>
  <si>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</si>
  <si>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</si>
  <si>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</si>
  <si>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</si>
  <si>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</si>
  <si>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</si>
  <si>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</si>
  <si>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</si>
  <si>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</si>
  <si>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</si>
  <si>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</si>
  <si>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</si>
  <si>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</si>
  <si>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</si>
  <si>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</si>
  <si>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</si>
  <si>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</si>
  <si>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</si>
  <si>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</si>
  <si>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</si>
  <si>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</si>
  <si>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</si>
  <si>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</si>
  <si>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</si>
  <si>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</si>
  <si>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</si>
  <si>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</si>
  <si>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</si>
  <si>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</si>
  <si>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</si>
  <si>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</si>
  <si>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</si>
  <si>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</si>
  <si>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</si>
  <si>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</si>
  <si>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</si>
  <si>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</si>
  <si>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</si>
  <si>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</si>
  <si>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</si>
  <si>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</si>
  <si>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</si>
  <si>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</si>
  <si>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</si>
  <si>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</si>
  <si>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</si>
  <si>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</si>
  <si>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</si>
  <si>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</si>
  <si>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</si>
  <si>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</si>
  <si>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</si>
  <si>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</si>
  <si>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</si>
  <si>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</si>
  <si>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</si>
  <si>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</si>
  <si>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</si>
  <si>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</si>
  <si>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</si>
  <si>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</si>
  <si>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</si>
  <si>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</si>
  <si>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</si>
  <si>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</si>
  <si>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</si>
  <si>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</si>
  <si>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</si>
  <si>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</si>
  <si>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</si>
  <si>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고대부두 8</t>
    <phoneticPr fontId="23" type="noConversion"/>
  </si>
  <si>
    <t>-</t>
    <phoneticPr fontId="23" type="noConversion"/>
  </si>
  <si>
    <t>PNCT</t>
    <phoneticPr fontId="23" type="noConversion"/>
  </si>
  <si>
    <t>터미널별</t>
    <phoneticPr fontId="23" type="noConversion"/>
  </si>
  <si>
    <t>2022년 월별</t>
    <phoneticPr fontId="23" type="noConversion"/>
  </si>
  <si>
    <t>2022년 누계</t>
    <phoneticPr fontId="23" type="noConversion"/>
  </si>
  <si>
    <t>2023년 월별</t>
    <phoneticPr fontId="23" type="noConversion"/>
  </si>
  <si>
    <t>2023년 누계</t>
    <phoneticPr fontId="23" type="noConversion"/>
  </si>
  <si>
    <t>여객부두</t>
    <phoneticPr fontId="23" type="noConversion"/>
  </si>
  <si>
    <t>HPCTC</t>
    <phoneticPr fontId="23" type="noConversion"/>
  </si>
  <si>
    <t>`</t>
    <phoneticPr fontId="23" type="noConversion"/>
  </si>
  <si>
    <t>6월(A)</t>
    <phoneticPr fontId="7" type="noConversion"/>
  </si>
  <si>
    <t>6월 누계(B)</t>
    <phoneticPr fontId="7" type="noConversion"/>
  </si>
  <si>
    <t>6월(C)</t>
    <phoneticPr fontId="7" type="noConversion"/>
  </si>
  <si>
    <t>6월 누계(D)</t>
    <phoneticPr fontId="7" type="noConversion"/>
  </si>
  <si>
    <t>(2023.6월분)</t>
    <phoneticPr fontId="7" type="noConversion"/>
  </si>
  <si>
    <t>23.06.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</si>
</sst>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4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176" fontId="14" fillId="4" borderId="3" xfId="0" applyNumberFormat="1" applyFont="1" applyFill="1" applyBorder="1" applyAlignment="1">
      <alignment horizontal="center" vertical="center"/>
    </xf>
    <xf numFmtId="176" fontId="30" fillId="5" borderId="7" xfId="0" applyNumberFormat="1" applyFont="1" applyFill="1" applyBorder="1" applyAlignment="1">
      <alignment horizontal="center" vertical="center"/>
    </xf>
    <xf numFmtId="41" fontId="25" fillId="8" borderId="1" xfId="40" applyFont="1" applyFill="1" applyBorder="1" applyAlignment="1">
      <alignment horizontal="center" vertical="center"/>
    </xf>
    <xf numFmtId="41" fontId="25" fillId="8" borderId="1" xfId="23" applyFont="1" applyFill="1" applyBorder="1" applyAlignment="1">
      <alignment vertical="center"/>
    </xf>
    <xf numFmtId="41" fontId="25" fillId="8" borderId="12" xfId="40" applyFont="1" applyFill="1" applyBorder="1" applyAlignment="1">
      <alignment horizontal="center" vertical="center"/>
    </xf>
    <xf numFmtId="41" fontId="25" fillId="8" borderId="12" xfId="23" applyFont="1" applyFill="1" applyBorder="1" applyAlignment="1">
      <alignment vertical="center"/>
    </xf>
    <xf numFmtId="41" fontId="25" fillId="8" borderId="39" xfId="23" applyFont="1" applyFill="1" applyBorder="1" applyAlignment="1">
      <alignment horizontal="center" vertical="center"/>
    </xf>
    <xf numFmtId="188" fontId="25" fillId="0" borderId="12" xfId="0" applyNumberFormat="1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/>
    </xf>
    <xf numFmtId="176" fontId="33" fillId="0" borderId="23" xfId="15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 shrinkToFit="1"/>
    </xf>
    <xf numFmtId="176" fontId="33" fillId="0" borderId="23" xfId="15" applyFont="1" applyBorder="1" applyAlignment="1">
      <alignment horizontal="center" vertical="center" shrinkToFit="1"/>
    </xf>
    <xf numFmtId="188" fontId="33" fillId="0" borderId="23" xfId="0" applyNumberFormat="1" applyFont="1" applyBorder="1" applyAlignment="1">
      <alignment horizontal="center" vertical="center"/>
    </xf>
    <xf numFmtId="176" fontId="35" fillId="0" borderId="23" xfId="15" applyFont="1" applyBorder="1" applyAlignment="1">
      <alignment horizontal="center" vertical="center" shrinkToFit="1"/>
    </xf>
    <xf numFmtId="41" fontId="25" fillId="8" borderId="39" xfId="23" applyFont="1" applyFill="1" applyBorder="1" applyAlignment="1">
      <alignment horizontal="right" vertical="center"/>
    </xf>
    <xf numFmtId="41" fontId="25" fillId="8" borderId="1" xfId="23" applyFont="1" applyFill="1" applyBorder="1" applyAlignment="1">
      <alignment horizontal="right" vertical="center"/>
    </xf>
    <xf numFmtId="41" fontId="25" fillId="8" borderId="12" xfId="23" applyFont="1" applyFill="1" applyBorder="1" applyAlignment="1">
      <alignment horizontal="right" vertical="center"/>
    </xf>
    <xf numFmtId="43" fontId="26" fillId="0" borderId="0" xfId="17" applyNumberFormat="1">
      <alignment vertical="center"/>
    </xf>
    <xf numFmtId="0" fontId="24" fillId="4" borderId="1" xfId="17" applyFont="1" applyFill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Alignment="1">
      <alignment horizontal="center" vertical="center"/>
    </xf>
    <xf numFmtId="41" fontId="25" fillId="8" borderId="1" xfId="15" applyNumberFormat="1" applyFont="1" applyFill="1" applyBorder="1" applyAlignment="1">
      <alignment horizontal="center" vertical="center"/>
    </xf>
    <xf numFmtId="41" fontId="24" fillId="4" borderId="1" xfId="15" applyNumberFormat="1" applyFont="1" applyFill="1" applyBorder="1" applyAlignment="1">
      <alignment horizontal="center" vertical="center" shrinkToFit="1"/>
    </xf>
    <xf numFmtId="41" fontId="25" fillId="0" borderId="1" xfId="15" applyNumberFormat="1" applyFont="1" applyBorder="1" applyAlignment="1">
      <alignment horizontal="center" vertical="center" shrinkToFit="1"/>
    </xf>
    <xf numFmtId="41" fontId="25" fillId="8" borderId="12" xfId="15" applyNumberFormat="1" applyFont="1" applyFill="1" applyBorder="1" applyAlignment="1">
      <alignment horizontal="center" vertical="center"/>
    </xf>
    <xf numFmtId="41" fontId="25" fillId="8" borderId="40" xfId="23" applyFont="1" applyFill="1" applyBorder="1" applyAlignment="1">
      <alignment horizontal="center" vertical="center"/>
    </xf>
    <xf numFmtId="176" fontId="26" fillId="0" borderId="1" xfId="15" applyFont="1" applyBorder="1" applyAlignment="1">
      <alignment horizontal="center" vertical="center"/>
    </xf>
    <xf numFmtId="0" fontId="26" fillId="0" borderId="1" xfId="15" applyNumberFormat="1" applyFont="1" applyBorder="1" applyAlignment="1">
      <alignment horizontal="center" vertical="center"/>
    </xf>
    <xf numFmtId="41" fontId="26" fillId="0" borderId="1" xfId="15" applyNumberFormat="1" applyFont="1" applyBorder="1" applyAlignment="1">
      <alignment horizontal="center" vertical="center"/>
    </xf>
    <xf numFmtId="190" fontId="26" fillId="0" borderId="0" xfId="17" applyNumberFormat="1">
      <alignment vertical="center"/>
    </xf>
    <xf numFmtId="41" fontId="25" fillId="8" borderId="1" xfId="17" applyNumberFormat="1" applyFont="1" applyFill="1" applyBorder="1" applyAlignment="1">
      <alignment vertical="center" shrinkToFit="1"/>
    </xf>
    <xf numFmtId="41" fontId="13" fillId="8" borderId="39" xfId="23" applyFont="1" applyFill="1" applyBorder="1" applyAlignment="1">
      <alignment horizontal="right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6월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58244427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'23년 6월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59084188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in val="100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6월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436697.75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'23년 6월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399419.75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in val="10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23.06.</c:v>
                </c:pt>
              </c:strCache>
            </c:strRef>
          </c:cat>
          <c:val>
            <c:numRef>
              <c:f>'연도별 수송실적'!$I$4:$N$4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59084188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23.06.</c:v>
                </c:pt>
              </c:strCache>
            </c:strRef>
          </c:cat>
          <c:val>
            <c:numRef>
              <c:f>'연도별 수송실적'!$B$7:$G$7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399419.75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23.06.</c:v>
                </c:pt>
              </c:strCache>
            </c:strRef>
          </c:cat>
          <c:val>
            <c:numRef>
              <c:f>'연도별 수송실적'!$I$7:$N$7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23.06.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8673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23.06.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8673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190"/>
      <c r="M1" s="190"/>
    </row>
    <row r="2" spans="2:15" ht="33" customHeight="1">
      <c r="B2" s="202" t="s">
        <v>49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</row>
    <row r="3" spans="2:15" ht="27.75" customHeight="1">
      <c r="B3" s="204" t="s">
        <v>115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5" ht="21.2" customHeight="1" thickBot="1">
      <c r="B4" s="211" t="s">
        <v>71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2:15" ht="21.2" customHeight="1">
      <c r="B5" s="196" t="s">
        <v>7</v>
      </c>
      <c r="C5" s="197"/>
      <c r="D5" s="198"/>
      <c r="E5" s="34"/>
      <c r="F5" s="194" t="s">
        <v>97</v>
      </c>
      <c r="G5" s="205"/>
      <c r="H5" s="222" t="s">
        <v>98</v>
      </c>
      <c r="I5" s="222"/>
      <c r="J5" s="193" t="s">
        <v>15</v>
      </c>
      <c r="K5" s="194"/>
      <c r="L5" s="194"/>
      <c r="M5" s="195"/>
    </row>
    <row r="6" spans="2:15" ht="20.25" customHeight="1">
      <c r="B6" s="199"/>
      <c r="C6" s="200"/>
      <c r="D6" s="201"/>
      <c r="E6" s="35" t="s">
        <v>11</v>
      </c>
      <c r="F6" s="98" t="s">
        <v>111</v>
      </c>
      <c r="G6" s="36" t="s">
        <v>112</v>
      </c>
      <c r="H6" s="98" t="s">
        <v>113</v>
      </c>
      <c r="I6" s="99" t="s">
        <v>114</v>
      </c>
      <c r="J6" s="36" t="s">
        <v>57</v>
      </c>
      <c r="K6" s="37" t="s">
        <v>16</v>
      </c>
      <c r="L6" s="38" t="s">
        <v>18</v>
      </c>
      <c r="M6" s="39" t="s">
        <v>16</v>
      </c>
    </row>
    <row r="7" spans="2:15" ht="21.2" customHeight="1">
      <c r="B7" s="216" t="s">
        <v>21</v>
      </c>
      <c r="C7" s="191" t="s">
        <v>12</v>
      </c>
      <c r="D7" s="192"/>
      <c r="E7" s="12">
        <f>SUM(E8:E9)</f>
        <v>16626</v>
      </c>
      <c r="F7" s="12">
        <f>SUM(F8:F9)</f>
        <v>1347</v>
      </c>
      <c r="G7" s="12">
        <f>SUM(G8:G9)</f>
        <v>8547</v>
      </c>
      <c r="H7" s="12">
        <f>SUM(H8:H9)</f>
        <v>1489</v>
      </c>
      <c r="I7" s="12">
        <f>SUM(I8:I9)</f>
        <v>8673</v>
      </c>
      <c r="J7" s="12">
        <f>H7-F7</f>
        <v>142</v>
      </c>
      <c r="K7" s="15">
        <f>H7/F7</f>
        <v>1.105419450631032</v>
      </c>
      <c r="L7" s="13">
        <f>I7-G7</f>
        <v>126</v>
      </c>
      <c r="M7" s="23">
        <f>I7/G7</f>
        <v>1.0147420147420148</v>
      </c>
    </row>
    <row r="8" spans="2:15" ht="19.5" customHeight="1">
      <c r="B8" s="217"/>
      <c r="C8" s="207" t="s">
        <v>9</v>
      </c>
      <c r="D8" s="208"/>
      <c r="E8" s="143">
        <v>10009</v>
      </c>
      <c r="F8" s="19">
        <v>820</v>
      </c>
      <c r="G8" s="19">
        <v>5080</v>
      </c>
      <c r="H8" s="19">
        <v>923</v>
      </c>
      <c r="I8" s="19">
        <v>5334</v>
      </c>
      <c r="J8" s="3">
        <f t="shared" ref="J8:J28" si="0">H8-F8</f>
        <v>103</v>
      </c>
      <c r="K8" s="17">
        <f t="shared" ref="K8:K28" si="1">H8/F8</f>
        <v>1.1256097560975609</v>
      </c>
      <c r="L8" s="18">
        <f t="shared" ref="L8:L28" si="2">I8-G8</f>
        <v>254</v>
      </c>
      <c r="M8" s="24">
        <f t="shared" ref="M8:M28" si="3">I8/G8</f>
        <v>1.05</v>
      </c>
    </row>
    <row r="9" spans="2:15" ht="19.5" customHeight="1">
      <c r="B9" s="218"/>
      <c r="C9" s="209" t="s">
        <v>10</v>
      </c>
      <c r="D9" s="210"/>
      <c r="E9" s="143">
        <v>6617</v>
      </c>
      <c r="F9" s="20">
        <v>527</v>
      </c>
      <c r="G9" s="20">
        <v>3467</v>
      </c>
      <c r="H9" s="20">
        <v>566</v>
      </c>
      <c r="I9" s="20">
        <v>3339</v>
      </c>
      <c r="J9" s="20">
        <f t="shared" si="0"/>
        <v>39</v>
      </c>
      <c r="K9" s="21">
        <f t="shared" si="1"/>
        <v>1.0740037950664136</v>
      </c>
      <c r="L9" s="22">
        <f t="shared" si="2"/>
        <v>-128</v>
      </c>
      <c r="M9" s="25">
        <f t="shared" si="3"/>
        <v>0.96308047303143929</v>
      </c>
    </row>
    <row r="10" spans="2:15" ht="21.2" customHeight="1">
      <c r="B10" s="216" t="s">
        <v>22</v>
      </c>
      <c r="C10" s="191" t="s">
        <v>8</v>
      </c>
      <c r="D10" s="192"/>
      <c r="E10" s="40">
        <f>E11+E15</f>
        <v>116137277</v>
      </c>
      <c r="F10" s="40">
        <f>F11+F15</f>
        <v>8994791</v>
      </c>
      <c r="G10" s="40">
        <f>G11+G15</f>
        <v>58244427</v>
      </c>
      <c r="H10" s="40">
        <f>H11+H15</f>
        <v>8769196</v>
      </c>
      <c r="I10" s="40">
        <f>I11+I15</f>
        <v>59084188</v>
      </c>
      <c r="J10" s="40">
        <f t="shared" si="0"/>
        <v>-225595</v>
      </c>
      <c r="K10" s="15">
        <f t="shared" si="1"/>
        <v>0.97491937277920071</v>
      </c>
      <c r="L10" s="115">
        <f>I10-G10</f>
        <v>839761</v>
      </c>
      <c r="M10" s="23">
        <f t="shared" si="3"/>
        <v>1.0144178772674679</v>
      </c>
    </row>
    <row r="11" spans="2:15" ht="19.5" customHeight="1">
      <c r="B11" s="217"/>
      <c r="C11" s="213" t="s">
        <v>1</v>
      </c>
      <c r="D11" s="77" t="s">
        <v>0</v>
      </c>
      <c r="E11" s="73">
        <f>SUM(E12:E14)</f>
        <v>104335502</v>
      </c>
      <c r="F11" s="73">
        <f>SUM(F12:F14)</f>
        <v>7997879</v>
      </c>
      <c r="G11" s="73">
        <f>SUM(G12:G14)</f>
        <v>51949759</v>
      </c>
      <c r="H11" s="73">
        <f>SUM(H12:H14)</f>
        <v>7925324</v>
      </c>
      <c r="I11" s="73">
        <f>SUM(I12:I14)</f>
        <v>53670314</v>
      </c>
      <c r="J11" s="110">
        <f>H11-F11</f>
        <v>-72555</v>
      </c>
      <c r="K11" s="74">
        <f t="shared" si="1"/>
        <v>0.99092821984428625</v>
      </c>
      <c r="L11" s="112">
        <f>I11-G11</f>
        <v>1720555</v>
      </c>
      <c r="M11" s="75">
        <f t="shared" si="3"/>
        <v>1.033119595415255</v>
      </c>
    </row>
    <row r="12" spans="2:15" ht="19.5" customHeight="1">
      <c r="B12" s="217"/>
      <c r="C12" s="214"/>
      <c r="D12" s="4" t="s">
        <v>5</v>
      </c>
      <c r="E12" s="144">
        <v>85021042</v>
      </c>
      <c r="F12" s="41">
        <v>6580069</v>
      </c>
      <c r="G12" s="41">
        <v>42101517</v>
      </c>
      <c r="H12" s="41">
        <v>6393175</v>
      </c>
      <c r="I12" s="41">
        <v>43084698</v>
      </c>
      <c r="J12" s="108">
        <f t="shared" si="0"/>
        <v>-186894</v>
      </c>
      <c r="K12" s="17">
        <f t="shared" si="1"/>
        <v>0.97159695437844196</v>
      </c>
      <c r="L12" s="113">
        <f t="shared" si="2"/>
        <v>983181</v>
      </c>
      <c r="M12" s="24">
        <f t="shared" si="3"/>
        <v>1.0233526264623671</v>
      </c>
      <c r="O12" s="106"/>
    </row>
    <row r="13" spans="2:15" ht="19.5" customHeight="1">
      <c r="B13" s="217"/>
      <c r="C13" s="214"/>
      <c r="D13" s="4" t="s">
        <v>6</v>
      </c>
      <c r="E13" s="145">
        <v>15759226</v>
      </c>
      <c r="F13" s="41">
        <v>1090149</v>
      </c>
      <c r="G13" s="41">
        <v>7817364</v>
      </c>
      <c r="H13" s="41">
        <v>1389332</v>
      </c>
      <c r="I13" s="41">
        <v>9041739</v>
      </c>
      <c r="J13" s="108">
        <f t="shared" si="0"/>
        <v>299183</v>
      </c>
      <c r="K13" s="17">
        <f t="shared" si="1"/>
        <v>1.2744423010065598</v>
      </c>
      <c r="L13" s="113">
        <f t="shared" si="2"/>
        <v>1224375</v>
      </c>
      <c r="M13" s="24">
        <f t="shared" si="3"/>
        <v>1.1566224880918938</v>
      </c>
    </row>
    <row r="14" spans="2:15" ht="19.5" customHeight="1">
      <c r="B14" s="217"/>
      <c r="C14" s="215"/>
      <c r="D14" s="4" t="s">
        <v>13</v>
      </c>
      <c r="E14" s="145">
        <v>3555234</v>
      </c>
      <c r="F14" s="41">
        <f>166430+161231</f>
        <v>327661</v>
      </c>
      <c r="G14" s="41">
        <f>1031637+999241</f>
        <v>2030878</v>
      </c>
      <c r="H14" s="107">
        <f>77622+65195</f>
        <v>142817</v>
      </c>
      <c r="I14" s="107">
        <f>775176+768701</f>
        <v>1543877</v>
      </c>
      <c r="J14" s="108">
        <f t="shared" si="0"/>
        <v>-184844</v>
      </c>
      <c r="K14" s="17">
        <f>H14/F14</f>
        <v>0.43586816862550015</v>
      </c>
      <c r="L14" s="113">
        <f t="shared" si="2"/>
        <v>-487001</v>
      </c>
      <c r="M14" s="24">
        <f t="shared" si="3"/>
        <v>0.76020174525500794</v>
      </c>
    </row>
    <row r="15" spans="2:15" ht="19.5" customHeight="1">
      <c r="B15" s="217"/>
      <c r="C15" s="223" t="s">
        <v>2</v>
      </c>
      <c r="D15" s="76" t="s">
        <v>0</v>
      </c>
      <c r="E15" s="70">
        <f>SUM(E16:E18)</f>
        <v>11801775</v>
      </c>
      <c r="F15" s="70">
        <f>SUM(F16:F18)</f>
        <v>996912</v>
      </c>
      <c r="G15" s="70">
        <f>SUM(G16:G18)</f>
        <v>6294668</v>
      </c>
      <c r="H15" s="70">
        <f>SUM(H16:H18)</f>
        <v>843872</v>
      </c>
      <c r="I15" s="70">
        <f>SUM(I16:I18)</f>
        <v>5413874</v>
      </c>
      <c r="J15" s="111">
        <f t="shared" si="0"/>
        <v>-153040</v>
      </c>
      <c r="K15" s="71">
        <f t="shared" si="1"/>
        <v>0.84648594860930548</v>
      </c>
      <c r="L15" s="114">
        <f t="shared" si="2"/>
        <v>-880794</v>
      </c>
      <c r="M15" s="72">
        <f t="shared" si="3"/>
        <v>0.86007300146727361</v>
      </c>
    </row>
    <row r="16" spans="2:15" ht="19.5" customHeight="1">
      <c r="B16" s="217"/>
      <c r="C16" s="224"/>
      <c r="D16" s="4" t="s">
        <v>3</v>
      </c>
      <c r="E16" s="145">
        <v>8295705</v>
      </c>
      <c r="F16" s="41">
        <v>732197</v>
      </c>
      <c r="G16" s="41">
        <v>4286999</v>
      </c>
      <c r="H16" s="41">
        <v>571042</v>
      </c>
      <c r="I16" s="41">
        <v>3761165</v>
      </c>
      <c r="J16" s="109">
        <f t="shared" si="0"/>
        <v>-161155</v>
      </c>
      <c r="K16" s="17">
        <f t="shared" si="1"/>
        <v>0.779902130164423</v>
      </c>
      <c r="L16" s="113">
        <f t="shared" si="2"/>
        <v>-525834</v>
      </c>
      <c r="M16" s="24">
        <f t="shared" si="3"/>
        <v>0.87734216872922055</v>
      </c>
    </row>
    <row r="17" spans="1:13" ht="19.5" customHeight="1">
      <c r="B17" s="217"/>
      <c r="C17" s="224"/>
      <c r="D17" s="5" t="s">
        <v>4</v>
      </c>
      <c r="E17" s="145">
        <v>3506070</v>
      </c>
      <c r="F17" s="42">
        <v>264715</v>
      </c>
      <c r="G17" s="42">
        <v>2007669</v>
      </c>
      <c r="H17" s="42">
        <v>272830</v>
      </c>
      <c r="I17" s="42">
        <v>1652709</v>
      </c>
      <c r="J17" s="109">
        <f t="shared" si="0"/>
        <v>8115</v>
      </c>
      <c r="K17" s="17">
        <f t="shared" si="1"/>
        <v>1.0306556107511853</v>
      </c>
      <c r="L17" s="113">
        <f t="shared" si="2"/>
        <v>-354960</v>
      </c>
      <c r="M17" s="24">
        <f t="shared" si="3"/>
        <v>0.82319794747042463</v>
      </c>
    </row>
    <row r="18" spans="1:13" ht="19.5" customHeight="1">
      <c r="B18" s="218"/>
      <c r="C18" s="225"/>
      <c r="D18" s="5" t="s">
        <v>17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109">
        <f t="shared" si="0"/>
        <v>0</v>
      </c>
      <c r="K18" s="79">
        <v>0</v>
      </c>
      <c r="L18" s="113">
        <f t="shared" si="2"/>
        <v>0</v>
      </c>
      <c r="M18" s="24" t="s">
        <v>96</v>
      </c>
    </row>
    <row r="19" spans="1:13" ht="20.100000000000001" customHeight="1">
      <c r="B19" s="26"/>
      <c r="C19" s="27"/>
      <c r="D19" s="6"/>
      <c r="E19" s="14"/>
      <c r="F19" s="1"/>
      <c r="G19" s="1"/>
      <c r="H19" s="1"/>
      <c r="I19" s="14"/>
      <c r="J19" s="16"/>
      <c r="K19" s="219" t="s">
        <v>23</v>
      </c>
      <c r="L19" s="220"/>
      <c r="M19" s="221"/>
    </row>
    <row r="20" spans="1:13" ht="21.2" customHeight="1">
      <c r="B20" s="116"/>
      <c r="C20" s="191" t="s">
        <v>8</v>
      </c>
      <c r="D20" s="192"/>
      <c r="E20" s="83">
        <f>SUM(E21,E25)</f>
        <v>851953</v>
      </c>
      <c r="F20" s="149">
        <f>SUM(F21,F25)</f>
        <v>68586.75</v>
      </c>
      <c r="G20" s="149">
        <f>SUM(G21,G25)</f>
        <v>436697.75</v>
      </c>
      <c r="H20" s="83">
        <f>SUM(H21,H25)</f>
        <v>66104</v>
      </c>
      <c r="I20" s="83">
        <f>SUM(I21,I25)</f>
        <v>399419.75</v>
      </c>
      <c r="J20" s="84">
        <f t="shared" si="0"/>
        <v>-2482.75</v>
      </c>
      <c r="K20" s="85">
        <f t="shared" si="1"/>
        <v>0.96380131730983021</v>
      </c>
      <c r="L20" s="86">
        <f t="shared" si="2"/>
        <v>-37278</v>
      </c>
      <c r="M20" s="23">
        <f>I20/G20</f>
        <v>0.91463661079087311</v>
      </c>
    </row>
    <row r="21" spans="1:13" ht="19.5" customHeight="1">
      <c r="B21" s="117"/>
      <c r="C21" s="206" t="s">
        <v>1</v>
      </c>
      <c r="D21" s="78" t="s">
        <v>0</v>
      </c>
      <c r="E21" s="79">
        <f>SUM(E22:E24)</f>
        <v>851953</v>
      </c>
      <c r="F21" s="79">
        <f>SUM(F22:F24)</f>
        <v>68586.75</v>
      </c>
      <c r="G21" s="79">
        <f>SUM(G22:G24)</f>
        <v>436697.75</v>
      </c>
      <c r="H21" s="79">
        <f>SUM(H22:H24)</f>
        <v>66104</v>
      </c>
      <c r="I21" s="79">
        <f>SUM(I22:I24)</f>
        <v>399419.75</v>
      </c>
      <c r="J21" s="80">
        <f t="shared" si="0"/>
        <v>-2482.75</v>
      </c>
      <c r="K21" s="81">
        <f t="shared" si="1"/>
        <v>0.96380131730983021</v>
      </c>
      <c r="L21" s="82">
        <f t="shared" si="2"/>
        <v>-37278</v>
      </c>
      <c r="M21" s="75">
        <f t="shared" si="3"/>
        <v>0.91463661079087311</v>
      </c>
    </row>
    <row r="22" spans="1:13" ht="19.5" customHeight="1">
      <c r="B22" s="118" t="s">
        <v>19</v>
      </c>
      <c r="C22" s="206"/>
      <c r="D22" s="45" t="s">
        <v>5</v>
      </c>
      <c r="E22" s="146">
        <v>416040.5</v>
      </c>
      <c r="F22" s="180">
        <v>36292.5</v>
      </c>
      <c r="G22" s="180">
        <v>216348</v>
      </c>
      <c r="H22" s="47">
        <v>31223.5</v>
      </c>
      <c r="I22" s="47">
        <v>197762.5</v>
      </c>
      <c r="J22" s="105">
        <f t="shared" si="0"/>
        <v>-5069</v>
      </c>
      <c r="K22" s="44">
        <f t="shared" si="1"/>
        <v>0.86032926913274088</v>
      </c>
      <c r="L22" s="22">
        <f t="shared" si="2"/>
        <v>-18585.5</v>
      </c>
      <c r="M22" s="24">
        <f t="shared" si="3"/>
        <v>0.9140944219498216</v>
      </c>
    </row>
    <row r="23" spans="1:13" ht="19.5" customHeight="1">
      <c r="B23" s="118" t="s">
        <v>20</v>
      </c>
      <c r="C23" s="206"/>
      <c r="D23" s="2" t="s">
        <v>14</v>
      </c>
      <c r="E23" s="146">
        <v>418271.5</v>
      </c>
      <c r="F23" s="180">
        <v>30786.25</v>
      </c>
      <c r="G23" s="180">
        <v>209423.5</v>
      </c>
      <c r="H23" s="47">
        <v>34236</v>
      </c>
      <c r="I23" s="47">
        <v>197409.25</v>
      </c>
      <c r="J23" s="105">
        <f t="shared" si="0"/>
        <v>3449.75</v>
      </c>
      <c r="K23" s="44">
        <f t="shared" si="1"/>
        <v>1.1120548946364042</v>
      </c>
      <c r="L23" s="18">
        <f t="shared" si="2"/>
        <v>-12014.25</v>
      </c>
      <c r="M23" s="24">
        <f t="shared" si="3"/>
        <v>0.94263179633613225</v>
      </c>
    </row>
    <row r="24" spans="1:13" ht="19.5" customHeight="1">
      <c r="B24" s="119"/>
      <c r="C24" s="206"/>
      <c r="D24" s="2" t="s">
        <v>13</v>
      </c>
      <c r="E24" s="146">
        <v>17641</v>
      </c>
      <c r="F24" s="47">
        <f>1062+446</f>
        <v>1508</v>
      </c>
      <c r="G24" s="147">
        <f>5882.25+5044</f>
        <v>10926.25</v>
      </c>
      <c r="H24" s="47">
        <f>369.5+275</f>
        <v>644.5</v>
      </c>
      <c r="I24" s="47">
        <v>4248</v>
      </c>
      <c r="J24" s="105">
        <f t="shared" si="0"/>
        <v>-863.5</v>
      </c>
      <c r="K24" s="44">
        <f t="shared" si="1"/>
        <v>0.42738726790450926</v>
      </c>
      <c r="L24" s="18">
        <f t="shared" si="2"/>
        <v>-6678.25</v>
      </c>
      <c r="M24" s="24">
        <f t="shared" si="3"/>
        <v>0.38878846813865692</v>
      </c>
    </row>
    <row r="25" spans="1:13" ht="19.5" customHeight="1">
      <c r="B25" s="117"/>
      <c r="C25" s="183" t="s">
        <v>2</v>
      </c>
      <c r="D25" s="78" t="s">
        <v>69</v>
      </c>
      <c r="E25" s="79">
        <f>SUM(E26:E27)</f>
        <v>0</v>
      </c>
      <c r="F25" s="79">
        <f>SUM(F26:F27)</f>
        <v>0</v>
      </c>
      <c r="G25" s="79">
        <f>SUM(G26:G27)</f>
        <v>0</v>
      </c>
      <c r="H25" s="79">
        <v>0</v>
      </c>
      <c r="I25" s="79">
        <f>SUM(I26:I27)</f>
        <v>0</v>
      </c>
      <c r="J25" s="80">
        <f t="shared" si="0"/>
        <v>0</v>
      </c>
      <c r="K25" s="79">
        <v>0</v>
      </c>
      <c r="L25" s="18">
        <f t="shared" si="2"/>
        <v>0</v>
      </c>
      <c r="M25" s="150">
        <v>0</v>
      </c>
    </row>
    <row r="26" spans="1:13" ht="19.5" customHeight="1">
      <c r="B26" s="117"/>
      <c r="C26" s="183"/>
      <c r="D26" s="78" t="s">
        <v>69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80">
        <f t="shared" si="0"/>
        <v>0</v>
      </c>
      <c r="K26" s="79">
        <v>0</v>
      </c>
      <c r="L26" s="18">
        <f t="shared" si="2"/>
        <v>0</v>
      </c>
      <c r="M26" s="150">
        <v>0</v>
      </c>
    </row>
    <row r="27" spans="1:13" ht="19.5" customHeight="1">
      <c r="B27" s="120"/>
      <c r="C27" s="183"/>
      <c r="D27" s="78" t="s">
        <v>69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80">
        <f t="shared" si="0"/>
        <v>0</v>
      </c>
      <c r="K27" s="79">
        <v>0</v>
      </c>
      <c r="L27" s="18">
        <f t="shared" si="2"/>
        <v>0</v>
      </c>
      <c r="M27" s="150">
        <v>0</v>
      </c>
    </row>
    <row r="28" spans="1:13" s="90" customFormat="1" ht="21.2" customHeight="1" thickBot="1">
      <c r="B28" s="184" t="s">
        <v>67</v>
      </c>
      <c r="C28" s="185"/>
      <c r="D28" s="186"/>
      <c r="E28" s="91">
        <v>1635790</v>
      </c>
      <c r="F28" s="91">
        <v>112428</v>
      </c>
      <c r="G28" s="91">
        <v>775416</v>
      </c>
      <c r="H28" s="91">
        <v>128076</v>
      </c>
      <c r="I28" s="91">
        <v>879314</v>
      </c>
      <c r="J28" s="92">
        <f t="shared" si="0"/>
        <v>15648</v>
      </c>
      <c r="K28" s="93">
        <f t="shared" si="1"/>
        <v>1.1391824100757819</v>
      </c>
      <c r="L28" s="94">
        <f t="shared" si="2"/>
        <v>103898</v>
      </c>
      <c r="M28" s="95">
        <f t="shared" si="3"/>
        <v>1.1339900131026444</v>
      </c>
    </row>
    <row r="29" spans="1:13" ht="12.75" customHeight="1">
      <c r="B29" s="28"/>
      <c r="C29" s="28"/>
      <c r="D29" s="28"/>
      <c r="E29" s="29"/>
      <c r="F29" s="30"/>
      <c r="G29" s="30"/>
      <c r="H29" s="30"/>
      <c r="I29" s="30"/>
      <c r="J29" s="29"/>
      <c r="K29" s="31"/>
      <c r="L29" s="32"/>
      <c r="M29" s="33"/>
    </row>
    <row r="30" spans="1:13" s="189" customFormat="1" ht="18.75" customHeight="1">
      <c r="A30" s="189" t="s">
        <v>27</v>
      </c>
    </row>
    <row r="31" spans="1:13" s="46" customFormat="1" ht="21.2" customHeight="1">
      <c r="B31" s="188" t="s">
        <v>24</v>
      </c>
      <c r="C31" s="188"/>
      <c r="D31" s="88"/>
      <c r="E31" s="88"/>
      <c r="F31" s="88"/>
      <c r="G31" s="88"/>
      <c r="H31" s="188" t="s">
        <v>25</v>
      </c>
      <c r="I31" s="188"/>
    </row>
    <row r="32" spans="1:13" s="43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43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43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43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187" customFormat="1" ht="24" customHeight="1"/>
    <row r="41" spans="2:13" ht="19.5" customHeight="1">
      <c r="B41" s="181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</row>
    <row r="42" spans="2:13" ht="19.5" customHeight="1">
      <c r="B42" s="181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85" zoomScaleNormal="8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8.5" customWidth="1"/>
    <col min="17" max="17" width="10.75" bestFit="1" customWidth="1"/>
  </cols>
  <sheetData>
    <row r="1" spans="1:27" s="51" customFormat="1" ht="18.75">
      <c r="A1" s="50" t="s">
        <v>28</v>
      </c>
    </row>
    <row r="2" spans="1:27" s="51" customFormat="1" ht="15" thickBot="1">
      <c r="A2"/>
      <c r="B2"/>
      <c r="C2"/>
      <c r="D2" s="96"/>
      <c r="E2" s="96"/>
      <c r="F2" s="226" t="s">
        <v>70</v>
      </c>
      <c r="G2" s="226"/>
      <c r="H2"/>
      <c r="I2"/>
      <c r="J2"/>
      <c r="K2" s="96"/>
      <c r="L2" s="96"/>
      <c r="M2" s="226" t="s">
        <v>29</v>
      </c>
      <c r="N2" s="226"/>
    </row>
    <row r="3" spans="1:27" s="51" customFormat="1" ht="32.25" customHeight="1">
      <c r="A3" s="52" t="s">
        <v>30</v>
      </c>
      <c r="B3" s="53">
        <v>18</v>
      </c>
      <c r="C3" s="53">
        <v>19</v>
      </c>
      <c r="D3" s="53">
        <v>20</v>
      </c>
      <c r="E3" s="53">
        <v>21</v>
      </c>
      <c r="F3" s="53">
        <v>22</v>
      </c>
      <c r="G3" s="101" t="s">
        <v>116</v>
      </c>
      <c r="H3" s="54" t="s">
        <v>30</v>
      </c>
      <c r="I3" s="53">
        <v>18</v>
      </c>
      <c r="J3" s="53">
        <v>19</v>
      </c>
      <c r="K3" s="53">
        <v>20</v>
      </c>
      <c r="L3" s="53">
        <v>21</v>
      </c>
      <c r="M3" s="53">
        <v>22</v>
      </c>
      <c r="N3" s="102" t="str">
        <f>$G$3</f>
        <v>23.06.</v>
      </c>
    </row>
    <row r="4" spans="1:27" s="51" customFormat="1" ht="39.200000000000003" customHeight="1" thickBot="1">
      <c r="A4" s="68" t="s">
        <v>31</v>
      </c>
      <c r="B4" s="157">
        <v>18829</v>
      </c>
      <c r="C4" s="157">
        <v>18416</v>
      </c>
      <c r="D4" s="157">
        <v>17409</v>
      </c>
      <c r="E4" s="157">
        <v>16473</v>
      </c>
      <c r="F4" s="157">
        <v>16626</v>
      </c>
      <c r="G4" s="158">
        <f>통계요약!I7</f>
        <v>8673</v>
      </c>
      <c r="H4" s="68" t="s">
        <v>32</v>
      </c>
      <c r="I4" s="156">
        <v>115146882</v>
      </c>
      <c r="J4" s="156">
        <v>113201331</v>
      </c>
      <c r="K4" s="156">
        <v>106847350</v>
      </c>
      <c r="L4" s="156">
        <v>116876152</v>
      </c>
      <c r="M4" s="156">
        <v>116171568</v>
      </c>
      <c r="N4" s="161">
        <f>통계요약!I10</f>
        <v>59084188</v>
      </c>
    </row>
    <row r="5" spans="1:27" s="51" customFormat="1" ht="30.2" customHeight="1" thickBot="1">
      <c r="A5"/>
      <c r="B5"/>
      <c r="C5"/>
      <c r="D5" s="96"/>
      <c r="E5" s="96"/>
      <c r="F5" s="227" t="s">
        <v>33</v>
      </c>
      <c r="G5" s="227"/>
      <c r="H5" s="55"/>
      <c r="I5" s="56"/>
      <c r="J5" s="56"/>
      <c r="K5" s="96"/>
      <c r="L5" s="96"/>
      <c r="M5" s="227" t="s">
        <v>34</v>
      </c>
      <c r="N5" s="227"/>
    </row>
    <row r="6" spans="1:27" s="51" customFormat="1" ht="32.25" customHeight="1">
      <c r="A6" s="52" t="s">
        <v>30</v>
      </c>
      <c r="B6" s="53">
        <v>18</v>
      </c>
      <c r="C6" s="53">
        <v>19</v>
      </c>
      <c r="D6" s="53">
        <v>20</v>
      </c>
      <c r="E6" s="53">
        <v>21</v>
      </c>
      <c r="F6" s="53">
        <v>22</v>
      </c>
      <c r="G6" s="102" t="str">
        <f>$G$3</f>
        <v>23.06.</v>
      </c>
      <c r="H6" s="54" t="s">
        <v>30</v>
      </c>
      <c r="I6" s="53">
        <v>18</v>
      </c>
      <c r="J6" s="53">
        <v>19</v>
      </c>
      <c r="K6" s="53">
        <v>20</v>
      </c>
      <c r="L6" s="53">
        <v>21</v>
      </c>
      <c r="M6" s="53">
        <v>22</v>
      </c>
      <c r="N6" s="102" t="str">
        <f>$G$3</f>
        <v>23.06.</v>
      </c>
    </row>
    <row r="7" spans="1:27" s="51" customFormat="1" ht="37.5" customHeight="1" thickBot="1">
      <c r="A7" s="68" t="s">
        <v>35</v>
      </c>
      <c r="B7" s="159">
        <v>689852</v>
      </c>
      <c r="C7" s="159">
        <v>725047</v>
      </c>
      <c r="D7" s="159">
        <v>792643</v>
      </c>
      <c r="E7" s="159">
        <v>936246</v>
      </c>
      <c r="F7" s="159">
        <v>851953</v>
      </c>
      <c r="G7" s="160">
        <f>통계요약!I20</f>
        <v>399419.75</v>
      </c>
      <c r="H7" s="68" t="s">
        <v>36</v>
      </c>
      <c r="I7" s="157">
        <v>452480</v>
      </c>
      <c r="J7" s="157">
        <v>623733</v>
      </c>
      <c r="K7" s="157">
        <v>40267</v>
      </c>
      <c r="L7" s="157">
        <v>0</v>
      </c>
      <c r="M7" s="157">
        <v>0</v>
      </c>
      <c r="N7" s="162">
        <v>0</v>
      </c>
      <c r="AA7" s="89"/>
    </row>
    <row r="12" spans="1:27" s="62" customFormat="1" ht="25.5" customHeight="1">
      <c r="A12" s="62" t="s">
        <v>37</v>
      </c>
    </row>
    <row r="13" spans="1:27" s="51" customFormat="1" ht="21.2" customHeight="1">
      <c r="A13" s="87" t="s">
        <v>52</v>
      </c>
      <c r="H13" s="87" t="s">
        <v>51</v>
      </c>
      <c r="I13" s="57"/>
      <c r="J13" s="58"/>
      <c r="K13" s="59"/>
      <c r="L13" s="60"/>
      <c r="M13" s="60"/>
      <c r="N13" s="60"/>
    </row>
    <row r="14" spans="1:27" s="51" customFormat="1" ht="24" customHeight="1">
      <c r="I14" s="57"/>
      <c r="J14" s="58"/>
      <c r="K14" s="59"/>
      <c r="L14" s="60"/>
      <c r="M14" s="60"/>
      <c r="N14" s="60"/>
    </row>
    <row r="15" spans="1:27" s="51" customFormat="1" ht="24" customHeight="1">
      <c r="I15" s="57"/>
      <c r="J15" s="58"/>
      <c r="K15" s="59"/>
      <c r="L15" s="60"/>
      <c r="M15" s="60"/>
      <c r="N15" s="60"/>
    </row>
    <row r="16" spans="1:27" s="51" customFormat="1" ht="24" customHeight="1">
      <c r="I16" s="57"/>
      <c r="J16" s="58"/>
      <c r="K16" s="59"/>
      <c r="L16" s="60"/>
      <c r="M16" s="60"/>
      <c r="N16" s="60"/>
    </row>
    <row r="17" spans="1:14" s="51" customFormat="1" ht="24" customHeight="1">
      <c r="I17" s="57"/>
      <c r="J17" s="58"/>
      <c r="K17" s="59"/>
      <c r="L17" s="60"/>
      <c r="M17" s="60"/>
      <c r="N17" s="60"/>
    </row>
    <row r="18" spans="1:14" s="51" customFormat="1" ht="24" customHeight="1">
      <c r="I18" s="57"/>
      <c r="J18" s="58"/>
      <c r="K18" s="59"/>
      <c r="L18" s="60"/>
      <c r="M18" s="60"/>
      <c r="N18" s="60"/>
    </row>
    <row r="19" spans="1:14" s="51" customFormat="1" ht="24" customHeight="1">
      <c r="I19" s="57"/>
      <c r="J19" s="58"/>
      <c r="K19" s="59"/>
      <c r="L19" s="60"/>
      <c r="M19" s="60"/>
      <c r="N19" s="60"/>
    </row>
    <row r="20" spans="1:14" s="51" customFormat="1" ht="24" customHeight="1">
      <c r="I20" s="57"/>
      <c r="J20" s="58"/>
      <c r="K20" s="59"/>
      <c r="L20" s="60"/>
      <c r="M20" s="60"/>
      <c r="N20" s="60"/>
    </row>
    <row r="21" spans="1:14" s="51" customFormat="1" ht="24" customHeight="1">
      <c r="I21" s="57"/>
      <c r="J21" s="58"/>
      <c r="K21" s="59"/>
      <c r="L21" s="60"/>
      <c r="M21" s="60"/>
      <c r="N21" s="60"/>
    </row>
    <row r="22" spans="1:14" s="51" customFormat="1" ht="36" customHeight="1">
      <c r="I22" s="57"/>
      <c r="J22" s="58"/>
      <c r="K22" s="59"/>
      <c r="L22" s="60"/>
      <c r="M22" s="60"/>
      <c r="N22" s="60"/>
    </row>
    <row r="23" spans="1:14" s="51" customFormat="1" ht="27.75" customHeight="1">
      <c r="A23" s="61" t="s">
        <v>25</v>
      </c>
      <c r="H23" s="87" t="s">
        <v>50</v>
      </c>
      <c r="I23" s="57"/>
      <c r="J23" s="58"/>
      <c r="K23" s="59"/>
      <c r="L23" s="60"/>
      <c r="M23" s="60"/>
      <c r="N23" s="60"/>
    </row>
    <row r="24" spans="1:14" s="51" customFormat="1" ht="24" customHeight="1">
      <c r="I24" s="57"/>
      <c r="J24" s="58"/>
      <c r="K24" s="59"/>
      <c r="L24" s="60"/>
      <c r="M24" s="60"/>
      <c r="N24" s="60"/>
    </row>
    <row r="25" spans="1:14" s="51" customFormat="1" ht="24" customHeight="1">
      <c r="I25" s="57"/>
      <c r="J25" s="58"/>
      <c r="K25" s="59"/>
      <c r="L25" s="60"/>
      <c r="M25" s="60"/>
      <c r="N25" s="60"/>
    </row>
    <row r="26" spans="1:14" s="51" customFormat="1" ht="24" customHeight="1">
      <c r="I26" s="57"/>
      <c r="J26" s="58"/>
      <c r="K26" s="59"/>
      <c r="L26" s="60"/>
      <c r="M26" s="60"/>
      <c r="N26" s="60"/>
    </row>
    <row r="27" spans="1:14" s="51" customFormat="1" ht="24" customHeight="1">
      <c r="I27" s="57"/>
      <c r="J27" s="58"/>
      <c r="K27" s="59"/>
      <c r="L27" s="60"/>
      <c r="M27" s="60"/>
      <c r="N27" s="60"/>
    </row>
    <row r="28" spans="1:14" s="51" customFormat="1" ht="24" customHeight="1">
      <c r="I28" s="57"/>
      <c r="J28" s="58"/>
      <c r="K28" s="59"/>
      <c r="L28" s="60"/>
      <c r="M28" s="60"/>
      <c r="N28" s="60"/>
    </row>
    <row r="29" spans="1:14" s="51" customFormat="1" ht="24" customHeight="1">
      <c r="I29" s="57"/>
      <c r="J29" s="58"/>
      <c r="K29" s="59"/>
      <c r="L29" s="60"/>
      <c r="M29" s="60"/>
      <c r="N29" s="60"/>
    </row>
    <row r="30" spans="1:14" s="51" customFormat="1" ht="24" customHeight="1">
      <c r="I30" s="57"/>
      <c r="J30" s="58"/>
      <c r="K30" s="59"/>
      <c r="L30" s="60"/>
      <c r="M30" s="60"/>
      <c r="N30" s="60"/>
    </row>
    <row r="31" spans="1:14" s="51" customFormat="1" ht="24" customHeight="1">
      <c r="I31" s="57"/>
      <c r="J31" s="58"/>
      <c r="K31" s="59"/>
      <c r="L31" s="60"/>
      <c r="M31" s="60"/>
      <c r="N31" s="60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3" customWidth="1"/>
    <col min="2" max="2" width="5.75" style="63" customWidth="1"/>
    <col min="3" max="3" width="1" style="63" customWidth="1"/>
    <col min="4" max="4" width="8" style="63" customWidth="1"/>
    <col min="5" max="5" width="14.875" style="63" bestFit="1" customWidth="1"/>
    <col min="6" max="6" width="11" style="63" customWidth="1"/>
    <col min="7" max="7" width="13.25" style="63" customWidth="1"/>
    <col min="8" max="8" width="11" style="63" customWidth="1"/>
    <col min="9" max="9" width="13.25" style="169" customWidth="1"/>
    <col min="10" max="10" width="12.25" style="63" customWidth="1"/>
    <col min="11" max="11" width="11" style="63" customWidth="1"/>
    <col min="12" max="12" width="12.75" style="63" customWidth="1"/>
    <col min="13" max="13" width="11" style="63" customWidth="1"/>
    <col min="14" max="14" width="14.375" style="63" bestFit="1" customWidth="1"/>
    <col min="15" max="19" width="10" style="63"/>
    <col min="20" max="20" width="10.25" style="63" bestFit="1" customWidth="1"/>
    <col min="21" max="21" width="11.5" style="63" bestFit="1" customWidth="1"/>
    <col min="22" max="22" width="10.25" style="63" bestFit="1" customWidth="1"/>
    <col min="23" max="23" width="11.25" style="63" bestFit="1" customWidth="1"/>
    <col min="24" max="24" width="7.75" style="63" customWidth="1"/>
    <col min="25" max="25" width="6.875" style="63" customWidth="1"/>
    <col min="26" max="16384" width="10" style="63"/>
  </cols>
  <sheetData>
    <row r="1" spans="1:36" ht="50.25" customHeight="1" thickBot="1">
      <c r="A1" s="69" t="s">
        <v>38</v>
      </c>
      <c r="F1" s="100"/>
      <c r="G1" s="100"/>
      <c r="H1" s="100"/>
      <c r="I1" s="168"/>
      <c r="J1" s="64"/>
      <c r="K1" s="65"/>
      <c r="L1" s="66"/>
      <c r="M1" s="67"/>
    </row>
    <row r="2" spans="1:36" ht="21.95" customHeight="1">
      <c r="A2" s="238" t="s">
        <v>39</v>
      </c>
      <c r="B2" s="239"/>
      <c r="C2" s="239"/>
      <c r="D2" s="242" t="s">
        <v>40</v>
      </c>
      <c r="E2" s="121"/>
      <c r="F2" s="234" t="s">
        <v>97</v>
      </c>
      <c r="G2" s="234"/>
      <c r="H2" s="234" t="s">
        <v>99</v>
      </c>
      <c r="I2" s="234"/>
      <c r="J2" s="234" t="s">
        <v>41</v>
      </c>
      <c r="K2" s="234"/>
      <c r="L2" s="234"/>
      <c r="M2" s="235"/>
      <c r="Y2" s="63" t="s">
        <v>110</v>
      </c>
    </row>
    <row r="3" spans="1:36" ht="21.95" customHeight="1">
      <c r="A3" s="240"/>
      <c r="B3" s="241"/>
      <c r="C3" s="241"/>
      <c r="D3" s="243"/>
      <c r="E3" s="122" t="s">
        <v>42</v>
      </c>
      <c r="F3" s="122" t="str">
        <f>통계요약!F6</f>
        <v>6월(A)</v>
      </c>
      <c r="G3" s="122" t="str">
        <f>통계요약!G6</f>
        <v>6월 누계(B)</v>
      </c>
      <c r="H3" s="97" t="str">
        <f>통계요약!H6</f>
        <v>6월(C)</v>
      </c>
      <c r="I3" s="122" t="str">
        <f>통계요약!I6</f>
        <v>6월 누계(D)</v>
      </c>
      <c r="J3" s="122" t="s">
        <v>43</v>
      </c>
      <c r="K3" s="123" t="s">
        <v>44</v>
      </c>
      <c r="L3" s="124" t="s">
        <v>45</v>
      </c>
      <c r="M3" s="136" t="s">
        <v>44</v>
      </c>
    </row>
    <row r="4" spans="1:36" ht="21.95" customHeight="1">
      <c r="A4" s="236" t="s">
        <v>46</v>
      </c>
      <c r="B4" s="237"/>
      <c r="C4" s="237"/>
      <c r="D4" s="167" t="s">
        <v>47</v>
      </c>
      <c r="E4" s="132">
        <f>SUM(E6,E8,E10,E12,E14,E16,E18,E22,E20,E26,E28,E30,E32,E24,E34)</f>
        <v>851953</v>
      </c>
      <c r="F4" s="132">
        <f>SUM(F6,F8,F10,F12,F14,F16,F18,F22,F20,F26,F28,F30,F32,F24,F34)</f>
        <v>68586.75</v>
      </c>
      <c r="G4" s="132">
        <f>SUM(G6,G8,G10,G12,G14,G16,G18,G22,G20,G26,G28,G30,G32,G24,G34)</f>
        <v>436697.75</v>
      </c>
      <c r="H4" s="132">
        <f>SUM(H6,H8,H10,H12,H14,H16,H18,H22,H20,H26,H28,H30,H32,H24,)</f>
        <v>66104</v>
      </c>
      <c r="I4" s="171">
        <f>SUM(I6,I8,I10,I12,I14,I16,I18,I22,I20,I26,I28,I30,I32,I24,)</f>
        <v>399419.75</v>
      </c>
      <c r="J4" s="126">
        <f t="shared" ref="J4:J31" si="0">H4-F4</f>
        <v>-2482.75</v>
      </c>
      <c r="K4" s="127">
        <f t="shared" ref="K4:K33" si="1">(H4/F4*100)-100</f>
        <v>-3.6198682690169761</v>
      </c>
      <c r="L4" s="128">
        <f t="shared" ref="L4:L31" si="2">I4-G4</f>
        <v>-37278</v>
      </c>
      <c r="M4" s="137">
        <f t="shared" ref="M4:M33" si="3">(I4/G4*100)-100</f>
        <v>-8.5363389209126836</v>
      </c>
    </row>
    <row r="5" spans="1:36" ht="21.95" customHeight="1">
      <c r="A5" s="236"/>
      <c r="B5" s="237"/>
      <c r="C5" s="237"/>
      <c r="D5" s="167" t="s">
        <v>48</v>
      </c>
      <c r="E5" s="132">
        <f>SUM(E7,E9,E11,E13,E15,E17,E19,E21,E23,E27,E29,E31,E33,E25,E35)</f>
        <v>13134878</v>
      </c>
      <c r="F5" s="132">
        <f>SUM(F7,F9,F11,F13,F15,F17,F19,F21,F23,F27,F29,F31,F33,F25,F35)</f>
        <v>1107528</v>
      </c>
      <c r="G5" s="132">
        <f>SUM(G7,G9,G11,G13,G15,G17,G19,G21,G23,G27,G29,G31,G33,G25,G35)</f>
        <v>6836806</v>
      </c>
      <c r="H5" s="132">
        <f>SUM(H7,H9,H11,H13,H15,H17,H19,H21,H23,H27,H29,H31,H33,H25)</f>
        <v>976419</v>
      </c>
      <c r="I5" s="171">
        <f>SUM(I7,I9,I11,I13,I15,I17,I19,I21,I23,I27,I29,I31,I33,I25)</f>
        <v>6027130</v>
      </c>
      <c r="J5" s="126">
        <f t="shared" si="0"/>
        <v>-131109</v>
      </c>
      <c r="K5" s="127">
        <f t="shared" si="1"/>
        <v>-11.837985134461618</v>
      </c>
      <c r="L5" s="128">
        <f t="shared" si="2"/>
        <v>-809676</v>
      </c>
      <c r="M5" s="137">
        <f t="shared" si="3"/>
        <v>-11.842898569887751</v>
      </c>
    </row>
    <row r="6" spans="1:36" ht="21.2" customHeight="1">
      <c r="A6" s="228" t="s">
        <v>53</v>
      </c>
      <c r="B6" s="229"/>
      <c r="C6" s="229"/>
      <c r="D6" s="125" t="s">
        <v>47</v>
      </c>
      <c r="E6" s="151">
        <v>56152</v>
      </c>
      <c r="F6" s="155">
        <v>4141</v>
      </c>
      <c r="G6" s="155">
        <v>28049</v>
      </c>
      <c r="H6" s="155">
        <v>4729</v>
      </c>
      <c r="I6" s="155">
        <v>28232</v>
      </c>
      <c r="J6" s="129">
        <f t="shared" ref="J6:J20" si="4">H6-F6</f>
        <v>588</v>
      </c>
      <c r="K6" s="130">
        <f t="shared" ref="K6:K19" si="5">(H6/F6*100)-100</f>
        <v>14.199468727360525</v>
      </c>
      <c r="L6" s="131">
        <f>I6-G6</f>
        <v>183</v>
      </c>
      <c r="M6" s="138">
        <f>(I6/G6*100)-100</f>
        <v>0.65242967663732543</v>
      </c>
      <c r="N6" s="166"/>
      <c r="P6" s="63" t="s">
        <v>72</v>
      </c>
    </row>
    <row r="7" spans="1:36" ht="21.2" customHeight="1">
      <c r="A7" s="228"/>
      <c r="B7" s="229"/>
      <c r="C7" s="229"/>
      <c r="D7" s="125" t="s">
        <v>48</v>
      </c>
      <c r="E7" s="151">
        <v>1063612</v>
      </c>
      <c r="F7" s="155">
        <v>76942</v>
      </c>
      <c r="G7" s="155">
        <v>528971</v>
      </c>
      <c r="H7" s="155">
        <v>89032</v>
      </c>
      <c r="I7" s="155">
        <v>535023</v>
      </c>
      <c r="J7" s="129">
        <f t="shared" si="4"/>
        <v>12090</v>
      </c>
      <c r="K7" s="130">
        <f t="shared" si="5"/>
        <v>15.713134568896052</v>
      </c>
      <c r="L7" s="131">
        <f t="shared" si="2"/>
        <v>6052</v>
      </c>
      <c r="M7" s="138">
        <f t="shared" si="3"/>
        <v>1.1441080891013087</v>
      </c>
      <c r="P7" s="63" t="s">
        <v>72</v>
      </c>
    </row>
    <row r="8" spans="1:36" ht="21.2" customHeight="1">
      <c r="A8" s="228" t="s">
        <v>54</v>
      </c>
      <c r="B8" s="229"/>
      <c r="C8" s="229"/>
      <c r="D8" s="125" t="s">
        <v>47</v>
      </c>
      <c r="E8" s="151">
        <v>70330.75</v>
      </c>
      <c r="F8" s="155">
        <v>4788</v>
      </c>
      <c r="G8" s="155">
        <v>34831.5</v>
      </c>
      <c r="H8" s="155">
        <v>3340.5</v>
      </c>
      <c r="I8" s="155">
        <v>23608.25</v>
      </c>
      <c r="J8" s="129">
        <f t="shared" si="4"/>
        <v>-1447.5</v>
      </c>
      <c r="K8" s="130">
        <f t="shared" si="5"/>
        <v>-30.231829573934832</v>
      </c>
      <c r="L8" s="131">
        <f>I8-G8</f>
        <v>-11223.25</v>
      </c>
      <c r="M8" s="138">
        <f>(I8/G8*100)-100</f>
        <v>-32.221552330505432</v>
      </c>
      <c r="P8" s="63" t="s">
        <v>73</v>
      </c>
      <c r="AD8" s="176" t="s">
        <v>103</v>
      </c>
      <c r="AE8" s="176" t="s">
        <v>104</v>
      </c>
      <c r="AF8" s="176" t="s">
        <v>105</v>
      </c>
      <c r="AG8" s="176" t="s">
        <v>106</v>
      </c>
      <c r="AH8" s="176" t="s">
        <v>107</v>
      </c>
    </row>
    <row r="9" spans="1:36" ht="21.2" customHeight="1">
      <c r="A9" s="228"/>
      <c r="B9" s="229"/>
      <c r="C9" s="229"/>
      <c r="D9" s="125" t="s">
        <v>48</v>
      </c>
      <c r="E9" s="151">
        <v>1023659</v>
      </c>
      <c r="F9" s="155">
        <v>71122</v>
      </c>
      <c r="G9" s="155">
        <v>525803</v>
      </c>
      <c r="H9" s="155">
        <v>44307</v>
      </c>
      <c r="I9" s="155">
        <v>329852</v>
      </c>
      <c r="J9" s="129">
        <f t="shared" si="4"/>
        <v>-26815</v>
      </c>
      <c r="K9" s="130">
        <f t="shared" si="5"/>
        <v>-37.702820505610077</v>
      </c>
      <c r="L9" s="131">
        <f t="shared" si="2"/>
        <v>-195951</v>
      </c>
      <c r="M9" s="138">
        <f t="shared" si="3"/>
        <v>-37.266999237356956</v>
      </c>
      <c r="P9" s="63" t="s">
        <v>73</v>
      </c>
      <c r="AD9" s="175" t="s">
        <v>108</v>
      </c>
      <c r="AE9" s="177">
        <f>F6+F8</f>
        <v>8929</v>
      </c>
      <c r="AF9" s="177">
        <f>G6+G8</f>
        <v>62880.5</v>
      </c>
      <c r="AG9" s="177">
        <f>H6+H8</f>
        <v>8069.5</v>
      </c>
      <c r="AH9" s="177">
        <f>I6+I8</f>
        <v>51840.25</v>
      </c>
      <c r="AI9" s="178">
        <f t="shared" ref="AI9:AJ11" si="6">(AG9/AE9*100)-100</f>
        <v>-9.6259379549781556</v>
      </c>
      <c r="AJ9" s="178">
        <f t="shared" si="6"/>
        <v>-17.557509879851466</v>
      </c>
    </row>
    <row r="10" spans="1:36" ht="21.2" customHeight="1">
      <c r="A10" s="228" t="s">
        <v>93</v>
      </c>
      <c r="B10" s="229"/>
      <c r="C10" s="229"/>
      <c r="D10" s="125" t="s">
        <v>47</v>
      </c>
      <c r="E10" s="151">
        <v>11</v>
      </c>
      <c r="F10" s="163">
        <v>0</v>
      </c>
      <c r="G10" s="155">
        <v>11</v>
      </c>
      <c r="H10" s="179"/>
      <c r="I10" s="172">
        <v>0</v>
      </c>
      <c r="J10" s="129">
        <f t="shared" si="4"/>
        <v>0</v>
      </c>
      <c r="K10" s="135">
        <v>0</v>
      </c>
      <c r="L10" s="131">
        <f t="shared" si="2"/>
        <v>-11</v>
      </c>
      <c r="M10" s="138">
        <f t="shared" si="3"/>
        <v>-100</v>
      </c>
      <c r="P10" s="63" t="s">
        <v>94</v>
      </c>
      <c r="AD10" s="175" t="s">
        <v>109</v>
      </c>
      <c r="AE10" s="177">
        <f>F14+F16+F18</f>
        <v>37507.75</v>
      </c>
      <c r="AF10" s="177">
        <f>G14+G16+G18</f>
        <v>236745.25</v>
      </c>
      <c r="AG10" s="177">
        <f>H14+H16+H18</f>
        <v>39359.5</v>
      </c>
      <c r="AH10" s="177">
        <f>I14+I16+I18</f>
        <v>236954.5</v>
      </c>
      <c r="AI10" s="178">
        <f t="shared" si="6"/>
        <v>4.936979690863879</v>
      </c>
      <c r="AJ10" s="178">
        <f t="shared" si="6"/>
        <v>8.8386145022980145E-2</v>
      </c>
    </row>
    <row r="11" spans="1:36" ht="21.2" customHeight="1">
      <c r="A11" s="228"/>
      <c r="B11" s="229"/>
      <c r="C11" s="229"/>
      <c r="D11" s="125" t="s">
        <v>48</v>
      </c>
      <c r="E11" s="151">
        <v>39</v>
      </c>
      <c r="F11" s="163">
        <v>0</v>
      </c>
      <c r="G11" s="155">
        <v>39</v>
      </c>
      <c r="H11" s="135">
        <v>0</v>
      </c>
      <c r="I11" s="172">
        <v>0</v>
      </c>
      <c r="J11" s="129">
        <f t="shared" si="4"/>
        <v>0</v>
      </c>
      <c r="K11" s="135">
        <v>0</v>
      </c>
      <c r="L11" s="131">
        <f t="shared" si="2"/>
        <v>-39</v>
      </c>
      <c r="M11" s="138">
        <f t="shared" si="3"/>
        <v>-100</v>
      </c>
      <c r="P11" s="63" t="s">
        <v>94</v>
      </c>
      <c r="AD11" s="175" t="s">
        <v>102</v>
      </c>
      <c r="AE11" s="177">
        <f>F28+F30+F32</f>
        <v>22150</v>
      </c>
      <c r="AF11" s="177">
        <f>G28+G30+G32</f>
        <v>136735</v>
      </c>
      <c r="AG11" s="177">
        <f>H28+H30+H32</f>
        <v>18675</v>
      </c>
      <c r="AH11" s="177">
        <f>I28+I30+I32</f>
        <v>110625</v>
      </c>
      <c r="AI11" s="178">
        <f t="shared" si="6"/>
        <v>-15.688487584650119</v>
      </c>
      <c r="AJ11" s="178">
        <f t="shared" si="6"/>
        <v>-19.095330383588689</v>
      </c>
    </row>
    <row r="12" spans="1:36" ht="21.2" customHeight="1">
      <c r="A12" s="228" t="s">
        <v>66</v>
      </c>
      <c r="B12" s="229"/>
      <c r="C12" s="229"/>
      <c r="D12" s="125" t="s">
        <v>47</v>
      </c>
      <c r="E12" s="135">
        <v>0</v>
      </c>
      <c r="F12" s="135">
        <v>0</v>
      </c>
      <c r="G12" s="135"/>
      <c r="H12" s="135">
        <v>0</v>
      </c>
      <c r="I12" s="172">
        <v>0</v>
      </c>
      <c r="J12" s="129">
        <f t="shared" si="4"/>
        <v>0</v>
      </c>
      <c r="K12" s="135">
        <v>0</v>
      </c>
      <c r="L12" s="131">
        <f t="shared" si="2"/>
        <v>0</v>
      </c>
      <c r="M12" s="138">
        <v>0</v>
      </c>
      <c r="P12" s="63" t="s">
        <v>74</v>
      </c>
    </row>
    <row r="13" spans="1:36" ht="21.2" customHeight="1">
      <c r="A13" s="228"/>
      <c r="B13" s="229"/>
      <c r="C13" s="229"/>
      <c r="D13" s="125" t="s">
        <v>65</v>
      </c>
      <c r="E13" s="135">
        <v>0</v>
      </c>
      <c r="F13" s="135">
        <v>0</v>
      </c>
      <c r="G13" s="135"/>
      <c r="H13" s="135">
        <v>0</v>
      </c>
      <c r="I13" s="172">
        <v>0</v>
      </c>
      <c r="J13" s="129">
        <f t="shared" si="4"/>
        <v>0</v>
      </c>
      <c r="K13" s="135">
        <v>0</v>
      </c>
      <c r="L13" s="131">
        <f t="shared" si="2"/>
        <v>0</v>
      </c>
      <c r="M13" s="138">
        <v>0</v>
      </c>
      <c r="P13" s="63" t="s">
        <v>74</v>
      </c>
    </row>
    <row r="14" spans="1:36" ht="21.2" customHeight="1">
      <c r="A14" s="228" t="s">
        <v>55</v>
      </c>
      <c r="B14" s="229"/>
      <c r="C14" s="229"/>
      <c r="D14" s="125" t="s">
        <v>47</v>
      </c>
      <c r="E14" s="151">
        <v>127735.25</v>
      </c>
      <c r="F14" s="155">
        <v>11151.75</v>
      </c>
      <c r="G14" s="155">
        <v>63573.75</v>
      </c>
      <c r="H14" s="155">
        <v>10308</v>
      </c>
      <c r="I14" s="155">
        <v>61510</v>
      </c>
      <c r="J14" s="129">
        <f t="shared" si="4"/>
        <v>-843.75</v>
      </c>
      <c r="K14" s="130">
        <f t="shared" si="5"/>
        <v>-7.5660770731051201</v>
      </c>
      <c r="L14" s="131">
        <f t="shared" si="2"/>
        <v>-2063.75</v>
      </c>
      <c r="M14" s="138">
        <f>(I14/G14*100)-100</f>
        <v>-3.2462297725083005</v>
      </c>
      <c r="N14" s="166"/>
      <c r="P14" s="63" t="s">
        <v>75</v>
      </c>
    </row>
    <row r="15" spans="1:36" ht="21.2" customHeight="1">
      <c r="A15" s="228"/>
      <c r="B15" s="229"/>
      <c r="C15" s="229"/>
      <c r="D15" s="125" t="s">
        <v>48</v>
      </c>
      <c r="E15" s="151">
        <v>2021215</v>
      </c>
      <c r="F15" s="155">
        <v>205515</v>
      </c>
      <c r="G15" s="155">
        <v>1013379</v>
      </c>
      <c r="H15" s="155">
        <v>162997</v>
      </c>
      <c r="I15" s="155">
        <v>1003342</v>
      </c>
      <c r="J15" s="129">
        <f t="shared" si="4"/>
        <v>-42518</v>
      </c>
      <c r="K15" s="130">
        <f t="shared" si="5"/>
        <v>-20.688514220373207</v>
      </c>
      <c r="L15" s="131">
        <f t="shared" si="2"/>
        <v>-10037</v>
      </c>
      <c r="M15" s="138">
        <f t="shared" si="3"/>
        <v>-0.99044878569617367</v>
      </c>
      <c r="P15" s="63" t="s">
        <v>76</v>
      </c>
    </row>
    <row r="16" spans="1:36" ht="21.2" customHeight="1">
      <c r="A16" s="228" t="s">
        <v>62</v>
      </c>
      <c r="B16" s="229"/>
      <c r="C16" s="229"/>
      <c r="D16" s="125" t="s">
        <v>47</v>
      </c>
      <c r="E16" s="151">
        <v>206399</v>
      </c>
      <c r="F16" s="155">
        <v>17593</v>
      </c>
      <c r="G16" s="155">
        <v>111614</v>
      </c>
      <c r="H16" s="155">
        <v>15716.5</v>
      </c>
      <c r="I16" s="155">
        <v>97768.5</v>
      </c>
      <c r="J16" s="129">
        <f t="shared" si="4"/>
        <v>-1876.5</v>
      </c>
      <c r="K16" s="130">
        <f t="shared" si="5"/>
        <v>-10.666174046495769</v>
      </c>
      <c r="L16" s="131">
        <f t="shared" si="2"/>
        <v>-13845.5</v>
      </c>
      <c r="M16" s="138">
        <f t="shared" si="3"/>
        <v>-12.404805848728657</v>
      </c>
      <c r="P16" s="63" t="s">
        <v>77</v>
      </c>
    </row>
    <row r="17" spans="1:16" ht="21.2" customHeight="1">
      <c r="A17" s="228"/>
      <c r="B17" s="229"/>
      <c r="C17" s="229"/>
      <c r="D17" s="125" t="s">
        <v>48</v>
      </c>
      <c r="E17" s="151">
        <v>2900266</v>
      </c>
      <c r="F17" s="155">
        <v>269496</v>
      </c>
      <c r="G17" s="155">
        <v>1583968</v>
      </c>
      <c r="H17" s="155">
        <v>209740</v>
      </c>
      <c r="I17" s="155">
        <v>1310307</v>
      </c>
      <c r="J17" s="129">
        <f t="shared" si="4"/>
        <v>-59756</v>
      </c>
      <c r="K17" s="130">
        <f t="shared" si="5"/>
        <v>-22.173241903404872</v>
      </c>
      <c r="L17" s="131">
        <f t="shared" si="2"/>
        <v>-273661</v>
      </c>
      <c r="M17" s="138">
        <f t="shared" si="3"/>
        <v>-17.27692731166286</v>
      </c>
      <c r="P17" s="63" t="s">
        <v>78</v>
      </c>
    </row>
    <row r="18" spans="1:16" ht="21.2" customHeight="1">
      <c r="A18" s="228" t="s">
        <v>56</v>
      </c>
      <c r="B18" s="229"/>
      <c r="C18" s="229"/>
      <c r="D18" s="125" t="s">
        <v>47</v>
      </c>
      <c r="E18" s="151">
        <v>120730</v>
      </c>
      <c r="F18" s="155">
        <v>8763</v>
      </c>
      <c r="G18" s="155">
        <v>61557.5</v>
      </c>
      <c r="H18" s="155">
        <v>13335</v>
      </c>
      <c r="I18" s="155">
        <v>77676</v>
      </c>
      <c r="J18" s="129">
        <f t="shared" si="4"/>
        <v>4572</v>
      </c>
      <c r="K18" s="130">
        <f t="shared" si="5"/>
        <v>52.173913043478279</v>
      </c>
      <c r="L18" s="131">
        <f t="shared" si="2"/>
        <v>16118.5</v>
      </c>
      <c r="M18" s="139">
        <f t="shared" si="3"/>
        <v>26.184461682167083</v>
      </c>
      <c r="P18" s="63" t="s">
        <v>79</v>
      </c>
    </row>
    <row r="19" spans="1:16" ht="21.2" customHeight="1">
      <c r="A19" s="228"/>
      <c r="B19" s="229"/>
      <c r="C19" s="229"/>
      <c r="D19" s="125" t="s">
        <v>48</v>
      </c>
      <c r="E19" s="151">
        <v>1935255</v>
      </c>
      <c r="F19" s="155">
        <v>146942</v>
      </c>
      <c r="G19" s="155">
        <v>1005953</v>
      </c>
      <c r="H19" s="155">
        <v>186259</v>
      </c>
      <c r="I19" s="155">
        <v>1200290</v>
      </c>
      <c r="J19" s="129">
        <f t="shared" si="4"/>
        <v>39317</v>
      </c>
      <c r="K19" s="130">
        <f t="shared" si="5"/>
        <v>26.756815614324012</v>
      </c>
      <c r="L19" s="131">
        <f t="shared" si="2"/>
        <v>194337</v>
      </c>
      <c r="M19" s="139">
        <f t="shared" si="3"/>
        <v>19.318695803879507</v>
      </c>
      <c r="P19" s="63" t="s">
        <v>80</v>
      </c>
    </row>
    <row r="20" spans="1:16" ht="21.2" customHeight="1">
      <c r="A20" s="232" t="s">
        <v>68</v>
      </c>
      <c r="B20" s="233"/>
      <c r="C20" s="233"/>
      <c r="D20" s="133" t="s">
        <v>47</v>
      </c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4">
        <f t="shared" si="4"/>
        <v>0</v>
      </c>
      <c r="K20" s="135">
        <v>0</v>
      </c>
      <c r="L20" s="131">
        <f t="shared" si="2"/>
        <v>0</v>
      </c>
      <c r="M20" s="138">
        <v>0</v>
      </c>
      <c r="P20" s="63" t="s">
        <v>81</v>
      </c>
    </row>
    <row r="21" spans="1:16" ht="21.2" customHeight="1">
      <c r="A21" s="232"/>
      <c r="B21" s="233"/>
      <c r="C21" s="233"/>
      <c r="D21" s="133" t="s">
        <v>48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4">
        <f t="shared" si="0"/>
        <v>0</v>
      </c>
      <c r="K21" s="135">
        <v>0</v>
      </c>
      <c r="L21" s="131">
        <f t="shared" si="2"/>
        <v>0</v>
      </c>
      <c r="M21" s="138">
        <v>0</v>
      </c>
      <c r="P21" s="63" t="s">
        <v>82</v>
      </c>
    </row>
    <row r="22" spans="1:16" ht="21.2" customHeight="1">
      <c r="A22" s="228" t="s">
        <v>92</v>
      </c>
      <c r="B22" s="229"/>
      <c r="C22" s="229"/>
      <c r="D22" s="125" t="s">
        <v>47</v>
      </c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4">
        <f t="shared" si="0"/>
        <v>0</v>
      </c>
      <c r="K22" s="135">
        <v>0</v>
      </c>
      <c r="L22" s="131">
        <f t="shared" si="2"/>
        <v>0</v>
      </c>
      <c r="M22" s="138">
        <v>0</v>
      </c>
      <c r="P22" s="63" t="s">
        <v>95</v>
      </c>
    </row>
    <row r="23" spans="1:16" ht="21.2" customHeight="1">
      <c r="A23" s="228"/>
      <c r="B23" s="229"/>
      <c r="C23" s="229"/>
      <c r="D23" s="125" t="s">
        <v>48</v>
      </c>
      <c r="E23" s="135">
        <v>0</v>
      </c>
      <c r="F23" s="135">
        <v>0</v>
      </c>
      <c r="G23" s="135">
        <v>0</v>
      </c>
      <c r="H23" s="135">
        <v>0</v>
      </c>
      <c r="I23" s="135">
        <v>0</v>
      </c>
      <c r="J23" s="134">
        <f t="shared" si="0"/>
        <v>0</v>
      </c>
      <c r="K23" s="135">
        <v>0</v>
      </c>
      <c r="L23" s="131">
        <f t="shared" si="2"/>
        <v>0</v>
      </c>
      <c r="M23" s="138">
        <v>0</v>
      </c>
      <c r="P23" s="63" t="s">
        <v>95</v>
      </c>
    </row>
    <row r="24" spans="1:16" ht="21.2" customHeight="1">
      <c r="A24" s="228" t="s">
        <v>63</v>
      </c>
      <c r="B24" s="229"/>
      <c r="C24" s="229"/>
      <c r="D24" s="125" t="s">
        <v>64</v>
      </c>
      <c r="E24" s="151">
        <v>107</v>
      </c>
      <c r="F24" s="163">
        <v>0</v>
      </c>
      <c r="G24" s="155">
        <v>34</v>
      </c>
      <c r="H24" s="135">
        <v>0</v>
      </c>
      <c r="I24" s="135">
        <v>0</v>
      </c>
      <c r="J24" s="134">
        <f t="shared" si="0"/>
        <v>0</v>
      </c>
      <c r="K24" s="135">
        <v>0</v>
      </c>
      <c r="L24" s="131">
        <f t="shared" si="2"/>
        <v>-34</v>
      </c>
      <c r="M24" s="138">
        <f t="shared" si="3"/>
        <v>-100</v>
      </c>
      <c r="P24" s="63" t="s">
        <v>83</v>
      </c>
    </row>
    <row r="25" spans="1:16" ht="21.2" customHeight="1">
      <c r="A25" s="228"/>
      <c r="B25" s="229"/>
      <c r="C25" s="229"/>
      <c r="D25" s="125" t="s">
        <v>65</v>
      </c>
      <c r="E25" s="151">
        <v>244</v>
      </c>
      <c r="F25" s="163">
        <v>0</v>
      </c>
      <c r="G25" s="155">
        <v>244</v>
      </c>
      <c r="H25" s="135">
        <v>0</v>
      </c>
      <c r="I25" s="135">
        <v>0</v>
      </c>
      <c r="J25" s="134">
        <f t="shared" si="0"/>
        <v>0</v>
      </c>
      <c r="K25" s="135">
        <v>0</v>
      </c>
      <c r="L25" s="131">
        <f t="shared" si="2"/>
        <v>-244</v>
      </c>
      <c r="M25" s="138">
        <f t="shared" si="3"/>
        <v>-100</v>
      </c>
      <c r="P25" s="63" t="s">
        <v>83</v>
      </c>
    </row>
    <row r="26" spans="1:16" ht="21.2" customHeight="1">
      <c r="A26" s="228" t="s">
        <v>58</v>
      </c>
      <c r="B26" s="229"/>
      <c r="C26" s="229"/>
      <c r="D26" s="125" t="s">
        <v>47</v>
      </c>
      <c r="E26" s="151">
        <v>212</v>
      </c>
      <c r="F26" s="155">
        <v>0</v>
      </c>
      <c r="G26" s="155">
        <v>212</v>
      </c>
      <c r="H26" s="135">
        <v>0</v>
      </c>
      <c r="I26" s="135">
        <v>0</v>
      </c>
      <c r="J26" s="134">
        <f t="shared" si="0"/>
        <v>0</v>
      </c>
      <c r="K26" s="130" t="s">
        <v>101</v>
      </c>
      <c r="L26" s="131">
        <f t="shared" si="2"/>
        <v>-212</v>
      </c>
      <c r="M26" s="138">
        <f t="shared" si="3"/>
        <v>-100</v>
      </c>
      <c r="P26" s="63" t="s">
        <v>84</v>
      </c>
    </row>
    <row r="27" spans="1:16" ht="21.2" customHeight="1">
      <c r="A27" s="228"/>
      <c r="B27" s="229"/>
      <c r="C27" s="229"/>
      <c r="D27" s="125" t="s">
        <v>48</v>
      </c>
      <c r="E27" s="151">
        <v>1888</v>
      </c>
      <c r="F27" s="155">
        <v>0</v>
      </c>
      <c r="G27" s="155">
        <v>1888</v>
      </c>
      <c r="H27" s="148">
        <v>0</v>
      </c>
      <c r="I27" s="172">
        <v>0</v>
      </c>
      <c r="J27" s="134">
        <f t="shared" si="0"/>
        <v>0</v>
      </c>
      <c r="K27" s="130" t="s">
        <v>101</v>
      </c>
      <c r="L27" s="131">
        <f t="shared" si="2"/>
        <v>-1888</v>
      </c>
      <c r="M27" s="138">
        <f t="shared" si="3"/>
        <v>-100</v>
      </c>
      <c r="P27" s="63" t="s">
        <v>85</v>
      </c>
    </row>
    <row r="28" spans="1:16" ht="21.2" customHeight="1">
      <c r="A28" s="228" t="s">
        <v>59</v>
      </c>
      <c r="B28" s="229"/>
      <c r="C28" s="229"/>
      <c r="D28" s="125" t="s">
        <v>47</v>
      </c>
      <c r="E28" s="151">
        <v>87855</v>
      </c>
      <c r="F28" s="155">
        <v>7688</v>
      </c>
      <c r="G28" s="155">
        <v>46411</v>
      </c>
      <c r="H28" s="155">
        <v>5191</v>
      </c>
      <c r="I28" s="155">
        <v>27603</v>
      </c>
      <c r="J28" s="134">
        <f t="shared" si="0"/>
        <v>-2497</v>
      </c>
      <c r="K28" s="130">
        <f t="shared" si="1"/>
        <v>-32.47918834547346</v>
      </c>
      <c r="L28" s="131">
        <f t="shared" si="2"/>
        <v>-18808</v>
      </c>
      <c r="M28" s="138">
        <f t="shared" si="3"/>
        <v>-40.524875568291996</v>
      </c>
      <c r="P28" s="63" t="s">
        <v>86</v>
      </c>
    </row>
    <row r="29" spans="1:16" ht="21.2" customHeight="1">
      <c r="A29" s="228"/>
      <c r="B29" s="229"/>
      <c r="C29" s="229"/>
      <c r="D29" s="125" t="s">
        <v>48</v>
      </c>
      <c r="E29" s="151">
        <v>1481921</v>
      </c>
      <c r="F29" s="155">
        <v>128895</v>
      </c>
      <c r="G29" s="155">
        <v>811997</v>
      </c>
      <c r="H29" s="155">
        <v>84542</v>
      </c>
      <c r="I29" s="155">
        <v>452989</v>
      </c>
      <c r="J29" s="134">
        <f t="shared" si="0"/>
        <v>-44353</v>
      </c>
      <c r="K29" s="130">
        <f t="shared" si="1"/>
        <v>-34.410178827728004</v>
      </c>
      <c r="L29" s="131">
        <f t="shared" si="2"/>
        <v>-359008</v>
      </c>
      <c r="M29" s="138">
        <f t="shared" si="3"/>
        <v>-44.212971230189268</v>
      </c>
      <c r="P29" s="63" t="s">
        <v>87</v>
      </c>
    </row>
    <row r="30" spans="1:16" ht="21.2" customHeight="1">
      <c r="A30" s="228" t="s">
        <v>60</v>
      </c>
      <c r="B30" s="229"/>
      <c r="C30" s="229"/>
      <c r="D30" s="125" t="s">
        <v>47</v>
      </c>
      <c r="E30" s="151">
        <v>136389</v>
      </c>
      <c r="F30" s="155">
        <v>11057</v>
      </c>
      <c r="G30" s="155">
        <v>66967</v>
      </c>
      <c r="H30" s="155">
        <v>8826</v>
      </c>
      <c r="I30" s="155">
        <v>58475</v>
      </c>
      <c r="J30" s="129">
        <f t="shared" si="0"/>
        <v>-2231</v>
      </c>
      <c r="K30" s="130">
        <f t="shared" si="1"/>
        <v>-20.177263272135306</v>
      </c>
      <c r="L30" s="131">
        <f t="shared" si="2"/>
        <v>-8492</v>
      </c>
      <c r="M30" s="138">
        <f t="shared" si="3"/>
        <v>-12.680872668627828</v>
      </c>
      <c r="P30" s="63" t="s">
        <v>88</v>
      </c>
    </row>
    <row r="31" spans="1:16" ht="21.2" customHeight="1">
      <c r="A31" s="228"/>
      <c r="B31" s="229"/>
      <c r="C31" s="229"/>
      <c r="D31" s="125" t="s">
        <v>48</v>
      </c>
      <c r="E31" s="151">
        <v>1982852</v>
      </c>
      <c r="F31" s="155">
        <v>154620</v>
      </c>
      <c r="G31" s="155">
        <v>974810</v>
      </c>
      <c r="H31" s="155">
        <v>131345</v>
      </c>
      <c r="I31" s="155">
        <v>828279</v>
      </c>
      <c r="J31" s="129">
        <f t="shared" si="0"/>
        <v>-23275</v>
      </c>
      <c r="K31" s="130">
        <f t="shared" si="1"/>
        <v>-15.053033242788771</v>
      </c>
      <c r="L31" s="131">
        <f t="shared" si="2"/>
        <v>-146531</v>
      </c>
      <c r="M31" s="138">
        <f t="shared" si="3"/>
        <v>-15.031749776879593</v>
      </c>
      <c r="P31" s="63" t="s">
        <v>89</v>
      </c>
    </row>
    <row r="32" spans="1:16" ht="21.2" customHeight="1">
      <c r="A32" s="228" t="s">
        <v>61</v>
      </c>
      <c r="B32" s="229"/>
      <c r="C32" s="229"/>
      <c r="D32" s="125" t="s">
        <v>47</v>
      </c>
      <c r="E32" s="151">
        <v>45952</v>
      </c>
      <c r="F32" s="155">
        <v>3405</v>
      </c>
      <c r="G32" s="155">
        <v>23357</v>
      </c>
      <c r="H32" s="155">
        <v>4658</v>
      </c>
      <c r="I32" s="155">
        <v>24547</v>
      </c>
      <c r="J32" s="129">
        <f>H32-F32</f>
        <v>1253</v>
      </c>
      <c r="K32" s="130">
        <f t="shared" si="1"/>
        <v>36.79882525697505</v>
      </c>
      <c r="L32" s="131">
        <f>I32-G32</f>
        <v>1190</v>
      </c>
      <c r="M32" s="138">
        <f t="shared" si="3"/>
        <v>5.0948323842959269</v>
      </c>
      <c r="P32" s="63" t="s">
        <v>90</v>
      </c>
    </row>
    <row r="33" spans="1:16" ht="21.2" customHeight="1">
      <c r="A33" s="228"/>
      <c r="B33" s="229"/>
      <c r="C33" s="229"/>
      <c r="D33" s="125" t="s">
        <v>48</v>
      </c>
      <c r="E33" s="151">
        <v>722543</v>
      </c>
      <c r="F33" s="155">
        <v>53996</v>
      </c>
      <c r="G33" s="155">
        <v>388370</v>
      </c>
      <c r="H33" s="155">
        <v>68197</v>
      </c>
      <c r="I33" s="155">
        <v>367048</v>
      </c>
      <c r="J33" s="129">
        <f>H33-F33</f>
        <v>14201</v>
      </c>
      <c r="K33" s="130">
        <f t="shared" si="1"/>
        <v>26.300096303429882</v>
      </c>
      <c r="L33" s="131">
        <f>I33-G33</f>
        <v>-21322</v>
      </c>
      <c r="M33" s="138">
        <f t="shared" si="3"/>
        <v>-5.4901253958853715</v>
      </c>
      <c r="P33" s="63" t="s">
        <v>91</v>
      </c>
    </row>
    <row r="34" spans="1:16" ht="21.2" customHeight="1">
      <c r="A34" s="228" t="s">
        <v>100</v>
      </c>
      <c r="B34" s="229"/>
      <c r="C34" s="229"/>
      <c r="D34" s="125" t="s">
        <v>47</v>
      </c>
      <c r="E34" s="151">
        <v>80</v>
      </c>
      <c r="F34" s="152">
        <v>0</v>
      </c>
      <c r="G34" s="155">
        <v>80</v>
      </c>
      <c r="H34" s="164">
        <v>0</v>
      </c>
      <c r="I34" s="170">
        <v>0</v>
      </c>
      <c r="J34" s="129">
        <f>H34-F34</f>
        <v>0</v>
      </c>
      <c r="K34" s="130" t="s">
        <v>101</v>
      </c>
      <c r="L34" s="131">
        <f>I34-G34</f>
        <v>-80</v>
      </c>
      <c r="M34" s="138">
        <f t="shared" ref="M34:M35" si="7">(I34/G34*100)-100</f>
        <v>-100</v>
      </c>
    </row>
    <row r="35" spans="1:16" ht="21.2" customHeight="1" thickBot="1">
      <c r="A35" s="230"/>
      <c r="B35" s="231"/>
      <c r="C35" s="231"/>
      <c r="D35" s="140" t="s">
        <v>48</v>
      </c>
      <c r="E35" s="153">
        <v>1384</v>
      </c>
      <c r="F35" s="154">
        <v>0</v>
      </c>
      <c r="G35" s="174">
        <v>1384</v>
      </c>
      <c r="H35" s="165">
        <v>0</v>
      </c>
      <c r="I35" s="173">
        <v>0</v>
      </c>
      <c r="J35" s="141">
        <f>H35-F35</f>
        <v>0</v>
      </c>
      <c r="K35" s="103" t="s">
        <v>101</v>
      </c>
      <c r="L35" s="142">
        <f>I35-G35</f>
        <v>-1384</v>
      </c>
      <c r="M35" s="104">
        <f t="shared" si="7"/>
        <v>-100</v>
      </c>
    </row>
  </sheetData>
  <mergeCells count="21">
    <mergeCell ref="J2:M2"/>
    <mergeCell ref="A4:C5"/>
    <mergeCell ref="A6:C7"/>
    <mergeCell ref="A8:C9"/>
    <mergeCell ref="A2:C3"/>
    <mergeCell ref="D2:D3"/>
    <mergeCell ref="F2:G2"/>
    <mergeCell ref="H2:I2"/>
    <mergeCell ref="A34:C35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2023-09-06T06:47:25Z</dcterms:modified>
</cp:coreProperties>
</file>