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7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I7" i="21"/>
  <c r="G4" i="33" s="1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<sst xmlns="http://schemas.openxmlformats.org/spreadsheetml/2006/main" count="126" uniqueCount="82">
  <si>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</si>
  <si>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</si>
  <si>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</si>
  <si>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</si>
  <si>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</si>
  <si>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</si>
  <si>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</si>
  <si>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</si>
  <si>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</si>
  <si>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</si>
  <si>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</si>
  <si>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</si>
  <si>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</si>
  <si>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</si>
  <si>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</si>
  <si>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</si>
  <si>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</si>
  <si>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</si>
  <si>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</si>
  <si>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</si>
  <si>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</si>
  <si>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</si>
  <si>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</si>
  <si>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</si>
  <si>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</si>
  <si>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</si>
  <si>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</si>
  <si>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</si>
  <si>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</si>
  <si>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</si>
  <si>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</si>
  <si>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</si>
  <si>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</si>
  <si>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</si>
  <si>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</si>
  <si>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</si>
  <si>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</si>
  <si>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</si>
  <si>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</si>
  <si>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</si>
  <si>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</si>
  <si>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</si>
  <si>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</si>
  <si>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</si>
  <si>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</si>
  <si>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</si>
  <si>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</si>
  <si>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</si>
  <si>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</si>
  <si>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</si>
  <si>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</si>
  <si>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</si>
  <si>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</si>
  <si>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</si>
  <si>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</si>
  <si>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</si>
  <si>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</si>
  <si>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</si>
  <si>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</si>
  <si>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</si>
  <si>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</si>
  <si>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</si>
  <si>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</si>
  <si>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</si>
  <si>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</si>
  <si>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</si>
  <si>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</si>
  <si>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</si>
  <si>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</si>
  <si>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</si>
  <si>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</si>
  <si>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</si>
  <si>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</si>
  <si>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</si>
  <si>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</si>
  <si>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2020년도</t>
    <phoneticPr fontId="5" type="noConversion"/>
  </si>
  <si>
    <t>(단위 : 척)</t>
    <phoneticPr fontId="5" type="noConversion"/>
  </si>
  <si>
    <t>(2020. 3월분)</t>
    <phoneticPr fontId="5" type="noConversion"/>
  </si>
  <si>
    <t>3월(C)</t>
    <phoneticPr fontId="5" type="noConversion"/>
  </si>
  <si>
    <t>3월누계(D)</t>
    <phoneticPr fontId="5" type="noConversion"/>
  </si>
  <si>
    <t>3월누계(B)</t>
    <phoneticPr fontId="5" type="noConversion"/>
  </si>
  <si>
    <t>3월(A)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</si>
</sst>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[Red]\(0.0\)"/>
  </numFmts>
  <fonts count="34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7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6" fontId="22" fillId="6" borderId="21" xfId="0" applyNumberFormat="1" applyFont="1" applyFill="1" applyBorder="1" applyAlignment="1">
      <alignment horizontal="center" vertical="center"/>
    </xf>
    <xf numFmtId="186" fontId="22" fillId="6" borderId="21" xfId="0" quotePrefix="1" applyNumberFormat="1" applyFont="1" applyFill="1" applyBorder="1" applyAlignment="1">
      <alignment horizontal="center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3월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26561309</c:v>
                </c:pt>
              </c:numCache>
            </c:numRef>
          </c:val>
        </c:ser>
        <c:ser>
          <c:idx val="1"/>
          <c:order val="1"/>
          <c:tx>
            <c:v>'20년 3월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27946372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8053888"/>
        <c:axId val="198055424"/>
        <c:axId val="0"/>
      </c:bar3DChart>
      <c:catAx>
        <c:axId val="198053888"/>
        <c:scaling>
          <c:orientation val="minMax"/>
        </c:scaling>
        <c:delete val="1"/>
        <c:axPos val="b"/>
        <c:majorTickMark val="out"/>
        <c:minorTickMark val="none"/>
        <c:tickLblPos val="none"/>
        <c:crossAx val="198055424"/>
        <c:crosses val="autoZero"/>
        <c:auto val="1"/>
        <c:lblAlgn val="ctr"/>
        <c:lblOffset val="100"/>
        <c:noMultiLvlLbl val="0"/>
      </c:catAx>
      <c:valAx>
        <c:axId val="198055424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8053888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3월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159106</c:v>
                </c:pt>
              </c:numCache>
            </c:numRef>
          </c:val>
        </c:ser>
        <c:ser>
          <c:idx val="1"/>
          <c:order val="1"/>
          <c:tx>
            <c:v>'20년 3월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158135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7669248"/>
        <c:axId val="197670784"/>
        <c:axId val="0"/>
      </c:bar3DChart>
      <c:catAx>
        <c:axId val="197669248"/>
        <c:scaling>
          <c:orientation val="minMax"/>
        </c:scaling>
        <c:delete val="1"/>
        <c:axPos val="b"/>
        <c:majorTickMark val="out"/>
        <c:minorTickMark val="none"/>
        <c:tickLblPos val="none"/>
        <c:crossAx val="197670784"/>
        <c:crosses val="autoZero"/>
        <c:auto val="1"/>
        <c:lblAlgn val="ctr"/>
        <c:lblOffset val="100"/>
        <c:noMultiLvlLbl val="0"/>
      </c:catAx>
      <c:valAx>
        <c:axId val="197670784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669248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27946.371999999999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36704"/>
        <c:axId val="197771648"/>
      </c:lineChart>
      <c:catAx>
        <c:axId val="19773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771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771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7367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158135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13536"/>
        <c:axId val="206915456"/>
      </c:lineChart>
      <c:catAx>
        <c:axId val="20691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915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9154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9135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43744"/>
        <c:axId val="206945664"/>
      </c:lineChart>
      <c:catAx>
        <c:axId val="20694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945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9456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9437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4361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61664"/>
        <c:axId val="206980224"/>
      </c:lineChart>
      <c:catAx>
        <c:axId val="20696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9802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9802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9616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4361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04416"/>
        <c:axId val="207006336"/>
      </c:lineChart>
      <c:catAx>
        <c:axId val="20700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7006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70063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700441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I29" sqref="I29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1"/>
      <c r="M1" s="181"/>
    </row>
    <row r="2" spans="2:13" ht="33" customHeight="1">
      <c r="B2" s="193" t="s">
        <v>49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</row>
    <row r="3" spans="2:13" ht="27.75" customHeight="1">
      <c r="B3" s="195" t="s">
        <v>77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</row>
    <row r="4" spans="2:13" ht="21.2" customHeight="1" thickBot="1">
      <c r="B4" s="202" t="s">
        <v>71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</row>
    <row r="5" spans="2:13" ht="21.2" customHeight="1">
      <c r="B5" s="187" t="s">
        <v>7</v>
      </c>
      <c r="C5" s="188"/>
      <c r="D5" s="189"/>
      <c r="E5" s="39"/>
      <c r="F5" s="185" t="s">
        <v>73</v>
      </c>
      <c r="G5" s="196"/>
      <c r="H5" s="213" t="s">
        <v>74</v>
      </c>
      <c r="I5" s="213"/>
      <c r="J5" s="184" t="s">
        <v>15</v>
      </c>
      <c r="K5" s="185"/>
      <c r="L5" s="185"/>
      <c r="M5" s="186"/>
    </row>
    <row r="6" spans="2:13" ht="20.25" customHeight="1">
      <c r="B6" s="190"/>
      <c r="C6" s="191"/>
      <c r="D6" s="192"/>
      <c r="E6" s="40" t="s">
        <v>11</v>
      </c>
      <c r="F6" s="169" t="s">
        <v>81</v>
      </c>
      <c r="G6" s="41" t="s">
        <v>80</v>
      </c>
      <c r="H6" s="169" t="s">
        <v>78</v>
      </c>
      <c r="I6" s="170" t="s">
        <v>79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7" t="s">
        <v>21</v>
      </c>
      <c r="C7" s="182" t="s">
        <v>12</v>
      </c>
      <c r="D7" s="183"/>
      <c r="E7" s="13">
        <f>SUM(E8:E9)</f>
        <v>18416</v>
      </c>
      <c r="F7" s="13">
        <f>SUM(F8:F9)</f>
        <v>1525</v>
      </c>
      <c r="G7" s="13">
        <f>SUM(G8:G9)</f>
        <v>4518</v>
      </c>
      <c r="H7" s="13">
        <f>SUM(H8:H9)</f>
        <v>1498</v>
      </c>
      <c r="I7" s="13">
        <f>SUM(I8:I9)</f>
        <v>4361</v>
      </c>
      <c r="J7" s="13">
        <f>H7-F7</f>
        <v>-27</v>
      </c>
      <c r="K7" s="16">
        <f>H7/F7</f>
        <v>0.98229508196721316</v>
      </c>
      <c r="L7" s="14">
        <f>I7-G7</f>
        <v>-157</v>
      </c>
      <c r="M7" s="24">
        <f>I7/G7</f>
        <v>0.96525011066843736</v>
      </c>
    </row>
    <row r="8" spans="2:13" ht="19.5" customHeight="1">
      <c r="B8" s="208"/>
      <c r="C8" s="198" t="s">
        <v>9</v>
      </c>
      <c r="D8" s="199"/>
      <c r="E8" s="20">
        <v>11525</v>
      </c>
      <c r="F8" s="20">
        <v>966</v>
      </c>
      <c r="G8" s="21">
        <v>2835</v>
      </c>
      <c r="H8" s="20">
        <v>951</v>
      </c>
      <c r="I8" s="20">
        <v>2697</v>
      </c>
      <c r="J8" s="4">
        <f t="shared" ref="J8:J28" si="0">H8-F8</f>
        <v>-15</v>
      </c>
      <c r="K8" s="18">
        <f t="shared" ref="K8:K28" si="1">H8/F8</f>
        <v>0.98447204968944102</v>
      </c>
      <c r="L8" s="19">
        <f t="shared" ref="L8:L28" si="2">I8-G8</f>
        <v>-138</v>
      </c>
      <c r="M8" s="26">
        <f t="shared" ref="M8:M28" si="3">I8/G8</f>
        <v>0.95132275132275135</v>
      </c>
    </row>
    <row r="9" spans="2:13" ht="19.5" customHeight="1">
      <c r="B9" s="209"/>
      <c r="C9" s="200" t="s">
        <v>10</v>
      </c>
      <c r="D9" s="201"/>
      <c r="E9" s="21">
        <v>6891</v>
      </c>
      <c r="F9" s="21">
        <v>559</v>
      </c>
      <c r="G9" s="21">
        <v>1683</v>
      </c>
      <c r="H9" s="21">
        <v>547</v>
      </c>
      <c r="I9" s="21">
        <v>1664</v>
      </c>
      <c r="J9" s="21">
        <f t="shared" si="0"/>
        <v>-12</v>
      </c>
      <c r="K9" s="22">
        <f t="shared" si="1"/>
        <v>0.97853309481216455</v>
      </c>
      <c r="L9" s="23">
        <f t="shared" si="2"/>
        <v>-19</v>
      </c>
      <c r="M9" s="27">
        <f t="shared" si="3"/>
        <v>0.98871063576945928</v>
      </c>
    </row>
    <row r="10" spans="2:13" ht="21.2" customHeight="1">
      <c r="B10" s="207" t="s">
        <v>22</v>
      </c>
      <c r="C10" s="182" t="s">
        <v>8</v>
      </c>
      <c r="D10" s="183"/>
      <c r="E10" s="45">
        <f>E11+E15</f>
        <v>113201331</v>
      </c>
      <c r="F10" s="45">
        <f>F11+F15</f>
        <v>8510616</v>
      </c>
      <c r="G10" s="45">
        <f>G11+G15</f>
        <v>26561309</v>
      </c>
      <c r="H10" s="45">
        <f>H11+H15</f>
        <v>9082983</v>
      </c>
      <c r="I10" s="45">
        <f>I11+I15</f>
        <v>27946372</v>
      </c>
      <c r="J10" s="45">
        <f t="shared" si="0"/>
        <v>572367</v>
      </c>
      <c r="K10" s="16">
        <f t="shared" si="1"/>
        <v>1.0672532987036425</v>
      </c>
      <c r="L10" s="49">
        <f>I10-G10</f>
        <v>1385063</v>
      </c>
      <c r="M10" s="24">
        <f t="shared" si="3"/>
        <v>1.0521458863341411</v>
      </c>
    </row>
    <row r="11" spans="2:13" ht="19.5" customHeight="1">
      <c r="B11" s="208"/>
      <c r="C11" s="204" t="s">
        <v>1</v>
      </c>
      <c r="D11" s="99" t="s">
        <v>0</v>
      </c>
      <c r="E11" s="93">
        <f>SUM(E12:E14)</f>
        <v>102609234</v>
      </c>
      <c r="F11" s="93">
        <f>SUM(F12:F14)</f>
        <v>7811264</v>
      </c>
      <c r="G11" s="93">
        <f>SUM(G12:G14)</f>
        <v>23966707</v>
      </c>
      <c r="H11" s="93">
        <f>SUM(H12:H14)</f>
        <v>8083841</v>
      </c>
      <c r="I11" s="93">
        <f>SUM(I12:I14)</f>
        <v>25115355</v>
      </c>
      <c r="J11" s="94">
        <f t="shared" si="0"/>
        <v>272577</v>
      </c>
      <c r="K11" s="95">
        <f t="shared" si="1"/>
        <v>1.0348953767277613</v>
      </c>
      <c r="L11" s="96">
        <f t="shared" si="2"/>
        <v>1148648</v>
      </c>
      <c r="M11" s="97">
        <f t="shared" si="3"/>
        <v>1.0479268178143957</v>
      </c>
    </row>
    <row r="12" spans="2:13" ht="19.5" customHeight="1">
      <c r="B12" s="208"/>
      <c r="C12" s="205"/>
      <c r="D12" s="5" t="s">
        <v>5</v>
      </c>
      <c r="E12" s="46">
        <v>80537389</v>
      </c>
      <c r="F12" s="46">
        <v>5726501</v>
      </c>
      <c r="G12" s="46">
        <v>18536874</v>
      </c>
      <c r="H12" s="46">
        <v>6471011</v>
      </c>
      <c r="I12" s="46">
        <v>20263901</v>
      </c>
      <c r="J12" s="94">
        <f t="shared" si="0"/>
        <v>744510</v>
      </c>
      <c r="K12" s="18">
        <f t="shared" si="1"/>
        <v>1.1300113280343442</v>
      </c>
      <c r="L12" s="48">
        <f t="shared" si="2"/>
        <v>1727027</v>
      </c>
      <c r="M12" s="26">
        <f t="shared" si="3"/>
        <v>1.0931671111321144</v>
      </c>
    </row>
    <row r="13" spans="2:13" ht="19.5" customHeight="1">
      <c r="B13" s="208"/>
      <c r="C13" s="205"/>
      <c r="D13" s="5" t="s">
        <v>6</v>
      </c>
      <c r="E13" s="46">
        <v>15743706</v>
      </c>
      <c r="F13" s="46">
        <v>1552336</v>
      </c>
      <c r="G13" s="46">
        <v>4018271</v>
      </c>
      <c r="H13" s="46">
        <v>1191619</v>
      </c>
      <c r="I13" s="46">
        <v>3480693</v>
      </c>
      <c r="J13" s="94">
        <f t="shared" si="0"/>
        <v>-360717</v>
      </c>
      <c r="K13" s="18">
        <f t="shared" si="1"/>
        <v>0.76762955957988477</v>
      </c>
      <c r="L13" s="48">
        <f t="shared" si="2"/>
        <v>-537578</v>
      </c>
      <c r="M13" s="26">
        <f t="shared" si="3"/>
        <v>0.86621658917479682</v>
      </c>
    </row>
    <row r="14" spans="2:13" ht="19.5" customHeight="1">
      <c r="B14" s="208"/>
      <c r="C14" s="206"/>
      <c r="D14" s="5" t="s">
        <v>13</v>
      </c>
      <c r="E14" s="46">
        <v>6328139</v>
      </c>
      <c r="F14" s="46">
        <v>532427</v>
      </c>
      <c r="G14" s="46">
        <v>1411562</v>
      </c>
      <c r="H14" s="46">
        <v>421211</v>
      </c>
      <c r="I14" s="46">
        <v>1370761</v>
      </c>
      <c r="J14" s="94">
        <f t="shared" si="0"/>
        <v>-111216</v>
      </c>
      <c r="K14" s="18">
        <f>H14/F14</f>
        <v>0.79111502609747442</v>
      </c>
      <c r="L14" s="48">
        <f t="shared" si="2"/>
        <v>-40801</v>
      </c>
      <c r="M14" s="26">
        <f t="shared" si="3"/>
        <v>0.97109514141072084</v>
      </c>
    </row>
    <row r="15" spans="2:13" ht="19.5" customHeight="1">
      <c r="B15" s="208"/>
      <c r="C15" s="214" t="s">
        <v>2</v>
      </c>
      <c r="D15" s="98" t="s">
        <v>0</v>
      </c>
      <c r="E15" s="88">
        <f>SUM(E16:E18)</f>
        <v>10592097</v>
      </c>
      <c r="F15" s="88">
        <f>SUM(F16:F18)</f>
        <v>699352</v>
      </c>
      <c r="G15" s="88">
        <f>SUM(G16:G18)</f>
        <v>2594602</v>
      </c>
      <c r="H15" s="88">
        <f>SUM(H16:H18)</f>
        <v>999142</v>
      </c>
      <c r="I15" s="88">
        <f>SUM(I16:I18)</f>
        <v>2831017</v>
      </c>
      <c r="J15" s="89">
        <f t="shared" si="0"/>
        <v>299790</v>
      </c>
      <c r="K15" s="90">
        <f t="shared" si="1"/>
        <v>1.4286682528969674</v>
      </c>
      <c r="L15" s="91">
        <f t="shared" si="2"/>
        <v>236415</v>
      </c>
      <c r="M15" s="92">
        <f t="shared" si="3"/>
        <v>1.0911180211839813</v>
      </c>
    </row>
    <row r="16" spans="2:13" ht="19.5" customHeight="1">
      <c r="B16" s="208"/>
      <c r="C16" s="215"/>
      <c r="D16" s="5" t="s">
        <v>3</v>
      </c>
      <c r="E16" s="46">
        <v>7499173</v>
      </c>
      <c r="F16" s="46">
        <v>473850</v>
      </c>
      <c r="G16" s="46">
        <v>1832107</v>
      </c>
      <c r="H16" s="46">
        <v>732314</v>
      </c>
      <c r="I16" s="46">
        <v>2018382</v>
      </c>
      <c r="J16" s="89">
        <f t="shared" si="0"/>
        <v>258464</v>
      </c>
      <c r="K16" s="18">
        <f t="shared" si="1"/>
        <v>1.5454553128627202</v>
      </c>
      <c r="L16" s="48">
        <f t="shared" si="2"/>
        <v>186275</v>
      </c>
      <c r="M16" s="26">
        <f t="shared" si="3"/>
        <v>1.1016725551509818</v>
      </c>
    </row>
    <row r="17" spans="1:13" ht="19.5" customHeight="1">
      <c r="B17" s="208"/>
      <c r="C17" s="215"/>
      <c r="D17" s="6" t="s">
        <v>4</v>
      </c>
      <c r="E17" s="47">
        <v>3086684</v>
      </c>
      <c r="F17" s="47">
        <v>225502</v>
      </c>
      <c r="G17" s="47">
        <v>762495</v>
      </c>
      <c r="H17" s="47">
        <v>263000</v>
      </c>
      <c r="I17" s="47">
        <v>808466</v>
      </c>
      <c r="J17" s="89">
        <f t="shared" si="0"/>
        <v>37498</v>
      </c>
      <c r="K17" s="18">
        <f t="shared" si="1"/>
        <v>1.1662867735097693</v>
      </c>
      <c r="L17" s="48">
        <f t="shared" si="2"/>
        <v>45971</v>
      </c>
      <c r="M17" s="26">
        <f t="shared" si="3"/>
        <v>1.0602902314113536</v>
      </c>
    </row>
    <row r="18" spans="1:13" ht="19.5" customHeight="1">
      <c r="B18" s="209"/>
      <c r="C18" s="216"/>
      <c r="D18" s="6" t="s">
        <v>17</v>
      </c>
      <c r="E18" s="47">
        <v>6240</v>
      </c>
      <c r="F18" s="165">
        <v>0</v>
      </c>
      <c r="G18" s="165">
        <v>0</v>
      </c>
      <c r="H18" s="47">
        <v>3828</v>
      </c>
      <c r="I18" s="47">
        <v>4169</v>
      </c>
      <c r="J18" s="89">
        <f t="shared" si="0"/>
        <v>3828</v>
      </c>
      <c r="K18" s="18" t="e">
        <f t="shared" si="1"/>
        <v>#DIV/0!</v>
      </c>
      <c r="L18" s="48">
        <f t="shared" si="2"/>
        <v>4169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0" t="s">
        <v>23</v>
      </c>
      <c r="L19" s="211"/>
      <c r="M19" s="212"/>
    </row>
    <row r="20" spans="1:13" ht="21.2" customHeight="1">
      <c r="B20" s="28"/>
      <c r="C20" s="182" t="s">
        <v>8</v>
      </c>
      <c r="D20" s="183"/>
      <c r="E20" s="105">
        <f>SUM(E21,E25)</f>
        <v>725047</v>
      </c>
      <c r="F20" s="3">
        <f>SUM(F21,F25)</f>
        <v>62456</v>
      </c>
      <c r="G20" s="3">
        <f>SUM(G21,G25)</f>
        <v>159106</v>
      </c>
      <c r="H20" s="105">
        <f>SUM(H21,H25)</f>
        <v>64627</v>
      </c>
      <c r="I20" s="105">
        <f>SUM(I21,I25)</f>
        <v>158135</v>
      </c>
      <c r="J20" s="106">
        <f t="shared" si="0"/>
        <v>2171</v>
      </c>
      <c r="K20" s="107">
        <f t="shared" si="1"/>
        <v>1.0347604713718457</v>
      </c>
      <c r="L20" s="108">
        <f t="shared" si="2"/>
        <v>-971</v>
      </c>
      <c r="M20" s="24">
        <f>I20/G20</f>
        <v>0.99389715032745463</v>
      </c>
    </row>
    <row r="21" spans="1:13" ht="19.5" customHeight="1">
      <c r="B21" s="25"/>
      <c r="C21" s="197" t="s">
        <v>1</v>
      </c>
      <c r="D21" s="100" t="s">
        <v>0</v>
      </c>
      <c r="E21" s="101">
        <f>SUM(E22:E24)</f>
        <v>725047</v>
      </c>
      <c r="F21" s="101">
        <f>SUM(F22:F24)</f>
        <v>62456</v>
      </c>
      <c r="G21" s="101">
        <f>SUM(G22:G24)</f>
        <v>159106</v>
      </c>
      <c r="H21" s="101">
        <f>SUM(H22:H24)</f>
        <v>64627</v>
      </c>
      <c r="I21" s="101">
        <f>SUM(I22:I24)</f>
        <v>158135</v>
      </c>
      <c r="J21" s="102">
        <f t="shared" si="0"/>
        <v>2171</v>
      </c>
      <c r="K21" s="103">
        <f t="shared" si="1"/>
        <v>1.0347604713718457</v>
      </c>
      <c r="L21" s="104">
        <f t="shared" si="2"/>
        <v>-971</v>
      </c>
      <c r="M21" s="97">
        <f t="shared" si="3"/>
        <v>0.99389715032745463</v>
      </c>
    </row>
    <row r="22" spans="1:13" ht="19.5" customHeight="1">
      <c r="B22" s="171" t="s">
        <v>19</v>
      </c>
      <c r="C22" s="197"/>
      <c r="D22" s="52" t="s">
        <v>5</v>
      </c>
      <c r="E22" s="54">
        <v>359665</v>
      </c>
      <c r="F22" s="54">
        <v>31736</v>
      </c>
      <c r="G22" s="54">
        <v>79612</v>
      </c>
      <c r="H22" s="54">
        <v>32321</v>
      </c>
      <c r="I22" s="54">
        <v>77679</v>
      </c>
      <c r="J22" s="102">
        <f t="shared" si="0"/>
        <v>585</v>
      </c>
      <c r="K22" s="51">
        <f t="shared" si="1"/>
        <v>1.0184333249306781</v>
      </c>
      <c r="L22" s="23">
        <f t="shared" si="2"/>
        <v>-1933</v>
      </c>
      <c r="M22" s="26">
        <f t="shared" si="3"/>
        <v>0.97571974074260159</v>
      </c>
    </row>
    <row r="23" spans="1:13" ht="19.5" customHeight="1">
      <c r="B23" s="171" t="s">
        <v>20</v>
      </c>
      <c r="C23" s="197"/>
      <c r="D23" s="2" t="s">
        <v>14</v>
      </c>
      <c r="E23" s="54">
        <v>353048</v>
      </c>
      <c r="F23" s="54">
        <v>29600</v>
      </c>
      <c r="G23" s="54">
        <v>76901</v>
      </c>
      <c r="H23" s="54">
        <v>30659</v>
      </c>
      <c r="I23" s="54">
        <v>77094</v>
      </c>
      <c r="J23" s="102">
        <f t="shared" si="0"/>
        <v>1059</v>
      </c>
      <c r="K23" s="51">
        <f t="shared" si="1"/>
        <v>1.035777027027027</v>
      </c>
      <c r="L23" s="19">
        <f t="shared" si="2"/>
        <v>193</v>
      </c>
      <c r="M23" s="26">
        <f t="shared" si="3"/>
        <v>1.0025097202897231</v>
      </c>
    </row>
    <row r="24" spans="1:13" ht="19.5" customHeight="1">
      <c r="B24" s="31"/>
      <c r="C24" s="197"/>
      <c r="D24" s="2" t="s">
        <v>13</v>
      </c>
      <c r="E24" s="54">
        <v>12334</v>
      </c>
      <c r="F24" s="54">
        <v>1120</v>
      </c>
      <c r="G24" s="54">
        <v>2593</v>
      </c>
      <c r="H24" s="54">
        <v>1647</v>
      </c>
      <c r="I24" s="54">
        <v>3362</v>
      </c>
      <c r="J24" s="102">
        <f t="shared" si="0"/>
        <v>527</v>
      </c>
      <c r="K24" s="51">
        <f t="shared" si="1"/>
        <v>1.4705357142857143</v>
      </c>
      <c r="L24" s="19">
        <f t="shared" si="2"/>
        <v>769</v>
      </c>
      <c r="M24" s="26">
        <f t="shared" si="3"/>
        <v>1.2965676822213652</v>
      </c>
    </row>
    <row r="25" spans="1:13" ht="19.5" customHeight="1">
      <c r="B25" s="25"/>
      <c r="C25" s="174" t="s">
        <v>2</v>
      </c>
      <c r="D25" s="100" t="s">
        <v>72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4"/>
      <c r="D26" s="100" t="s">
        <v>72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4"/>
      <c r="D27" s="100" t="s">
        <v>72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175" t="s">
        <v>69</v>
      </c>
      <c r="C28" s="176"/>
      <c r="D28" s="177"/>
      <c r="E28" s="147">
        <v>1523131</v>
      </c>
      <c r="F28" s="147">
        <v>127463</v>
      </c>
      <c r="G28" s="147">
        <v>340452</v>
      </c>
      <c r="H28" s="147">
        <v>121045</v>
      </c>
      <c r="I28" s="147">
        <v>316600</v>
      </c>
      <c r="J28" s="148">
        <f t="shared" si="0"/>
        <v>-6418</v>
      </c>
      <c r="K28" s="149">
        <f t="shared" si="1"/>
        <v>0.94964813318374741</v>
      </c>
      <c r="L28" s="150">
        <f t="shared" si="2"/>
        <v>-23852</v>
      </c>
      <c r="M28" s="151">
        <f t="shared" si="3"/>
        <v>0.92994019714967158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0" customFormat="1" ht="18.75" customHeight="1">
      <c r="A30" s="180" t="s">
        <v>27</v>
      </c>
    </row>
    <row r="31" spans="1:13" s="53" customFormat="1" ht="21.2" customHeight="1">
      <c r="B31" s="179" t="s">
        <v>24</v>
      </c>
      <c r="C31" s="179"/>
      <c r="D31" s="133"/>
      <c r="E31" s="133"/>
      <c r="F31" s="133"/>
      <c r="G31" s="133"/>
      <c r="H31" s="179" t="s">
        <v>25</v>
      </c>
      <c r="I31" s="179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78" customFormat="1" ht="24" customHeight="1"/>
    <row r="41" spans="2:13" ht="19.5" customHeight="1">
      <c r="B41" s="172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</row>
    <row r="42" spans="2:13" ht="19.5" customHeight="1">
      <c r="B42" s="172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P7" sqref="P7"/>
    </sheetView>
  </sheetViews>
  <sheetFormatPr defaultRowHeight="14.25"/>
  <cols>
    <col min="1" max="1" width="11.25" customWidth="1"/>
    <col min="2" max="6" width="8.75" customWidth="1"/>
    <col min="7" max="7" width="9.75" customWidth="1"/>
    <col min="8" max="8" width="12.125" customWidth="1"/>
    <col min="9" max="13" width="8.875" customWidth="1"/>
    <col min="14" max="14" width="13.37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17" t="s">
        <v>76</v>
      </c>
      <c r="G2" s="217"/>
      <c r="H2"/>
      <c r="I2"/>
      <c r="J2"/>
      <c r="K2" s="166"/>
      <c r="L2" s="166"/>
      <c r="M2" s="217" t="s">
        <v>29</v>
      </c>
      <c r="N2" s="217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7">
        <v>20.3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8">
        <f>$G$3</f>
        <v>20.3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4361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27946.371999999999</v>
      </c>
    </row>
    <row r="5" spans="1:27" s="58" customFormat="1" ht="30.2" customHeight="1" thickBot="1">
      <c r="A5"/>
      <c r="B5"/>
      <c r="C5"/>
      <c r="D5" s="166"/>
      <c r="E5" s="166"/>
      <c r="F5" s="218" t="s">
        <v>33</v>
      </c>
      <c r="G5" s="218"/>
      <c r="H5" s="63"/>
      <c r="I5" s="64"/>
      <c r="J5" s="64"/>
      <c r="K5" s="166"/>
      <c r="L5" s="166"/>
      <c r="M5" s="218" t="s">
        <v>34</v>
      </c>
      <c r="N5" s="218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8">
        <f>$G$3</f>
        <v>20.3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8">
        <f>$G$3</f>
        <v>20.3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158135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P11" sqref="P11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39" t="s">
        <v>39</v>
      </c>
      <c r="B2" s="240"/>
      <c r="C2" s="240"/>
      <c r="D2" s="243" t="s">
        <v>40</v>
      </c>
      <c r="E2" s="76"/>
      <c r="F2" s="245" t="s">
        <v>73</v>
      </c>
      <c r="G2" s="246"/>
      <c r="H2" s="235" t="s">
        <v>75</v>
      </c>
      <c r="I2" s="235"/>
      <c r="J2" s="235" t="s">
        <v>41</v>
      </c>
      <c r="K2" s="235"/>
      <c r="L2" s="235"/>
      <c r="M2" s="236"/>
    </row>
    <row r="3" spans="1:13" ht="21.95" customHeight="1">
      <c r="A3" s="241"/>
      <c r="B3" s="242"/>
      <c r="C3" s="242"/>
      <c r="D3" s="244"/>
      <c r="E3" s="77" t="s">
        <v>42</v>
      </c>
      <c r="F3" s="77" t="str">
        <f>통계요약!F6</f>
        <v>3월(A)</v>
      </c>
      <c r="G3" s="77" t="str">
        <f>통계요약!G6</f>
        <v>3월누계(B)</v>
      </c>
      <c r="H3" s="77" t="str">
        <f>통계요약!H6</f>
        <v>3월(C)</v>
      </c>
      <c r="I3" s="77" t="str">
        <f>통계요약!I6</f>
        <v>3월누계(D)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37" t="s">
        <v>46</v>
      </c>
      <c r="B4" s="238"/>
      <c r="C4" s="238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62456</v>
      </c>
      <c r="G4" s="121">
        <f>SUM(G6,G8,G10,G12,G14,G16,G18,G22,G24,G26,G28,G20)</f>
        <v>159078</v>
      </c>
      <c r="H4" s="121">
        <f>SUM(H6,H8,H12,H14,H16,H18,H22,H24,H26,H28,H20,H10)</f>
        <v>64627</v>
      </c>
      <c r="I4" s="121">
        <f>SUM(I6,I8,I12,I14,I16,I18,I22,I24,I26,I28,I20,I10)</f>
        <v>158135</v>
      </c>
      <c r="J4" s="110">
        <f t="shared" ref="J4:J27" si="0">H4-F4</f>
        <v>2171</v>
      </c>
      <c r="K4" s="111">
        <f t="shared" ref="K4:K27" si="1">(H4/F4*100)-100</f>
        <v>3.4760471371845654</v>
      </c>
      <c r="L4" s="112">
        <f t="shared" ref="L4:L27" si="2">I4-G4</f>
        <v>-943</v>
      </c>
      <c r="M4" s="127">
        <f t="shared" ref="M4:M27" si="3">(I4/G4*100)-100</f>
        <v>-0.59279095789487712</v>
      </c>
    </row>
    <row r="5" spans="1:13" ht="21.95" customHeight="1">
      <c r="A5" s="237"/>
      <c r="B5" s="238"/>
      <c r="C5" s="238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1153191</v>
      </c>
      <c r="G5" s="121">
        <f>SUM(G7,G9,G11,G13,G15,G17,G19,G23,G25,G27,G29,G21)</f>
        <v>2528037</v>
      </c>
      <c r="H5" s="121">
        <f>SUM(H7,H9,H13,H15,H17,H19,H23,H25,H27,H29,H21,H11)</f>
        <v>945854</v>
      </c>
      <c r="I5" s="121">
        <f>SUM(I7,I9,I13,I15,I17,I19,I23,I25,I27,I29,I21,I11)</f>
        <v>2273397</v>
      </c>
      <c r="J5" s="110">
        <f t="shared" si="0"/>
        <v>-207337</v>
      </c>
      <c r="K5" s="111">
        <f t="shared" si="1"/>
        <v>-17.979415378718699</v>
      </c>
      <c r="L5" s="112">
        <f t="shared" si="2"/>
        <v>-254640</v>
      </c>
      <c r="M5" s="127">
        <f t="shared" si="3"/>
        <v>-10.072637386240785</v>
      </c>
    </row>
    <row r="6" spans="1:13" ht="21.2" customHeight="1">
      <c r="A6" s="225" t="s">
        <v>53</v>
      </c>
      <c r="B6" s="226"/>
      <c r="C6" s="226"/>
      <c r="D6" s="81" t="s">
        <v>47</v>
      </c>
      <c r="E6" s="122">
        <v>35729</v>
      </c>
      <c r="F6" s="122">
        <v>2893</v>
      </c>
      <c r="G6" s="122">
        <v>7840</v>
      </c>
      <c r="H6" s="122">
        <v>3065</v>
      </c>
      <c r="I6" s="122">
        <v>7612</v>
      </c>
      <c r="J6" s="113">
        <f t="shared" ref="J6:J18" si="4">H6-F6</f>
        <v>172</v>
      </c>
      <c r="K6" s="114">
        <f t="shared" ref="K6:K17" si="5">(H6/F6*100)-100</f>
        <v>5.9453854130660204</v>
      </c>
      <c r="L6" s="115">
        <f t="shared" si="2"/>
        <v>-228</v>
      </c>
      <c r="M6" s="128">
        <f t="shared" si="3"/>
        <v>-2.9081632653061149</v>
      </c>
    </row>
    <row r="7" spans="1:13" ht="21.2" customHeight="1">
      <c r="A7" s="225"/>
      <c r="B7" s="226"/>
      <c r="C7" s="226"/>
      <c r="D7" s="81" t="s">
        <v>48</v>
      </c>
      <c r="E7" s="122">
        <v>661078</v>
      </c>
      <c r="F7" s="122">
        <v>54200</v>
      </c>
      <c r="G7" s="122">
        <v>146798</v>
      </c>
      <c r="H7" s="122">
        <v>58676</v>
      </c>
      <c r="I7" s="122">
        <v>140818</v>
      </c>
      <c r="J7" s="113">
        <f t="shared" si="4"/>
        <v>4476</v>
      </c>
      <c r="K7" s="114">
        <f t="shared" si="5"/>
        <v>8.2583025830258237</v>
      </c>
      <c r="L7" s="115">
        <f t="shared" si="2"/>
        <v>-5980</v>
      </c>
      <c r="M7" s="128">
        <f t="shared" si="3"/>
        <v>-4.0736249812667751</v>
      </c>
    </row>
    <row r="8" spans="1:13" ht="21.2" customHeight="1">
      <c r="A8" s="225" t="s">
        <v>54</v>
      </c>
      <c r="B8" s="226"/>
      <c r="C8" s="226"/>
      <c r="D8" s="81" t="s">
        <v>47</v>
      </c>
      <c r="E8" s="122">
        <v>59188</v>
      </c>
      <c r="F8" s="122">
        <v>5242</v>
      </c>
      <c r="G8" s="122">
        <v>13989</v>
      </c>
      <c r="H8" s="122">
        <v>5639</v>
      </c>
      <c r="I8" s="122">
        <v>12178</v>
      </c>
      <c r="J8" s="113">
        <f t="shared" si="4"/>
        <v>397</v>
      </c>
      <c r="K8" s="114">
        <f t="shared" si="5"/>
        <v>7.5734452499046228</v>
      </c>
      <c r="L8" s="115">
        <f t="shared" si="2"/>
        <v>-1811</v>
      </c>
      <c r="M8" s="128">
        <f t="shared" si="3"/>
        <v>-12.945886053327612</v>
      </c>
    </row>
    <row r="9" spans="1:13" ht="21.2" customHeight="1">
      <c r="A9" s="225"/>
      <c r="B9" s="226"/>
      <c r="C9" s="226"/>
      <c r="D9" s="81" t="s">
        <v>48</v>
      </c>
      <c r="E9" s="122">
        <v>905440</v>
      </c>
      <c r="F9" s="122">
        <v>81581</v>
      </c>
      <c r="G9" s="122">
        <v>210283</v>
      </c>
      <c r="H9" s="122">
        <v>92292</v>
      </c>
      <c r="I9" s="122">
        <v>199354</v>
      </c>
      <c r="J9" s="113">
        <f t="shared" si="4"/>
        <v>10711</v>
      </c>
      <c r="K9" s="114">
        <f t="shared" si="5"/>
        <v>13.129282553535759</v>
      </c>
      <c r="L9" s="115">
        <f t="shared" si="2"/>
        <v>-10929</v>
      </c>
      <c r="M9" s="128">
        <f t="shared" si="3"/>
        <v>-5.1972817583922648</v>
      </c>
    </row>
    <row r="10" spans="1:13" ht="21.2" customHeight="1">
      <c r="A10" s="219" t="s">
        <v>66</v>
      </c>
      <c r="B10" s="220"/>
      <c r="C10" s="221"/>
      <c r="D10" s="81" t="s">
        <v>47</v>
      </c>
      <c r="E10" s="122">
        <v>1727</v>
      </c>
      <c r="F10" s="122">
        <v>156</v>
      </c>
      <c r="G10" s="122">
        <v>324</v>
      </c>
      <c r="H10" s="164">
        <v>0</v>
      </c>
      <c r="I10" s="164">
        <v>0</v>
      </c>
      <c r="J10" s="113">
        <f t="shared" si="4"/>
        <v>-156</v>
      </c>
      <c r="K10" s="114">
        <f t="shared" si="5"/>
        <v>-100</v>
      </c>
      <c r="L10" s="115">
        <f t="shared" si="2"/>
        <v>-324</v>
      </c>
      <c r="M10" s="128">
        <f t="shared" si="3"/>
        <v>-100</v>
      </c>
    </row>
    <row r="11" spans="1:13" ht="21.2" customHeight="1">
      <c r="A11" s="222"/>
      <c r="B11" s="223"/>
      <c r="C11" s="224"/>
      <c r="D11" s="81" t="s">
        <v>65</v>
      </c>
      <c r="E11" s="122">
        <v>36095</v>
      </c>
      <c r="F11" s="122">
        <v>2589</v>
      </c>
      <c r="G11" s="122">
        <v>5710</v>
      </c>
      <c r="H11" s="164">
        <v>0</v>
      </c>
      <c r="I11" s="164">
        <v>0</v>
      </c>
      <c r="J11" s="113">
        <f t="shared" si="4"/>
        <v>-2589</v>
      </c>
      <c r="K11" s="114">
        <f t="shared" si="5"/>
        <v>-100</v>
      </c>
      <c r="L11" s="115">
        <f t="shared" si="2"/>
        <v>-5710</v>
      </c>
      <c r="M11" s="128">
        <f t="shared" si="3"/>
        <v>-100</v>
      </c>
    </row>
    <row r="12" spans="1:13" ht="21.2" customHeight="1">
      <c r="A12" s="225" t="s">
        <v>55</v>
      </c>
      <c r="B12" s="226"/>
      <c r="C12" s="226"/>
      <c r="D12" s="81" t="s">
        <v>47</v>
      </c>
      <c r="E12" s="122">
        <v>60588</v>
      </c>
      <c r="F12" s="122">
        <v>4856</v>
      </c>
      <c r="G12" s="122">
        <v>10050</v>
      </c>
      <c r="H12" s="122">
        <v>6053</v>
      </c>
      <c r="I12" s="122">
        <v>15814</v>
      </c>
      <c r="J12" s="113">
        <f t="shared" si="4"/>
        <v>1197</v>
      </c>
      <c r="K12" s="114">
        <f t="shared" si="5"/>
        <v>24.649917627677098</v>
      </c>
      <c r="L12" s="115">
        <f t="shared" si="2"/>
        <v>5764</v>
      </c>
      <c r="M12" s="128">
        <f t="shared" si="3"/>
        <v>57.353233830845767</v>
      </c>
    </row>
    <row r="13" spans="1:13" ht="21.2" customHeight="1">
      <c r="A13" s="225"/>
      <c r="B13" s="226"/>
      <c r="C13" s="226"/>
      <c r="D13" s="81" t="s">
        <v>48</v>
      </c>
      <c r="E13" s="122">
        <v>474427</v>
      </c>
      <c r="F13" s="122">
        <v>27512</v>
      </c>
      <c r="G13" s="122">
        <v>66187</v>
      </c>
      <c r="H13" s="122">
        <v>73041</v>
      </c>
      <c r="I13" s="122">
        <v>208923</v>
      </c>
      <c r="J13" s="113">
        <f t="shared" si="4"/>
        <v>45529</v>
      </c>
      <c r="K13" s="114">
        <f t="shared" si="5"/>
        <v>165.48778714742656</v>
      </c>
      <c r="L13" s="115">
        <f t="shared" si="2"/>
        <v>142736</v>
      </c>
      <c r="M13" s="128">
        <f t="shared" si="3"/>
        <v>215.65564234668437</v>
      </c>
    </row>
    <row r="14" spans="1:13" ht="21.2" customHeight="1">
      <c r="A14" s="225" t="s">
        <v>62</v>
      </c>
      <c r="B14" s="226"/>
      <c r="C14" s="226"/>
      <c r="D14" s="81" t="s">
        <v>47</v>
      </c>
      <c r="E14" s="122">
        <v>173357</v>
      </c>
      <c r="F14" s="122">
        <v>12557</v>
      </c>
      <c r="G14" s="122">
        <v>39528</v>
      </c>
      <c r="H14" s="122">
        <v>15673</v>
      </c>
      <c r="I14" s="122">
        <v>42210</v>
      </c>
      <c r="J14" s="113">
        <f t="shared" si="4"/>
        <v>3116</v>
      </c>
      <c r="K14" s="114">
        <f t="shared" si="5"/>
        <v>24.81484430994665</v>
      </c>
      <c r="L14" s="115">
        <f t="shared" si="2"/>
        <v>2682</v>
      </c>
      <c r="M14" s="128">
        <f t="shared" si="3"/>
        <v>6.7850637522768693</v>
      </c>
    </row>
    <row r="15" spans="1:13" ht="21.2" customHeight="1">
      <c r="A15" s="225"/>
      <c r="B15" s="226"/>
      <c r="C15" s="226"/>
      <c r="D15" s="81" t="s">
        <v>48</v>
      </c>
      <c r="E15" s="122">
        <v>3000801</v>
      </c>
      <c r="F15" s="122">
        <v>422972</v>
      </c>
      <c r="G15" s="122">
        <v>778695</v>
      </c>
      <c r="H15" s="122">
        <v>180184</v>
      </c>
      <c r="I15" s="122">
        <v>513325</v>
      </c>
      <c r="J15" s="113">
        <f t="shared" si="4"/>
        <v>-242788</v>
      </c>
      <c r="K15" s="114">
        <f t="shared" si="5"/>
        <v>-57.400489866941548</v>
      </c>
      <c r="L15" s="115">
        <f t="shared" si="2"/>
        <v>-265370</v>
      </c>
      <c r="M15" s="128">
        <f t="shared" si="3"/>
        <v>-34.078811344621457</v>
      </c>
    </row>
    <row r="16" spans="1:13" ht="21.2" customHeight="1">
      <c r="A16" s="225" t="s">
        <v>56</v>
      </c>
      <c r="B16" s="226"/>
      <c r="C16" s="226"/>
      <c r="D16" s="81" t="s">
        <v>47</v>
      </c>
      <c r="E16" s="122">
        <v>167550</v>
      </c>
      <c r="F16" s="122">
        <v>16357</v>
      </c>
      <c r="G16" s="122">
        <v>39617</v>
      </c>
      <c r="H16" s="122">
        <v>16512</v>
      </c>
      <c r="I16" s="122">
        <v>37677</v>
      </c>
      <c r="J16" s="113">
        <f t="shared" si="4"/>
        <v>155</v>
      </c>
      <c r="K16" s="82">
        <f t="shared" si="5"/>
        <v>0.94760652931466893</v>
      </c>
      <c r="L16" s="83">
        <f t="shared" si="2"/>
        <v>-1940</v>
      </c>
      <c r="M16" s="129">
        <f t="shared" si="3"/>
        <v>-4.8968876997248572</v>
      </c>
    </row>
    <row r="17" spans="1:13" ht="21.2" customHeight="1">
      <c r="A17" s="225"/>
      <c r="B17" s="226"/>
      <c r="C17" s="226"/>
      <c r="D17" s="81" t="s">
        <v>48</v>
      </c>
      <c r="E17" s="122">
        <v>2696085</v>
      </c>
      <c r="F17" s="122">
        <v>273390</v>
      </c>
      <c r="G17" s="122">
        <v>643355</v>
      </c>
      <c r="H17" s="122">
        <v>274085</v>
      </c>
      <c r="I17" s="122">
        <v>590207</v>
      </c>
      <c r="J17" s="113">
        <f t="shared" si="4"/>
        <v>695</v>
      </c>
      <c r="K17" s="82">
        <f t="shared" si="5"/>
        <v>0.25421558945095057</v>
      </c>
      <c r="L17" s="83">
        <f t="shared" si="2"/>
        <v>-53148</v>
      </c>
      <c r="M17" s="129">
        <f t="shared" si="3"/>
        <v>-8.2610689277304061</v>
      </c>
    </row>
    <row r="18" spans="1:13" ht="21.2" customHeight="1">
      <c r="A18" s="229" t="s">
        <v>70</v>
      </c>
      <c r="B18" s="230"/>
      <c r="C18" s="230"/>
      <c r="D18" s="154" t="s">
        <v>47</v>
      </c>
      <c r="E18" s="153">
        <v>225</v>
      </c>
      <c r="F18" s="163">
        <v>0</v>
      </c>
      <c r="G18" s="163">
        <v>0</v>
      </c>
      <c r="H18" s="163">
        <v>0</v>
      </c>
      <c r="I18" s="163">
        <v>0</v>
      </c>
      <c r="J18" s="155">
        <f t="shared" si="4"/>
        <v>0</v>
      </c>
      <c r="K18" s="156" t="s">
        <v>68</v>
      </c>
      <c r="L18" s="157">
        <f t="shared" si="2"/>
        <v>0</v>
      </c>
      <c r="M18" s="158">
        <v>0</v>
      </c>
    </row>
    <row r="19" spans="1:13" ht="21.2" customHeight="1">
      <c r="A19" s="231"/>
      <c r="B19" s="232"/>
      <c r="C19" s="232"/>
      <c r="D19" s="159" t="s">
        <v>48</v>
      </c>
      <c r="E19" s="153">
        <v>4766</v>
      </c>
      <c r="F19" s="163">
        <v>0</v>
      </c>
      <c r="G19" s="163">
        <v>0</v>
      </c>
      <c r="H19" s="163">
        <v>0</v>
      </c>
      <c r="I19" s="163">
        <v>0</v>
      </c>
      <c r="J19" s="155">
        <f t="shared" si="0"/>
        <v>0</v>
      </c>
      <c r="K19" s="160" t="s">
        <v>68</v>
      </c>
      <c r="L19" s="161">
        <f t="shared" si="2"/>
        <v>0</v>
      </c>
      <c r="M19" s="162">
        <v>0</v>
      </c>
    </row>
    <row r="20" spans="1:13" ht="21.2" customHeight="1">
      <c r="A20" s="219" t="s">
        <v>63</v>
      </c>
      <c r="B20" s="220"/>
      <c r="C20" s="221"/>
      <c r="D20" s="84" t="s">
        <v>64</v>
      </c>
      <c r="E20" s="122">
        <v>178</v>
      </c>
      <c r="F20" s="163">
        <v>14</v>
      </c>
      <c r="G20" s="163">
        <v>16</v>
      </c>
      <c r="H20" s="163">
        <v>28</v>
      </c>
      <c r="I20" s="163">
        <v>28</v>
      </c>
      <c r="J20" s="113">
        <f t="shared" si="0"/>
        <v>14</v>
      </c>
      <c r="K20" s="145" t="s">
        <v>68</v>
      </c>
      <c r="L20" s="117">
        <f t="shared" si="2"/>
        <v>12</v>
      </c>
      <c r="M20" s="130">
        <f t="shared" si="3"/>
        <v>75</v>
      </c>
    </row>
    <row r="21" spans="1:13" ht="21.2" customHeight="1">
      <c r="A21" s="222"/>
      <c r="B21" s="223"/>
      <c r="C21" s="224"/>
      <c r="D21" s="84" t="s">
        <v>65</v>
      </c>
      <c r="E21" s="122">
        <v>1254</v>
      </c>
      <c r="F21" s="163">
        <v>126</v>
      </c>
      <c r="G21" s="163">
        <v>140</v>
      </c>
      <c r="H21" s="163">
        <v>216</v>
      </c>
      <c r="I21" s="163">
        <v>216</v>
      </c>
      <c r="J21" s="113">
        <f t="shared" si="0"/>
        <v>90</v>
      </c>
      <c r="K21" s="145" t="s">
        <v>68</v>
      </c>
      <c r="L21" s="117">
        <f t="shared" si="2"/>
        <v>76</v>
      </c>
      <c r="M21" s="130">
        <f t="shared" si="3"/>
        <v>54.285714285714306</v>
      </c>
    </row>
    <row r="22" spans="1:13" ht="21.2" customHeight="1">
      <c r="A22" s="225" t="s">
        <v>58</v>
      </c>
      <c r="B22" s="226"/>
      <c r="C22" s="226"/>
      <c r="D22" s="81" t="s">
        <v>47</v>
      </c>
      <c r="E22" s="122">
        <v>486</v>
      </c>
      <c r="F22" s="164">
        <v>32</v>
      </c>
      <c r="G22" s="122">
        <v>166</v>
      </c>
      <c r="H22" s="164">
        <v>8</v>
      </c>
      <c r="I22" s="122">
        <v>140</v>
      </c>
      <c r="J22" s="113">
        <f t="shared" si="0"/>
        <v>-24</v>
      </c>
      <c r="K22" s="114">
        <f t="shared" si="1"/>
        <v>-75</v>
      </c>
      <c r="L22" s="115">
        <f t="shared" si="2"/>
        <v>-26</v>
      </c>
      <c r="M22" s="128">
        <f t="shared" si="3"/>
        <v>-15.662650602409627</v>
      </c>
    </row>
    <row r="23" spans="1:13" ht="21.2" customHeight="1">
      <c r="A23" s="233"/>
      <c r="B23" s="234"/>
      <c r="C23" s="234"/>
      <c r="D23" s="84" t="s">
        <v>48</v>
      </c>
      <c r="E23" s="122">
        <v>4285</v>
      </c>
      <c r="F23" s="164">
        <v>285</v>
      </c>
      <c r="G23" s="122">
        <v>1437</v>
      </c>
      <c r="H23" s="164">
        <v>78</v>
      </c>
      <c r="I23" s="122">
        <v>1242</v>
      </c>
      <c r="J23" s="113">
        <f t="shared" si="0"/>
        <v>-207</v>
      </c>
      <c r="K23" s="116">
        <f t="shared" si="1"/>
        <v>-72.631578947368411</v>
      </c>
      <c r="L23" s="117">
        <f t="shared" si="2"/>
        <v>-195</v>
      </c>
      <c r="M23" s="130">
        <f t="shared" si="3"/>
        <v>-13.569937369519835</v>
      </c>
    </row>
    <row r="24" spans="1:13" ht="21.2" customHeight="1">
      <c r="A24" s="225" t="s">
        <v>59</v>
      </c>
      <c r="B24" s="226"/>
      <c r="C24" s="226"/>
      <c r="D24" s="81" t="s">
        <v>47</v>
      </c>
      <c r="E24" s="122">
        <v>81150</v>
      </c>
      <c r="F24" s="122">
        <v>7084</v>
      </c>
      <c r="G24" s="122">
        <v>16650</v>
      </c>
      <c r="H24" s="122">
        <v>5074</v>
      </c>
      <c r="I24" s="122">
        <v>13134</v>
      </c>
      <c r="J24" s="113">
        <f t="shared" si="0"/>
        <v>-2010</v>
      </c>
      <c r="K24" s="114">
        <f t="shared" si="1"/>
        <v>-28.373800112930553</v>
      </c>
      <c r="L24" s="115">
        <f t="shared" si="2"/>
        <v>-3516</v>
      </c>
      <c r="M24" s="128">
        <f t="shared" si="3"/>
        <v>-21.117117117117118</v>
      </c>
    </row>
    <row r="25" spans="1:13" ht="21.2" customHeight="1">
      <c r="A25" s="225"/>
      <c r="B25" s="226"/>
      <c r="C25" s="226"/>
      <c r="D25" s="81" t="s">
        <v>48</v>
      </c>
      <c r="E25" s="122">
        <v>1256097</v>
      </c>
      <c r="F25" s="122">
        <v>107200</v>
      </c>
      <c r="G25" s="122">
        <v>256150</v>
      </c>
      <c r="H25" s="122">
        <v>78954</v>
      </c>
      <c r="I25" s="122">
        <v>198546</v>
      </c>
      <c r="J25" s="113">
        <f t="shared" si="0"/>
        <v>-28246</v>
      </c>
      <c r="K25" s="114">
        <f t="shared" si="1"/>
        <v>-26.348880597014926</v>
      </c>
      <c r="L25" s="115">
        <f t="shared" si="2"/>
        <v>-57604</v>
      </c>
      <c r="M25" s="128">
        <f t="shared" si="3"/>
        <v>-22.488385711497173</v>
      </c>
    </row>
    <row r="26" spans="1:13" ht="21.2" customHeight="1">
      <c r="A26" s="225" t="s">
        <v>60</v>
      </c>
      <c r="B26" s="226"/>
      <c r="C26" s="226"/>
      <c r="D26" s="86" t="s">
        <v>47</v>
      </c>
      <c r="E26" s="123">
        <v>115220</v>
      </c>
      <c r="F26" s="123">
        <v>10451</v>
      </c>
      <c r="G26" s="123">
        <v>24392</v>
      </c>
      <c r="H26" s="123">
        <v>8663</v>
      </c>
      <c r="I26" s="123">
        <v>21686</v>
      </c>
      <c r="J26" s="113">
        <f t="shared" si="0"/>
        <v>-1788</v>
      </c>
      <c r="K26" s="118">
        <f t="shared" si="1"/>
        <v>-17.108410678403985</v>
      </c>
      <c r="L26" s="119">
        <f t="shared" si="2"/>
        <v>-2706</v>
      </c>
      <c r="M26" s="131">
        <f t="shared" si="3"/>
        <v>-11.093801246310264</v>
      </c>
    </row>
    <row r="27" spans="1:13" ht="21.2" customHeight="1">
      <c r="A27" s="225"/>
      <c r="B27" s="226"/>
      <c r="C27" s="226"/>
      <c r="D27" s="84" t="s">
        <v>48</v>
      </c>
      <c r="E27" s="134">
        <v>1551822</v>
      </c>
      <c r="F27" s="134">
        <v>142141</v>
      </c>
      <c r="G27" s="134">
        <v>325633</v>
      </c>
      <c r="H27" s="134">
        <v>128255</v>
      </c>
      <c r="I27" s="134">
        <v>300143</v>
      </c>
      <c r="J27" s="135">
        <f t="shared" si="0"/>
        <v>-13886</v>
      </c>
      <c r="K27" s="116">
        <f t="shared" si="1"/>
        <v>-9.7691728635650605</v>
      </c>
      <c r="L27" s="117">
        <f t="shared" si="2"/>
        <v>-25490</v>
      </c>
      <c r="M27" s="130">
        <f t="shared" si="3"/>
        <v>-7.8278307174027191</v>
      </c>
    </row>
    <row r="28" spans="1:13" ht="21.2" customHeight="1">
      <c r="A28" s="225" t="s">
        <v>61</v>
      </c>
      <c r="B28" s="226"/>
      <c r="C28" s="226"/>
      <c r="D28" s="81" t="s">
        <v>47</v>
      </c>
      <c r="E28" s="122">
        <v>29479</v>
      </c>
      <c r="F28" s="122">
        <v>2814</v>
      </c>
      <c r="G28" s="122">
        <v>6506</v>
      </c>
      <c r="H28" s="122">
        <v>3912</v>
      </c>
      <c r="I28" s="122">
        <v>7656</v>
      </c>
      <c r="J28" s="113">
        <f>H28-F28</f>
        <v>1098</v>
      </c>
      <c r="K28" s="141" t="s">
        <v>67</v>
      </c>
      <c r="L28" s="115">
        <f>I28-G28</f>
        <v>1150</v>
      </c>
      <c r="M28" s="143" t="s">
        <v>67</v>
      </c>
    </row>
    <row r="29" spans="1:13" ht="21.2" customHeight="1" thickBot="1">
      <c r="A29" s="227"/>
      <c r="B29" s="228"/>
      <c r="C29" s="228"/>
      <c r="D29" s="136" t="s">
        <v>48</v>
      </c>
      <c r="E29" s="137">
        <v>456522</v>
      </c>
      <c r="F29" s="137">
        <v>41195</v>
      </c>
      <c r="G29" s="137">
        <v>93649</v>
      </c>
      <c r="H29" s="137">
        <v>60073</v>
      </c>
      <c r="I29" s="137">
        <v>120623</v>
      </c>
      <c r="J29" s="138">
        <f>H29-F29</f>
        <v>18878</v>
      </c>
      <c r="K29" s="142" t="s">
        <v>67</v>
      </c>
      <c r="L29" s="139">
        <f>I29-G29</f>
        <v>26974</v>
      </c>
      <c r="M29" s="144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2020-04-24T07:05:24Z</dcterms:modified>
</cp:coreProperties>
</file>