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9"/>
  <workbookPr/>
  <mc:AlternateContent xmlns:mc="http://schemas.openxmlformats.org/markup-compatibility/2006">
    <mc:Choice Requires="x15">
      <x15ac:absPath xmlns:x15ac="http://schemas.microsoft.com/office/spreadsheetml/2010/11/ac" url="E:\3. 항만운영통계\2024\6월\"/>
    </mc:Choice>
  </mc:AlternateContent>
  <xr:revisionPtr revIDLastSave="0" documentId="13_ncr:1_{804E72A8-D149-4D04-B001-E8E7295453D8}" xr6:coauthVersionLast="36" xr6:coauthVersionMax="36" xr10:uidLastSave="{00000000-0000-0000-0000-000000000000}"/>
  <bookViews>
    <workbookView xWindow="-105" yWindow="-105" windowWidth="23250" windowHeight="12570" tabRatio="601" firstSheet="1" activeTab="1" xr2:uid="{00000000-000D-0000-FFFF-FFFF00000000}"/>
  </bookViews>
  <sheets>
    <sheet name="VXXX" sheetId="27" state="veryHidden" r:id="rId1"/>
    <sheet name="통계요약" sheetId="21" r:id="rId2"/>
    <sheet name="연도별 수송실적" sheetId="33" r:id="rId3"/>
    <sheet name="컨테이너 재게" sheetId="32" r:id="rId4"/>
  </sheets>
  <definedNames>
    <definedName name="_xlnm._FilterDatabase" localSheetId="3" hidden="1">'컨테이너 재게'!$B$7:$AI$39</definedName>
    <definedName name="_xlnm.Print_Area" localSheetId="2">'연도별 수송실적'!$B$1:$P$33</definedName>
    <definedName name="_xlnm.Print_Area" localSheetId="1">통계요약!$A$3:$M$30</definedName>
  </definedNames>
  <calcPr calcId="191029"/>
</workbook>
</file>

<file path=xl/calcChain.xml><?xml version="1.0" encoding="utf-8"?>
<calcChain xmlns="http://schemas.openxmlformats.org/spreadsheetml/2006/main">
  <c r="F9" i="32" l="1"/>
  <c r="F8" i="32"/>
  <c r="E9" i="32"/>
  <c r="E8" i="32"/>
  <c r="D9" i="32"/>
  <c r="D8" i="32"/>
  <c r="L11" i="32" l="1"/>
  <c r="L12" i="32"/>
  <c r="L13" i="32"/>
  <c r="L14" i="32"/>
  <c r="L15" i="32"/>
  <c r="L16" i="32"/>
  <c r="L17" i="32"/>
  <c r="L18" i="32"/>
  <c r="L19" i="32"/>
  <c r="L20" i="32"/>
  <c r="L21" i="32"/>
  <c r="L22" i="32"/>
  <c r="L23" i="32"/>
  <c r="L24" i="32"/>
  <c r="L25" i="32"/>
  <c r="L26" i="32"/>
  <c r="L27" i="32"/>
  <c r="L28" i="32"/>
  <c r="L29" i="32"/>
  <c r="L30" i="32"/>
  <c r="L31" i="32"/>
  <c r="L32" i="32"/>
  <c r="L33" i="32"/>
  <c r="L34" i="32"/>
  <c r="L35" i="32"/>
  <c r="L36" i="32"/>
  <c r="L37" i="32"/>
  <c r="L10" i="32"/>
  <c r="K11" i="32"/>
  <c r="K12" i="32"/>
  <c r="K13" i="32"/>
  <c r="K14" i="32"/>
  <c r="K15" i="32"/>
  <c r="K16" i="32"/>
  <c r="K17" i="32"/>
  <c r="K18" i="32"/>
  <c r="K19" i="32"/>
  <c r="K20" i="32"/>
  <c r="K21" i="32"/>
  <c r="K22" i="32"/>
  <c r="K23" i="32"/>
  <c r="K24" i="32"/>
  <c r="K25" i="32"/>
  <c r="K26" i="32"/>
  <c r="K27" i="32"/>
  <c r="K28" i="32"/>
  <c r="K29" i="32"/>
  <c r="K30" i="32"/>
  <c r="K31" i="32"/>
  <c r="K32" i="32"/>
  <c r="K33" i="32"/>
  <c r="K34" i="32"/>
  <c r="K35" i="32"/>
  <c r="K36" i="32"/>
  <c r="K37" i="32"/>
  <c r="K10" i="32"/>
  <c r="J11" i="32"/>
  <c r="J12" i="32"/>
  <c r="J13" i="32"/>
  <c r="J14" i="32"/>
  <c r="J15" i="32"/>
  <c r="J16" i="32"/>
  <c r="J17" i="32"/>
  <c r="J18" i="32"/>
  <c r="J19" i="32"/>
  <c r="J20" i="32"/>
  <c r="J21" i="32"/>
  <c r="J22" i="32"/>
  <c r="J23" i="32"/>
  <c r="J24" i="32"/>
  <c r="J25" i="32"/>
  <c r="J26" i="32"/>
  <c r="J27" i="32"/>
  <c r="J28" i="32"/>
  <c r="J29" i="32"/>
  <c r="J30" i="32"/>
  <c r="J31" i="32"/>
  <c r="J32" i="32"/>
  <c r="J33" i="32"/>
  <c r="J34" i="32"/>
  <c r="J35" i="32"/>
  <c r="J36" i="32"/>
  <c r="J37" i="32"/>
  <c r="J10" i="32"/>
  <c r="I11" i="32"/>
  <c r="I12" i="32"/>
  <c r="I13" i="32"/>
  <c r="I14" i="32"/>
  <c r="I15" i="32"/>
  <c r="I16" i="32"/>
  <c r="I17" i="32"/>
  <c r="I18" i="32"/>
  <c r="I19" i="32"/>
  <c r="I20" i="32"/>
  <c r="I21" i="32"/>
  <c r="I22" i="32"/>
  <c r="I23" i="32"/>
  <c r="I24" i="32"/>
  <c r="I25" i="32"/>
  <c r="I26" i="32"/>
  <c r="I27" i="32"/>
  <c r="I28" i="32"/>
  <c r="I29" i="32"/>
  <c r="I30" i="32"/>
  <c r="I31" i="32"/>
  <c r="I32" i="32"/>
  <c r="I33" i="32"/>
  <c r="I34" i="32"/>
  <c r="I35" i="32"/>
  <c r="I36" i="32"/>
  <c r="I37" i="32"/>
  <c r="I10" i="32"/>
  <c r="J24" i="21" l="1"/>
  <c r="J25" i="21"/>
  <c r="J23" i="21"/>
  <c r="L18" i="21"/>
  <c r="L17" i="21"/>
  <c r="J18" i="21"/>
  <c r="J17" i="21"/>
  <c r="L13" i="21"/>
  <c r="J13" i="21"/>
  <c r="J14" i="21"/>
  <c r="J15" i="21"/>
  <c r="AF15" i="32" l="1"/>
  <c r="AG15" i="32"/>
  <c r="AG14" i="32"/>
  <c r="AF14" i="32"/>
  <c r="AG13" i="32"/>
  <c r="AF13" i="32"/>
  <c r="AE15" i="32"/>
  <c r="AD15" i="32"/>
  <c r="AE14" i="32"/>
  <c r="AD14" i="32"/>
  <c r="AE13" i="32"/>
  <c r="AD13" i="32"/>
  <c r="AH15" i="32" l="1"/>
  <c r="AI15" i="32"/>
  <c r="AI14" i="32"/>
  <c r="AI13" i="32"/>
  <c r="AH14" i="32"/>
  <c r="AH13" i="32"/>
  <c r="H12" i="21" l="1"/>
  <c r="I16" i="21" l="1"/>
  <c r="I12" i="21"/>
  <c r="H16" i="21"/>
  <c r="H11" i="21" s="1"/>
  <c r="I11" i="21" l="1"/>
  <c r="P7" i="33" s="1"/>
  <c r="F16" i="21"/>
  <c r="F12" i="21"/>
  <c r="J12" i="21" s="1"/>
  <c r="G16" i="21"/>
  <c r="G12" i="21"/>
  <c r="F11" i="21" l="1"/>
  <c r="G11" i="21"/>
  <c r="H8" i="32" l="1"/>
  <c r="G8" i="32"/>
  <c r="H9" i="32" l="1"/>
  <c r="G9" i="32"/>
  <c r="E16" i="21" l="1"/>
  <c r="E12" i="21"/>
  <c r="E11" i="21" l="1"/>
  <c r="O7" i="33" s="1"/>
  <c r="H22" i="21"/>
  <c r="G22" i="21" l="1"/>
  <c r="L12" i="21"/>
  <c r="G8" i="21" l="1"/>
  <c r="E7" i="32" l="1"/>
  <c r="I8" i="21" l="1"/>
  <c r="H7" i="33" s="1"/>
  <c r="H8" i="21" l="1"/>
  <c r="P9" i="33" l="1"/>
  <c r="H9" i="33"/>
  <c r="P6" i="33"/>
  <c r="H7" i="32" l="1"/>
  <c r="G7" i="32"/>
  <c r="F7" i="32"/>
  <c r="E8" i="21" l="1"/>
  <c r="L29" i="21" l="1"/>
  <c r="J29" i="21"/>
  <c r="K29" i="21"/>
  <c r="L27" i="21"/>
  <c r="L28" i="21"/>
  <c r="L19" i="21"/>
  <c r="J27" i="21" l="1"/>
  <c r="J28" i="21"/>
  <c r="J19" i="21"/>
  <c r="I26" i="21" l="1"/>
  <c r="I22" i="21"/>
  <c r="E26" i="21" l="1"/>
  <c r="E22" i="21"/>
  <c r="E21" i="21" l="1"/>
  <c r="F22" i="21" l="1"/>
  <c r="F8" i="21"/>
  <c r="F26" i="21" l="1"/>
  <c r="J26" i="21" s="1"/>
  <c r="G26" i="21"/>
  <c r="G21" i="21" s="1"/>
  <c r="L26" i="21" l="1"/>
  <c r="K15" i="21"/>
  <c r="M25" i="21" l="1"/>
  <c r="J9" i="21"/>
  <c r="K9" i="21"/>
  <c r="L9" i="21"/>
  <c r="M9" i="21"/>
  <c r="J10" i="21"/>
  <c r="K10" i="21"/>
  <c r="L10" i="21"/>
  <c r="M10" i="21"/>
  <c r="K13" i="21"/>
  <c r="M13" i="21"/>
  <c r="K14" i="21"/>
  <c r="L14" i="21"/>
  <c r="M14" i="21"/>
  <c r="L15" i="21"/>
  <c r="M15" i="21"/>
  <c r="K17" i="21"/>
  <c r="M17" i="21"/>
  <c r="K18" i="21"/>
  <c r="M18" i="21"/>
  <c r="K23" i="21"/>
  <c r="L23" i="21"/>
  <c r="M23" i="21"/>
  <c r="K24" i="21"/>
  <c r="L24" i="21"/>
  <c r="M24" i="21"/>
  <c r="K25" i="21"/>
  <c r="L25" i="21"/>
  <c r="M29" i="21"/>
  <c r="I21" i="21" l="1"/>
  <c r="H10" i="33" s="1"/>
  <c r="H21" i="21"/>
  <c r="J16" i="21"/>
  <c r="L9" i="32"/>
  <c r="I8" i="32"/>
  <c r="M12" i="21"/>
  <c r="K16" i="21"/>
  <c r="K8" i="32"/>
  <c r="M22" i="21"/>
  <c r="K22" i="21"/>
  <c r="F21" i="21"/>
  <c r="L22" i="21"/>
  <c r="J22" i="21"/>
  <c r="L16" i="21"/>
  <c r="K12" i="21"/>
  <c r="M16" i="21"/>
  <c r="M8" i="21"/>
  <c r="L8" i="21"/>
  <c r="J8" i="21"/>
  <c r="K8" i="21"/>
  <c r="J9" i="32"/>
  <c r="I9" i="32"/>
  <c r="L8" i="32"/>
  <c r="L21" i="21" l="1"/>
  <c r="J21" i="21"/>
  <c r="L11" i="21"/>
  <c r="K9" i="32"/>
  <c r="J8" i="32"/>
  <c r="M11" i="21"/>
  <c r="K21" i="21"/>
  <c r="M21" i="21"/>
  <c r="J11" i="21"/>
  <c r="K11" i="21"/>
</calcChain>
</file>

<file path=xl/sharedStrings.xml><?xml version="1.0" encoding="utf-8"?>
<sst xmlns="http://schemas.openxmlformats.org/spreadsheetml/2006/main" count="159" uniqueCount="113">
  <si>
    <t>소계</t>
  </si>
  <si>
    <t>외항</t>
  </si>
  <si>
    <t>연안</t>
  </si>
  <si>
    <t>입항</t>
  </si>
  <si>
    <t>출항</t>
  </si>
  <si>
    <t>수입</t>
  </si>
  <si>
    <t>수출</t>
  </si>
  <si>
    <t>구     분</t>
    <phoneticPr fontId="8" type="noConversion"/>
  </si>
  <si>
    <t xml:space="preserve"> 합  계</t>
    <phoneticPr fontId="8" type="noConversion"/>
  </si>
  <si>
    <t xml:space="preserve"> 외  항</t>
    <phoneticPr fontId="8" type="noConversion"/>
  </si>
  <si>
    <t xml:space="preserve"> 내  항</t>
    <phoneticPr fontId="8" type="noConversion"/>
  </si>
  <si>
    <t>연간누계</t>
    <phoneticPr fontId="8" type="noConversion"/>
  </si>
  <si>
    <t>계</t>
    <phoneticPr fontId="8" type="noConversion"/>
  </si>
  <si>
    <t>환적</t>
    <phoneticPr fontId="8" type="noConversion"/>
  </si>
  <si>
    <t>수출</t>
    <phoneticPr fontId="8" type="noConversion"/>
  </si>
  <si>
    <t>전년동기대비</t>
    <phoneticPr fontId="8" type="noConversion"/>
  </si>
  <si>
    <t>(%)</t>
    <phoneticPr fontId="8" type="noConversion"/>
  </si>
  <si>
    <t>환적</t>
    <phoneticPr fontId="8" type="noConversion"/>
  </si>
  <si>
    <t>D-B</t>
    <phoneticPr fontId="8" type="noConversion"/>
  </si>
  <si>
    <t>선박</t>
    <phoneticPr fontId="8" type="noConversion"/>
  </si>
  <si>
    <t>화물</t>
    <phoneticPr fontId="8" type="noConversion"/>
  </si>
  <si>
    <t>(단위:TEU, 100% 기준)</t>
    <phoneticPr fontId="8" type="noConversion"/>
  </si>
  <si>
    <t>컨테이너</t>
    <phoneticPr fontId="8" type="noConversion"/>
  </si>
  <si>
    <t>구     분</t>
    <phoneticPr fontId="8" type="noConversion"/>
  </si>
  <si>
    <t>단위</t>
    <phoneticPr fontId="20" type="noConversion"/>
  </si>
  <si>
    <t>전년동기대비</t>
    <phoneticPr fontId="8" type="noConversion"/>
  </si>
  <si>
    <t>연간누계</t>
    <phoneticPr fontId="8" type="noConversion"/>
  </si>
  <si>
    <t>C-A</t>
    <phoneticPr fontId="8" type="noConversion"/>
  </si>
  <si>
    <t>(%)</t>
    <phoneticPr fontId="8" type="noConversion"/>
  </si>
  <si>
    <t>D-B</t>
    <phoneticPr fontId="8" type="noConversion"/>
  </si>
  <si>
    <t>합  계</t>
    <phoneticPr fontId="8" type="noConversion"/>
  </si>
  <si>
    <t>TEU</t>
    <phoneticPr fontId="20" type="noConversion"/>
  </si>
  <si>
    <t>톤</t>
    <phoneticPr fontId="20" type="noConversion"/>
  </si>
  <si>
    <t>국제여객부두1번</t>
  </si>
  <si>
    <t>국제여객부두2번</t>
  </si>
  <si>
    <t>동부두 6</t>
    <phoneticPr fontId="20" type="noConversion"/>
  </si>
  <si>
    <t>동부두 8</t>
    <phoneticPr fontId="20" type="noConversion"/>
  </si>
  <si>
    <t>C-A</t>
    <phoneticPr fontId="8" type="noConversion"/>
  </si>
  <si>
    <t>동부두 12</t>
    <phoneticPr fontId="20" type="noConversion"/>
  </si>
  <si>
    <t>동부두 14</t>
    <phoneticPr fontId="20" type="noConversion"/>
  </si>
  <si>
    <t>동부두 15</t>
    <phoneticPr fontId="20" type="noConversion"/>
  </si>
  <si>
    <t>동부두 16</t>
    <phoneticPr fontId="20" type="noConversion"/>
  </si>
  <si>
    <t>동부두 7</t>
    <phoneticPr fontId="20" type="noConversion"/>
  </si>
  <si>
    <t>동부두 11</t>
    <phoneticPr fontId="20" type="noConversion"/>
  </si>
  <si>
    <t>TEU</t>
    <phoneticPr fontId="20" type="noConversion"/>
  </si>
  <si>
    <t>톤</t>
    <phoneticPr fontId="20" type="noConversion"/>
  </si>
  <si>
    <t>동부두 5</t>
    <phoneticPr fontId="20" type="noConversion"/>
  </si>
  <si>
    <t>자동차(대)</t>
    <phoneticPr fontId="8" type="noConversion"/>
  </si>
  <si>
    <t>동부두 9</t>
    <phoneticPr fontId="20" type="noConversion"/>
  </si>
  <si>
    <t>소계</t>
    <phoneticPr fontId="8" type="noConversion"/>
  </si>
  <si>
    <t>(단위 : 척)</t>
    <phoneticPr fontId="8" type="noConversion"/>
  </si>
  <si>
    <t>국제여객부두 1번선석</t>
  </si>
  <si>
    <t>국제여객부두 2번선석</t>
    <phoneticPr fontId="20" type="noConversion"/>
  </si>
  <si>
    <t>동부두 5번선석</t>
    <phoneticPr fontId="20" type="noConversion"/>
  </si>
  <si>
    <t>동부두 6번선석</t>
    <phoneticPr fontId="20" type="noConversion"/>
  </si>
  <si>
    <t>동부두 6번선석</t>
    <phoneticPr fontId="20" type="noConversion"/>
  </si>
  <si>
    <t>동부두 7번선석</t>
    <phoneticPr fontId="20" type="noConversion"/>
  </si>
  <si>
    <t>동부두 7번선석</t>
    <phoneticPr fontId="20" type="noConversion"/>
  </si>
  <si>
    <t>동부두 8번선석</t>
    <phoneticPr fontId="20" type="noConversion"/>
  </si>
  <si>
    <t>동부두 8번선석</t>
    <phoneticPr fontId="20" type="noConversion"/>
  </si>
  <si>
    <t>동부두 9번선석</t>
    <phoneticPr fontId="20" type="noConversion"/>
  </si>
  <si>
    <t>동부두 9번선석</t>
    <phoneticPr fontId="20" type="noConversion"/>
  </si>
  <si>
    <t>동부두 11번선석</t>
    <phoneticPr fontId="20" type="noConversion"/>
  </si>
  <si>
    <t>동부두 12번선석</t>
    <phoneticPr fontId="20" type="noConversion"/>
  </si>
  <si>
    <t>동부두 12번선석</t>
    <phoneticPr fontId="20" type="noConversion"/>
  </si>
  <si>
    <t>동부두 14번선석</t>
    <phoneticPr fontId="20" type="noConversion"/>
  </si>
  <si>
    <t>동부두 14번선석</t>
    <phoneticPr fontId="20" type="noConversion"/>
  </si>
  <si>
    <t>동부두 15번선석</t>
    <phoneticPr fontId="20" type="noConversion"/>
  </si>
  <si>
    <t>동부두 15번선석</t>
    <phoneticPr fontId="20" type="noConversion"/>
  </si>
  <si>
    <t>동부두 16번선석</t>
    <phoneticPr fontId="20" type="noConversion"/>
  </si>
  <si>
    <t>동부두 16번선석</t>
    <phoneticPr fontId="20" type="noConversion"/>
  </si>
  <si>
    <t>동부두 10</t>
    <phoneticPr fontId="20" type="noConversion"/>
  </si>
  <si>
    <t>동부두 1</t>
    <phoneticPr fontId="20" type="noConversion"/>
  </si>
  <si>
    <t>동부두 1번선석</t>
    <phoneticPr fontId="20" type="noConversion"/>
  </si>
  <si>
    <t>동부두 10번선석</t>
    <phoneticPr fontId="20" type="noConversion"/>
  </si>
  <si>
    <t>순증</t>
    <phoneticPr fontId="8" type="noConversion"/>
  </si>
  <si>
    <t>PNCT</t>
    <phoneticPr fontId="20" type="noConversion"/>
  </si>
  <si>
    <t>터미널별</t>
    <phoneticPr fontId="20" type="noConversion"/>
  </si>
  <si>
    <t>2022년 월별</t>
    <phoneticPr fontId="20" type="noConversion"/>
  </si>
  <si>
    <t>2022년 누계</t>
    <phoneticPr fontId="20" type="noConversion"/>
  </si>
  <si>
    <t>2023년 월별</t>
    <phoneticPr fontId="20" type="noConversion"/>
  </si>
  <si>
    <t>2023년 누계</t>
    <phoneticPr fontId="20" type="noConversion"/>
  </si>
  <si>
    <t>여객부두</t>
    <phoneticPr fontId="20" type="noConversion"/>
  </si>
  <si>
    <t>HPCTC</t>
    <phoneticPr fontId="20" type="noConversion"/>
  </si>
  <si>
    <t>`</t>
    <phoneticPr fontId="20" type="noConversion"/>
  </si>
  <si>
    <t>(단위 : 척, 천톤, 100% 기준)</t>
  </si>
  <si>
    <t>컨테이너</t>
    <phoneticPr fontId="8" type="noConversion"/>
  </si>
  <si>
    <t>연도별 수송실적</t>
    <phoneticPr fontId="8" type="noConversion"/>
  </si>
  <si>
    <t>(단위 : 천톤)</t>
    <phoneticPr fontId="8" type="noConversion"/>
  </si>
  <si>
    <t>(단위 : TEU)</t>
    <phoneticPr fontId="8" type="noConversion"/>
  </si>
  <si>
    <t>(단위 : 명)</t>
    <phoneticPr fontId="8" type="noConversion"/>
  </si>
  <si>
    <t>화물
입출항</t>
    <phoneticPr fontId="8" type="noConversion"/>
  </si>
  <si>
    <t>선박
입출항</t>
    <phoneticPr fontId="8" type="noConversion"/>
  </si>
  <si>
    <t>여  객</t>
    <phoneticPr fontId="8" type="noConversion"/>
  </si>
  <si>
    <t>구 분</t>
    <phoneticPr fontId="8" type="noConversion"/>
  </si>
  <si>
    <t>(선박입출항)</t>
    <phoneticPr fontId="8" type="noConversion"/>
  </si>
  <si>
    <t>(화물입출항)</t>
    <phoneticPr fontId="8" type="noConversion"/>
  </si>
  <si>
    <t>(컨테이너)</t>
    <phoneticPr fontId="8" type="noConversion"/>
  </si>
  <si>
    <t xml:space="preserve">□ 연도별 추이 </t>
    <phoneticPr fontId="19" type="noConversion"/>
  </si>
  <si>
    <t>(여 객)</t>
    <phoneticPr fontId="8" type="noConversion"/>
  </si>
  <si>
    <t>`</t>
    <phoneticPr fontId="8" type="noConversion"/>
  </si>
  <si>
    <t>2023년도</t>
    <phoneticPr fontId="8" type="noConversion"/>
  </si>
  <si>
    <t>2024년도</t>
    <phoneticPr fontId="8" type="noConversion"/>
  </si>
  <si>
    <t>2023년도</t>
    <phoneticPr fontId="8" type="noConversion"/>
  </si>
  <si>
    <t>2024년도</t>
    <phoneticPr fontId="8" type="noConversion"/>
  </si>
  <si>
    <t xml:space="preserve"> </t>
    <phoneticPr fontId="19" type="noConversion"/>
  </si>
  <si>
    <t>2024.5.</t>
    <phoneticPr fontId="19" type="noConversion"/>
  </si>
  <si>
    <t>항만운영통계(6월)</t>
    <phoneticPr fontId="8" type="noConversion"/>
  </si>
  <si>
    <t>6월(A)</t>
    <phoneticPr fontId="8" type="noConversion"/>
  </si>
  <si>
    <t xml:space="preserve"> 6월누계(B) </t>
    <phoneticPr fontId="8" type="noConversion"/>
  </si>
  <si>
    <t>6월(C)</t>
    <phoneticPr fontId="8" type="noConversion"/>
  </si>
  <si>
    <t xml:space="preserve"> 6월누계(D) </t>
    <phoneticPr fontId="8" type="noConversion"/>
  </si>
  <si>
    <t>부두별 컨테이너 물동량(6월)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</si>
</sst>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1" formatCode="_-* #,##0_-;\-* #,##0_-;_-* &quot;-&quot;_-;_-@_-"/>
    <numFmt numFmtId="43" formatCode="_-* #,##0.00_-;\-* #,##0.00_-;_-* &quot;-&quot;??_-;_-@_-"/>
    <numFmt numFmtId="176" formatCode="_ * #,##0_ ;_ * \-#,##0_ ;_ * &quot;-&quot;_ ;_ @_ "/>
    <numFmt numFmtId="177" formatCode="&quot;$&quot;#,##0;[Red]\-&quot;$&quot;#,##0"/>
    <numFmt numFmtId="178" formatCode="&quot;$&quot;#,##0.00;[Red]\-&quot;$&quot;#,##0.00"/>
    <numFmt numFmtId="179" formatCode="_ * #,##0_ ;_ * &quot;₩&quot;&quot;₩&quot;&quot;₩&quot;&quot;₩&quot;&quot;₩&quot;&quot;₩&quot;\-#,##0_ ;_ * &quot;-&quot;_ ;_ @_ "/>
    <numFmt numFmtId="180" formatCode="0_);[Red]\(0\)"/>
    <numFmt numFmtId="181" formatCode="#,##0_ "/>
    <numFmt numFmtId="182" formatCode="#,###,"/>
    <numFmt numFmtId="183" formatCode="#,##0_);[Red]\(#,##0\)"/>
    <numFmt numFmtId="184" formatCode="_-* #,##0.0_-;&quot;△&quot;\ #,##0.0_-;_-* &quot;-&quot;??_-;_-@_-"/>
    <numFmt numFmtId="185" formatCode="_ * #,##0_ ;_ * &quot;△&quot;#,##0_ ;_ * &quot;-&quot;_ ;_ @_ "/>
    <numFmt numFmtId="186" formatCode="0.00_);\(0.00\)"/>
    <numFmt numFmtId="187" formatCode="0.00_);[Red]\(0.00\)"/>
    <numFmt numFmtId="188" formatCode="#,##0,"/>
    <numFmt numFmtId="189" formatCode="#,###"/>
    <numFmt numFmtId="190" formatCode="0.0"/>
  </numFmts>
  <fonts count="37">
    <font>
      <sz val="12"/>
      <name val="바탕체"/>
      <family val="1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2"/>
      <name val="바탕체"/>
      <family val="1"/>
      <charset val="129"/>
    </font>
    <font>
      <sz val="12"/>
      <name val="바탕체"/>
      <family val="1"/>
      <charset val="129"/>
    </font>
    <font>
      <sz val="10"/>
      <name val="바탕체"/>
      <family val="1"/>
      <charset val="129"/>
    </font>
    <font>
      <sz val="8"/>
      <name val="바탕"/>
      <family val="1"/>
      <charset val="129"/>
    </font>
    <font>
      <sz val="10"/>
      <name val="Geneva"/>
      <family val="2"/>
    </font>
    <font>
      <sz val="10"/>
      <name val="Arial"/>
      <family val="2"/>
    </font>
    <font>
      <sz val="10"/>
      <name val="MS Sans Serif"/>
      <family val="2"/>
    </font>
    <font>
      <sz val="8"/>
      <name val="Arial"/>
      <family val="2"/>
    </font>
    <font>
      <sz val="10"/>
      <name val="굴림체"/>
      <family val="3"/>
      <charset val="129"/>
    </font>
    <font>
      <b/>
      <sz val="10"/>
      <name val="굴림체"/>
      <family val="3"/>
      <charset val="129"/>
    </font>
    <font>
      <b/>
      <sz val="14"/>
      <name val="굴림체"/>
      <family val="3"/>
      <charset val="129"/>
    </font>
    <font>
      <b/>
      <sz val="10"/>
      <name val="바탕체"/>
      <family val="1"/>
      <charset val="129"/>
    </font>
    <font>
      <b/>
      <sz val="12"/>
      <name val="굴림체"/>
      <family val="3"/>
      <charset val="129"/>
    </font>
    <font>
      <b/>
      <sz val="14"/>
      <name val="돋움"/>
      <family val="3"/>
      <charset val="129"/>
    </font>
    <font>
      <sz val="8"/>
      <name val="바탕체"/>
      <family val="1"/>
      <charset val="129"/>
    </font>
    <font>
      <sz val="8"/>
      <name val="돋움"/>
      <family val="3"/>
      <charset val="129"/>
    </font>
    <font>
      <b/>
      <sz val="11"/>
      <name val="굴림체"/>
      <family val="3"/>
      <charset val="129"/>
    </font>
    <font>
      <sz val="11"/>
      <name val="굴림체"/>
      <family val="3"/>
      <charset val="129"/>
    </font>
    <font>
      <sz val="11"/>
      <name val="돋움"/>
      <family val="3"/>
      <charset val="129"/>
    </font>
    <font>
      <b/>
      <sz val="11"/>
      <name val="돋움"/>
      <family val="3"/>
      <charset val="129"/>
    </font>
    <font>
      <b/>
      <sz val="10.5"/>
      <name val="굴림체"/>
      <family val="3"/>
      <charset val="129"/>
    </font>
    <font>
      <b/>
      <sz val="22"/>
      <name val="휴먼모음T"/>
      <family val="1"/>
      <charset val="129"/>
    </font>
    <font>
      <sz val="10"/>
      <color indexed="12"/>
      <name val="굴림체"/>
      <family val="3"/>
      <charset val="129"/>
    </font>
    <font>
      <sz val="11"/>
      <color indexed="12"/>
      <name val="굴림체"/>
      <family val="3"/>
      <charset val="129"/>
    </font>
    <font>
      <b/>
      <sz val="10"/>
      <color theme="1"/>
      <name val="굴림체"/>
      <family val="3"/>
      <charset val="129"/>
    </font>
    <font>
      <sz val="11"/>
      <color indexed="8"/>
      <name val="맑은 고딕"/>
      <family val="2"/>
      <scheme val="minor"/>
    </font>
    <font>
      <sz val="10"/>
      <name val="굴림"/>
      <family val="3"/>
      <charset val="129"/>
    </font>
    <font>
      <sz val="11"/>
      <color theme="1"/>
      <name val="굴림체"/>
      <family val="3"/>
      <charset val="129"/>
    </font>
    <font>
      <sz val="24"/>
      <color indexed="8"/>
      <name val="HY헤드라인M"/>
      <family val="1"/>
      <charset val="129"/>
    </font>
    <font>
      <sz val="10"/>
      <color indexed="8"/>
      <name val="굴림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5" tint="-0.249977111117893"/>
      <name val="굴림체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DFE4A4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103">
    <xf numFmtId="0" fontId="0" fillId="0" borderId="0"/>
    <xf numFmtId="38" fontId="9" fillId="0" borderId="0" applyFont="0" applyFill="0" applyBorder="0" applyAlignment="0" applyProtection="0"/>
    <xf numFmtId="4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38" fontId="12" fillId="2" borderId="0" applyNumberFormat="0" applyBorder="0" applyAlignment="0" applyProtection="0"/>
    <xf numFmtId="10" fontId="12" fillId="3" borderId="1" applyNumberFormat="0" applyBorder="0" applyAlignment="0" applyProtection="0"/>
    <xf numFmtId="38" fontId="11" fillId="0" borderId="0" applyFont="0" applyFill="0" applyBorder="0" applyAlignment="0" applyProtection="0"/>
    <xf numFmtId="40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9" fontId="10" fillId="0" borderId="0"/>
    <xf numFmtId="0" fontId="9" fillId="0" borderId="0"/>
    <xf numFmtId="10" fontId="10" fillId="0" borderId="0" applyFont="0" applyFill="0" applyBorder="0" applyAlignment="0" applyProtection="0"/>
    <xf numFmtId="9" fontId="11" fillId="0" borderId="2" applyNumberFormat="0" applyBorder="0"/>
    <xf numFmtId="176" fontId="6" fillId="0" borderId="0" applyFont="0" applyFill="0" applyBorder="0" applyAlignment="0" applyProtection="0"/>
    <xf numFmtId="0" fontId="6" fillId="0" borderId="0"/>
    <xf numFmtId="0" fontId="23" fillId="0" borderId="0">
      <alignment vertical="center"/>
    </xf>
    <xf numFmtId="0" fontId="4" fillId="0" borderId="0">
      <alignment vertical="center"/>
    </xf>
    <xf numFmtId="0" fontId="6" fillId="0" borderId="0"/>
    <xf numFmtId="176" fontId="6" fillId="0" borderId="0" applyFont="0" applyFill="0" applyBorder="0" applyAlignment="0" applyProtection="0"/>
    <xf numFmtId="0" fontId="3" fillId="0" borderId="0">
      <alignment vertical="center"/>
    </xf>
    <xf numFmtId="0" fontId="30" fillId="0" borderId="0">
      <alignment vertical="center"/>
    </xf>
    <xf numFmtId="41" fontId="30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176" fontId="6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30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9" fontId="23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0" fontId="34" fillId="0" borderId="0"/>
    <xf numFmtId="0" fontId="23" fillId="0" borderId="0">
      <alignment vertical="center"/>
    </xf>
    <xf numFmtId="0" fontId="35" fillId="0" borderId="0">
      <alignment vertical="center"/>
    </xf>
    <xf numFmtId="0" fontId="23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49">
    <xf numFmtId="0" fontId="0" fillId="0" borderId="0" xfId="0"/>
    <xf numFmtId="180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7" fillId="0" borderId="0" xfId="0" applyFont="1" applyAlignment="1">
      <alignment horizontal="right" vertical="center"/>
    </xf>
    <xf numFmtId="180" fontId="7" fillId="0" borderId="0" xfId="0" applyNumberFormat="1" applyFont="1" applyAlignment="1">
      <alignment horizontal="right" vertical="center"/>
    </xf>
    <xf numFmtId="176" fontId="13" fillId="0" borderId="0" xfId="0" applyNumberFormat="1" applyFont="1" applyFill="1" applyBorder="1" applyAlignment="1">
      <alignment horizontal="center" vertical="center"/>
    </xf>
    <xf numFmtId="176" fontId="14" fillId="0" borderId="0" xfId="0" applyNumberFormat="1" applyFont="1" applyFill="1" applyBorder="1" applyAlignment="1">
      <alignment horizontal="right" vertical="center"/>
    </xf>
    <xf numFmtId="181" fontId="14" fillId="0" borderId="0" xfId="0" applyNumberFormat="1" applyFont="1" applyFill="1" applyBorder="1" applyAlignment="1">
      <alignment horizontal="right" vertical="center"/>
    </xf>
    <xf numFmtId="9" fontId="14" fillId="0" borderId="0" xfId="0" quotePrefix="1" applyNumberFormat="1" applyFont="1" applyFill="1" applyBorder="1" applyAlignment="1">
      <alignment horizontal="right" vertical="center"/>
    </xf>
    <xf numFmtId="176" fontId="16" fillId="0" borderId="0" xfId="0" applyNumberFormat="1" applyFont="1" applyFill="1" applyBorder="1" applyAlignment="1">
      <alignment horizontal="right" vertical="center"/>
    </xf>
    <xf numFmtId="9" fontId="16" fillId="0" borderId="0" xfId="0" applyNumberFormat="1" applyFont="1" applyFill="1" applyBorder="1" applyAlignment="1">
      <alignment horizontal="right" vertical="center"/>
    </xf>
    <xf numFmtId="0" fontId="18" fillId="0" borderId="0" xfId="0" applyFont="1"/>
    <xf numFmtId="0" fontId="6" fillId="0" borderId="0" xfId="16"/>
    <xf numFmtId="0" fontId="21" fillId="0" borderId="0" xfId="0" applyFont="1" applyBorder="1" applyAlignment="1">
      <alignment horizontal="center" vertical="center"/>
    </xf>
    <xf numFmtId="183" fontId="22" fillId="0" borderId="0" xfId="0" applyNumberFormat="1" applyFont="1" applyBorder="1" applyAlignment="1">
      <alignment vertical="center"/>
    </xf>
    <xf numFmtId="0" fontId="6" fillId="0" borderId="0" xfId="16" applyAlignment="1">
      <alignment horizontal="right"/>
    </xf>
    <xf numFmtId="180" fontId="6" fillId="0" borderId="0" xfId="16" applyNumberFormat="1" applyAlignment="1">
      <alignment horizontal="right"/>
    </xf>
    <xf numFmtId="0" fontId="7" fillId="0" borderId="0" xfId="16" applyFont="1" applyAlignment="1">
      <alignment horizontal="right" vertical="center"/>
    </xf>
    <xf numFmtId="180" fontId="7" fillId="0" borderId="0" xfId="16" applyNumberFormat="1" applyFont="1" applyAlignment="1">
      <alignment horizontal="right" vertical="center"/>
    </xf>
    <xf numFmtId="0" fontId="15" fillId="0" borderId="0" xfId="16" applyFont="1" applyAlignment="1">
      <alignment vertical="center"/>
    </xf>
    <xf numFmtId="0" fontId="23" fillId="0" borderId="0" xfId="17">
      <alignment vertical="center"/>
    </xf>
    <xf numFmtId="0" fontId="23" fillId="0" borderId="0" xfId="17" applyAlignment="1">
      <alignment horizontal="right"/>
    </xf>
    <xf numFmtId="180" fontId="23" fillId="0" borderId="0" xfId="17" applyNumberFormat="1" applyAlignment="1">
      <alignment horizontal="right"/>
    </xf>
    <xf numFmtId="0" fontId="7" fillId="0" borderId="0" xfId="17" applyFont="1" applyAlignment="1">
      <alignment horizontal="right" vertical="center"/>
    </xf>
    <xf numFmtId="180" fontId="7" fillId="0" borderId="0" xfId="17" applyNumberFormat="1" applyFont="1" applyAlignment="1">
      <alignment horizontal="right" vertical="center"/>
    </xf>
    <xf numFmtId="0" fontId="26" fillId="0" borderId="0" xfId="17" applyFont="1">
      <alignment vertical="center"/>
    </xf>
    <xf numFmtId="0" fontId="0" fillId="0" borderId="0" xfId="16" applyFont="1"/>
    <xf numFmtId="0" fontId="0" fillId="0" borderId="0" xfId="0" applyFont="1"/>
    <xf numFmtId="0" fontId="23" fillId="0" borderId="0" xfId="17" applyFont="1">
      <alignment vertical="center"/>
    </xf>
    <xf numFmtId="3" fontId="0" fillId="0" borderId="0" xfId="0" applyNumberFormat="1"/>
    <xf numFmtId="43" fontId="23" fillId="0" borderId="0" xfId="17" applyNumberFormat="1">
      <alignment vertical="center"/>
    </xf>
    <xf numFmtId="0" fontId="23" fillId="0" borderId="0" xfId="17" applyFont="1" applyAlignment="1">
      <alignment horizontal="center" vertical="center"/>
    </xf>
    <xf numFmtId="0" fontId="23" fillId="0" borderId="0" xfId="17" applyAlignment="1">
      <alignment horizontal="center" vertical="center"/>
    </xf>
    <xf numFmtId="176" fontId="23" fillId="0" borderId="1" xfId="15" applyFont="1" applyBorder="1" applyAlignment="1">
      <alignment horizontal="center" vertical="center"/>
    </xf>
    <xf numFmtId="0" fontId="23" fillId="0" borderId="1" xfId="15" applyNumberFormat="1" applyFont="1" applyBorder="1" applyAlignment="1">
      <alignment horizontal="center" vertical="center"/>
    </xf>
    <xf numFmtId="41" fontId="23" fillId="0" borderId="1" xfId="15" applyNumberFormat="1" applyFont="1" applyBorder="1" applyAlignment="1">
      <alignment horizontal="center" vertical="center"/>
    </xf>
    <xf numFmtId="190" fontId="23" fillId="0" borderId="0" xfId="17" applyNumberFormat="1">
      <alignment vertical="center"/>
    </xf>
    <xf numFmtId="176" fontId="14" fillId="0" borderId="0" xfId="0" applyNumberFormat="1" applyFont="1" applyBorder="1" applyAlignment="1">
      <alignment horizontal="right" vertical="center"/>
    </xf>
    <xf numFmtId="0" fontId="5" fillId="0" borderId="0" xfId="0" applyFont="1" applyBorder="1" applyAlignment="1">
      <alignment horizontal="right" vertical="center"/>
    </xf>
    <xf numFmtId="0" fontId="23" fillId="0" borderId="0" xfId="65">
      <alignment vertical="center"/>
    </xf>
    <xf numFmtId="0" fontId="23" fillId="0" borderId="0" xfId="65" applyAlignment="1">
      <alignment horizontal="center" vertical="center"/>
    </xf>
    <xf numFmtId="0" fontId="0" fillId="0" borderId="0" xfId="0" applyAlignment="1">
      <alignment horizontal="center" vertical="center"/>
    </xf>
    <xf numFmtId="180" fontId="0" fillId="0" borderId="0" xfId="0" applyNumberFormat="1" applyBorder="1" applyAlignment="1">
      <alignment horizontal="center"/>
    </xf>
    <xf numFmtId="180" fontId="0" fillId="0" borderId="0" xfId="0" applyNumberFormat="1" applyFill="1" applyBorder="1" applyAlignment="1">
      <alignment horizontal="center"/>
    </xf>
    <xf numFmtId="0" fontId="0" fillId="0" borderId="0" xfId="0" applyFill="1" applyBorder="1"/>
    <xf numFmtId="0" fontId="23" fillId="0" borderId="0" xfId="65" applyFill="1" applyBorder="1">
      <alignment vertical="center"/>
    </xf>
    <xf numFmtId="0" fontId="6" fillId="0" borderId="0" xfId="16" applyFill="1" applyBorder="1"/>
    <xf numFmtId="186" fontId="21" fillId="0" borderId="0" xfId="0" applyNumberFormat="1" applyFont="1" applyFill="1" applyBorder="1" applyAlignment="1">
      <alignment horizontal="center" vertical="center"/>
    </xf>
    <xf numFmtId="176" fontId="28" fillId="0" borderId="0" xfId="15" applyFont="1" applyFill="1" applyBorder="1" applyAlignment="1">
      <alignment horizontal="center" vertical="center"/>
    </xf>
    <xf numFmtId="187" fontId="21" fillId="0" borderId="0" xfId="0" quotePrefix="1" applyNumberFormat="1" applyFont="1" applyFill="1" applyBorder="1" applyAlignment="1">
      <alignment horizontal="center" vertical="center"/>
    </xf>
    <xf numFmtId="176" fontId="28" fillId="0" borderId="0" xfId="15" applyFont="1" applyFill="1" applyBorder="1" applyAlignment="1">
      <alignment horizontal="center" vertical="center" shrinkToFit="1"/>
    </xf>
    <xf numFmtId="0" fontId="15" fillId="0" borderId="0" xfId="16" applyFont="1" applyFill="1" applyBorder="1" applyAlignment="1">
      <alignment vertical="center"/>
    </xf>
    <xf numFmtId="176" fontId="14" fillId="8" borderId="6" xfId="0" applyNumberFormat="1" applyFont="1" applyFill="1" applyBorder="1" applyAlignment="1">
      <alignment horizontal="right" vertical="center"/>
    </xf>
    <xf numFmtId="9" fontId="14" fillId="8" borderId="6" xfId="0" quotePrefix="1" applyNumberFormat="1" applyFont="1" applyFill="1" applyBorder="1" applyAlignment="1">
      <alignment horizontal="right" vertical="center"/>
    </xf>
    <xf numFmtId="9" fontId="13" fillId="4" borderId="6" xfId="0" quotePrefix="1" applyNumberFormat="1" applyFont="1" applyFill="1" applyBorder="1" applyAlignment="1">
      <alignment horizontal="right" vertical="center"/>
    </xf>
    <xf numFmtId="176" fontId="7" fillId="4" borderId="6" xfId="0" applyNumberFormat="1" applyFont="1" applyFill="1" applyBorder="1" applyAlignment="1">
      <alignment horizontal="right" vertical="center"/>
    </xf>
    <xf numFmtId="9" fontId="7" fillId="4" borderId="6" xfId="0" applyNumberFormat="1" applyFont="1" applyFill="1" applyBorder="1" applyAlignment="1">
      <alignment horizontal="right" vertical="center"/>
    </xf>
    <xf numFmtId="176" fontId="13" fillId="0" borderId="6" xfId="0" applyNumberFormat="1" applyFont="1" applyFill="1" applyBorder="1" applyAlignment="1">
      <alignment horizontal="right" vertical="center"/>
    </xf>
    <xf numFmtId="182" fontId="14" fillId="8" borderId="6" xfId="0" applyNumberFormat="1" applyFont="1" applyFill="1" applyBorder="1" applyAlignment="1">
      <alignment horizontal="right" vertical="center"/>
    </xf>
    <xf numFmtId="176" fontId="14" fillId="8" borderId="6" xfId="0" applyNumberFormat="1" applyFont="1" applyFill="1" applyBorder="1" applyAlignment="1">
      <alignment horizontal="center" vertical="center"/>
    </xf>
    <xf numFmtId="181" fontId="16" fillId="8" borderId="6" xfId="0" applyNumberFormat="1" applyFont="1" applyFill="1" applyBorder="1" applyAlignment="1">
      <alignment horizontal="right" vertical="center"/>
    </xf>
    <xf numFmtId="176" fontId="13" fillId="4" borderId="6" xfId="0" applyNumberFormat="1" applyFont="1" applyFill="1" applyBorder="1" applyAlignment="1">
      <alignment horizontal="center" vertical="center"/>
    </xf>
    <xf numFmtId="182" fontId="13" fillId="0" borderId="6" xfId="0" applyNumberFormat="1" applyFont="1" applyBorder="1" applyAlignment="1">
      <alignment horizontal="right" vertical="center"/>
    </xf>
    <xf numFmtId="182" fontId="13" fillId="0" borderId="6" xfId="0" applyNumberFormat="1" applyFont="1" applyFill="1" applyBorder="1" applyAlignment="1">
      <alignment horizontal="right" vertical="center"/>
    </xf>
    <xf numFmtId="176" fontId="27" fillId="4" borderId="6" xfId="0" applyNumberFormat="1" applyFont="1" applyFill="1" applyBorder="1" applyAlignment="1">
      <alignment horizontal="center" vertical="center"/>
    </xf>
    <xf numFmtId="182" fontId="7" fillId="4" borderId="6" xfId="0" applyNumberFormat="1" applyFont="1" applyFill="1" applyBorder="1" applyAlignment="1">
      <alignment horizontal="right" vertical="center"/>
    </xf>
    <xf numFmtId="9" fontId="7" fillId="4" borderId="11" xfId="0" applyNumberFormat="1" applyFont="1" applyFill="1" applyBorder="1" applyAlignment="1">
      <alignment horizontal="right" vertical="center"/>
    </xf>
    <xf numFmtId="9" fontId="16" fillId="8" borderId="11" xfId="0" applyNumberFormat="1" applyFont="1" applyFill="1" applyBorder="1" applyAlignment="1">
      <alignment horizontal="right" vertical="center"/>
    </xf>
    <xf numFmtId="176" fontId="13" fillId="0" borderId="6" xfId="0" applyNumberFormat="1" applyFont="1" applyBorder="1" applyAlignment="1">
      <alignment horizontal="center" vertical="center"/>
    </xf>
    <xf numFmtId="176" fontId="13" fillId="0" borderId="6" xfId="0" applyNumberFormat="1" applyFont="1" applyFill="1" applyBorder="1" applyAlignment="1">
      <alignment horizontal="center" vertical="center"/>
    </xf>
    <xf numFmtId="41" fontId="13" fillId="5" borderId="6" xfId="23" applyFont="1" applyFill="1" applyBorder="1" applyAlignment="1">
      <alignment horizontal="right" vertical="center"/>
    </xf>
    <xf numFmtId="176" fontId="27" fillId="4" borderId="6" xfId="0" applyNumberFormat="1" applyFont="1" applyFill="1" applyBorder="1" applyAlignment="1">
      <alignment horizontal="right" vertical="center"/>
    </xf>
    <xf numFmtId="176" fontId="14" fillId="6" borderId="8" xfId="0" quotePrefix="1" applyNumberFormat="1" applyFont="1" applyFill="1" applyBorder="1" applyAlignment="1">
      <alignment horizontal="center" vertical="center"/>
    </xf>
    <xf numFmtId="0" fontId="14" fillId="4" borderId="10" xfId="0" applyFont="1" applyFill="1" applyBorder="1" applyAlignment="1">
      <alignment horizontal="left"/>
    </xf>
    <xf numFmtId="176" fontId="27" fillId="4" borderId="11" xfId="0" applyNumberFormat="1" applyFont="1" applyFill="1" applyBorder="1" applyAlignment="1">
      <alignment horizontal="center" vertical="center"/>
    </xf>
    <xf numFmtId="176" fontId="14" fillId="6" borderId="18" xfId="0" applyNumberFormat="1" applyFont="1" applyFill="1" applyBorder="1" applyAlignment="1">
      <alignment horizontal="center" vertical="center"/>
    </xf>
    <xf numFmtId="176" fontId="14" fillId="6" borderId="18" xfId="0" applyNumberFormat="1" applyFont="1" applyFill="1" applyBorder="1" applyAlignment="1">
      <alignment horizontal="center" vertical="center" wrapText="1"/>
    </xf>
    <xf numFmtId="9" fontId="14" fillId="6" borderId="18" xfId="0" applyNumberFormat="1" applyFont="1" applyFill="1" applyBorder="1" applyAlignment="1">
      <alignment horizontal="center" vertical="center"/>
    </xf>
    <xf numFmtId="0" fontId="16" fillId="6" borderId="18" xfId="0" applyFont="1" applyFill="1" applyBorder="1" applyAlignment="1">
      <alignment horizontal="center" vertical="center"/>
    </xf>
    <xf numFmtId="180" fontId="14" fillId="6" borderId="19" xfId="0" applyNumberFormat="1" applyFont="1" applyFill="1" applyBorder="1" applyAlignment="1">
      <alignment horizontal="center" vertical="center"/>
    </xf>
    <xf numFmtId="176" fontId="13" fillId="0" borderId="20" xfId="0" applyNumberFormat="1" applyFont="1" applyBorder="1" applyAlignment="1">
      <alignment horizontal="right" vertical="center"/>
    </xf>
    <xf numFmtId="176" fontId="13" fillId="4" borderId="20" xfId="0" applyNumberFormat="1" applyFont="1" applyFill="1" applyBorder="1" applyAlignment="1">
      <alignment horizontal="right" vertical="center"/>
    </xf>
    <xf numFmtId="9" fontId="13" fillId="4" borderId="20" xfId="0" quotePrefix="1" applyNumberFormat="1" applyFont="1" applyFill="1" applyBorder="1" applyAlignment="1">
      <alignment horizontal="right" vertical="center"/>
    </xf>
    <xf numFmtId="9" fontId="7" fillId="4" borderId="21" xfId="0" applyNumberFormat="1" applyFont="1" applyFill="1" applyBorder="1" applyAlignment="1">
      <alignment horizontal="right" vertical="center"/>
    </xf>
    <xf numFmtId="176" fontId="14" fillId="8" borderId="23" xfId="0" applyNumberFormat="1" applyFont="1" applyFill="1" applyBorder="1" applyAlignment="1">
      <alignment horizontal="right" vertical="center"/>
    </xf>
    <xf numFmtId="9" fontId="14" fillId="8" borderId="23" xfId="0" quotePrefix="1" applyNumberFormat="1" applyFont="1" applyFill="1" applyBorder="1" applyAlignment="1">
      <alignment horizontal="right" vertical="center"/>
    </xf>
    <xf numFmtId="9" fontId="16" fillId="8" borderId="24" xfId="0" applyNumberFormat="1" applyFont="1" applyFill="1" applyBorder="1" applyAlignment="1">
      <alignment horizontal="right" vertical="center"/>
    </xf>
    <xf numFmtId="176" fontId="13" fillId="0" borderId="18" xfId="0" applyNumberFormat="1" applyFont="1" applyFill="1" applyBorder="1" applyAlignment="1">
      <alignment horizontal="right" vertical="center"/>
    </xf>
    <xf numFmtId="9" fontId="13" fillId="0" borderId="18" xfId="0" quotePrefix="1" applyNumberFormat="1" applyFont="1" applyFill="1" applyBorder="1" applyAlignment="1">
      <alignment horizontal="right" vertical="center"/>
    </xf>
    <xf numFmtId="9" fontId="7" fillId="0" borderId="19" xfId="0" applyNumberFormat="1" applyFont="1" applyFill="1" applyBorder="1" applyAlignment="1">
      <alignment horizontal="right" vertical="center"/>
    </xf>
    <xf numFmtId="176" fontId="14" fillId="8" borderId="20" xfId="0" applyNumberFormat="1" applyFont="1" applyFill="1" applyBorder="1" applyAlignment="1">
      <alignment horizontal="center" vertical="center"/>
    </xf>
    <xf numFmtId="182" fontId="14" fillId="8" borderId="20" xfId="0" applyNumberFormat="1" applyFont="1" applyFill="1" applyBorder="1" applyAlignment="1">
      <alignment horizontal="right" vertical="center"/>
    </xf>
    <xf numFmtId="176" fontId="14" fillId="8" borderId="20" xfId="0" applyNumberFormat="1" applyFont="1" applyFill="1" applyBorder="1" applyAlignment="1">
      <alignment horizontal="right" vertical="center"/>
    </xf>
    <xf numFmtId="9" fontId="14" fillId="8" borderId="20" xfId="0" quotePrefix="1" applyNumberFormat="1" applyFont="1" applyFill="1" applyBorder="1" applyAlignment="1">
      <alignment horizontal="right" vertical="center"/>
    </xf>
    <xf numFmtId="9" fontId="16" fillId="8" borderId="21" xfId="0" applyNumberFormat="1" applyFont="1" applyFill="1" applyBorder="1" applyAlignment="1">
      <alignment horizontal="right" vertical="center"/>
    </xf>
    <xf numFmtId="182" fontId="14" fillId="8" borderId="23" xfId="0" applyNumberFormat="1" applyFont="1" applyFill="1" applyBorder="1" applyAlignment="1">
      <alignment horizontal="right" vertical="center"/>
    </xf>
    <xf numFmtId="182" fontId="16" fillId="8" borderId="23" xfId="0" applyNumberFormat="1" applyFont="1" applyFill="1" applyBorder="1" applyAlignment="1">
      <alignment horizontal="right" vertical="center"/>
    </xf>
    <xf numFmtId="0" fontId="13" fillId="4" borderId="18" xfId="0" applyFont="1" applyFill="1" applyBorder="1" applyAlignment="1">
      <alignment horizontal="center"/>
    </xf>
    <xf numFmtId="176" fontId="13" fillId="0" borderId="18" xfId="0" applyNumberFormat="1" applyFont="1" applyBorder="1" applyAlignment="1">
      <alignment horizontal="right" vertical="center"/>
    </xf>
    <xf numFmtId="176" fontId="13" fillId="0" borderId="18" xfId="0" applyNumberFormat="1" applyFont="1" applyBorder="1" applyAlignment="1">
      <alignment horizontal="center" vertical="center"/>
    </xf>
    <xf numFmtId="176" fontId="14" fillId="4" borderId="18" xfId="0" applyNumberFormat="1" applyFont="1" applyFill="1" applyBorder="1" applyAlignment="1">
      <alignment horizontal="right" vertical="center"/>
    </xf>
    <xf numFmtId="9" fontId="16" fillId="8" borderId="20" xfId="0" applyNumberFormat="1" applyFont="1" applyFill="1" applyBorder="1" applyAlignment="1">
      <alignment horizontal="right" vertical="center"/>
    </xf>
    <xf numFmtId="176" fontId="14" fillId="8" borderId="23" xfId="0" applyNumberFormat="1" applyFont="1" applyFill="1" applyBorder="1" applyAlignment="1">
      <alignment horizontal="center" vertical="center" shrinkToFit="1"/>
    </xf>
    <xf numFmtId="176" fontId="14" fillId="8" borderId="23" xfId="0" applyNumberFormat="1" applyFont="1" applyFill="1" applyBorder="1" applyAlignment="1">
      <alignment horizontal="center" vertical="center"/>
    </xf>
    <xf numFmtId="176" fontId="14" fillId="8" borderId="23" xfId="0" applyNumberFormat="1" applyFont="1" applyFill="1" applyBorder="1" applyAlignment="1">
      <alignment horizontal="right" vertical="center" shrinkToFit="1"/>
    </xf>
    <xf numFmtId="9" fontId="14" fillId="8" borderId="23" xfId="0" quotePrefix="1" applyNumberFormat="1" applyFont="1" applyFill="1" applyBorder="1" applyAlignment="1">
      <alignment horizontal="right" vertical="center" shrinkToFit="1"/>
    </xf>
    <xf numFmtId="41" fontId="13" fillId="0" borderId="18" xfId="0" applyNumberFormat="1" applyFont="1" applyFill="1" applyBorder="1" applyAlignment="1">
      <alignment horizontal="center" vertical="center"/>
    </xf>
    <xf numFmtId="176" fontId="27" fillId="4" borderId="18" xfId="0" applyNumberFormat="1" applyFont="1" applyFill="1" applyBorder="1" applyAlignment="1">
      <alignment horizontal="right" vertical="center"/>
    </xf>
    <xf numFmtId="176" fontId="27" fillId="4" borderId="18" xfId="0" applyNumberFormat="1" applyFont="1" applyFill="1" applyBorder="1" applyAlignment="1">
      <alignment horizontal="center" vertical="center"/>
    </xf>
    <xf numFmtId="176" fontId="7" fillId="4" borderId="18" xfId="0" applyNumberFormat="1" applyFont="1" applyFill="1" applyBorder="1" applyAlignment="1">
      <alignment horizontal="right" vertical="center"/>
    </xf>
    <xf numFmtId="176" fontId="27" fillId="4" borderId="19" xfId="0" applyNumberFormat="1" applyFont="1" applyFill="1" applyBorder="1" applyAlignment="1">
      <alignment horizontal="center" vertical="center"/>
    </xf>
    <xf numFmtId="181" fontId="14" fillId="8" borderId="22" xfId="0" applyNumberFormat="1" applyFont="1" applyFill="1" applyBorder="1" applyAlignment="1">
      <alignment horizontal="right" vertical="center"/>
    </xf>
    <xf numFmtId="181" fontId="14" fillId="8" borderId="23" xfId="0" applyNumberFormat="1" applyFont="1" applyFill="1" applyBorder="1" applyAlignment="1">
      <alignment horizontal="right" vertical="center"/>
    </xf>
    <xf numFmtId="176" fontId="13" fillId="0" borderId="0" xfId="0" applyNumberFormat="1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1" fillId="4" borderId="6" xfId="17" applyFont="1" applyFill="1" applyBorder="1" applyAlignment="1">
      <alignment horizontal="center" vertical="center"/>
    </xf>
    <xf numFmtId="184" fontId="14" fillId="4" borderId="6" xfId="17" quotePrefix="1" applyNumberFormat="1" applyFont="1" applyFill="1" applyBorder="1" applyAlignment="1">
      <alignment horizontal="right" vertical="center" shrinkToFit="1"/>
    </xf>
    <xf numFmtId="176" fontId="14" fillId="4" borderId="6" xfId="17" applyNumberFormat="1" applyFont="1" applyFill="1" applyBorder="1" applyAlignment="1">
      <alignment horizontal="right" vertical="center" shrinkToFit="1"/>
    </xf>
    <xf numFmtId="41" fontId="22" fillId="0" borderId="6" xfId="23" applyFont="1" applyFill="1" applyBorder="1" applyAlignment="1">
      <alignment horizontal="right" vertical="center"/>
    </xf>
    <xf numFmtId="0" fontId="21" fillId="0" borderId="6" xfId="17" applyFont="1" applyFill="1" applyBorder="1" applyAlignment="1">
      <alignment horizontal="center" vertical="center"/>
    </xf>
    <xf numFmtId="184" fontId="14" fillId="4" borderId="11" xfId="17" quotePrefix="1" applyNumberFormat="1" applyFont="1" applyFill="1" applyBorder="1" applyAlignment="1">
      <alignment horizontal="right" vertical="center" shrinkToFit="1"/>
    </xf>
    <xf numFmtId="0" fontId="21" fillId="4" borderId="13" xfId="17" applyFont="1" applyFill="1" applyBorder="1" applyAlignment="1">
      <alignment horizontal="center" vertical="center"/>
    </xf>
    <xf numFmtId="184" fontId="14" fillId="4" borderId="13" xfId="17" quotePrefix="1" applyNumberFormat="1" applyFont="1" applyFill="1" applyBorder="1" applyAlignment="1">
      <alignment horizontal="right" vertical="center" shrinkToFit="1"/>
    </xf>
    <xf numFmtId="176" fontId="14" fillId="4" borderId="13" xfId="17" applyNumberFormat="1" applyFont="1" applyFill="1" applyBorder="1" applyAlignment="1">
      <alignment horizontal="right" vertical="center" shrinkToFit="1"/>
    </xf>
    <xf numFmtId="184" fontId="14" fillId="4" borderId="14" xfId="17" quotePrefix="1" applyNumberFormat="1" applyFont="1" applyFill="1" applyBorder="1" applyAlignment="1">
      <alignment horizontal="right" vertical="center" shrinkToFit="1"/>
    </xf>
    <xf numFmtId="176" fontId="14" fillId="6" borderId="18" xfId="17" applyNumberFormat="1" applyFont="1" applyFill="1" applyBorder="1" applyAlignment="1">
      <alignment horizontal="center" vertical="center"/>
    </xf>
    <xf numFmtId="176" fontId="29" fillId="6" borderId="18" xfId="17" applyNumberFormat="1" applyFont="1" applyFill="1" applyBorder="1" applyAlignment="1">
      <alignment horizontal="center" vertical="center"/>
    </xf>
    <xf numFmtId="9" fontId="14" fillId="6" borderId="18" xfId="17" applyNumberFormat="1" applyFont="1" applyFill="1" applyBorder="1" applyAlignment="1">
      <alignment horizontal="center" vertical="center"/>
    </xf>
    <xf numFmtId="0" fontId="16" fillId="6" borderId="18" xfId="17" applyFont="1" applyFill="1" applyBorder="1" applyAlignment="1">
      <alignment horizontal="center" vertical="center"/>
    </xf>
    <xf numFmtId="180" fontId="14" fillId="6" borderId="19" xfId="17" applyNumberFormat="1" applyFont="1" applyFill="1" applyBorder="1" applyAlignment="1">
      <alignment horizontal="center" vertical="center"/>
    </xf>
    <xf numFmtId="0" fontId="21" fillId="8" borderId="28" xfId="17" applyFont="1" applyFill="1" applyBorder="1" applyAlignment="1">
      <alignment horizontal="center" vertical="center"/>
    </xf>
    <xf numFmtId="183" fontId="21" fillId="8" borderId="28" xfId="17" applyNumberFormat="1" applyFont="1" applyFill="1" applyBorder="1" applyAlignment="1">
      <alignment vertical="center" shrinkToFit="1"/>
    </xf>
    <xf numFmtId="41" fontId="21" fillId="8" borderId="28" xfId="15" applyNumberFormat="1" applyFont="1" applyFill="1" applyBorder="1" applyAlignment="1">
      <alignment horizontal="center" vertical="center" shrinkToFit="1"/>
    </xf>
    <xf numFmtId="185" fontId="14" fillId="8" borderId="28" xfId="17" applyNumberFormat="1" applyFont="1" applyFill="1" applyBorder="1" applyAlignment="1">
      <alignment horizontal="right" vertical="center" shrinkToFit="1"/>
    </xf>
    <xf numFmtId="184" fontId="14" fillId="8" borderId="28" xfId="17" quotePrefix="1" applyNumberFormat="1" applyFont="1" applyFill="1" applyBorder="1" applyAlignment="1">
      <alignment horizontal="right" vertical="center" shrinkToFit="1"/>
    </xf>
    <xf numFmtId="176" fontId="14" fillId="8" borderId="28" xfId="17" applyNumberFormat="1" applyFont="1" applyFill="1" applyBorder="1" applyAlignment="1">
      <alignment horizontal="right" vertical="center" shrinkToFit="1"/>
    </xf>
    <xf numFmtId="184" fontId="14" fillId="8" borderId="29" xfId="17" quotePrefix="1" applyNumberFormat="1" applyFont="1" applyFill="1" applyBorder="1" applyAlignment="1">
      <alignment horizontal="right" vertical="center" shrinkToFit="1"/>
    </xf>
    <xf numFmtId="0" fontId="21" fillId="8" borderId="15" xfId="17" applyFont="1" applyFill="1" applyBorder="1" applyAlignment="1">
      <alignment horizontal="center" vertical="center"/>
    </xf>
    <xf numFmtId="183" fontId="21" fillId="8" borderId="15" xfId="17" applyNumberFormat="1" applyFont="1" applyFill="1" applyBorder="1" applyAlignment="1">
      <alignment vertical="center" shrinkToFit="1"/>
    </xf>
    <xf numFmtId="41" fontId="21" fillId="8" borderId="15" xfId="15" applyNumberFormat="1" applyFont="1" applyFill="1" applyBorder="1" applyAlignment="1">
      <alignment horizontal="center" vertical="center" shrinkToFit="1"/>
    </xf>
    <xf numFmtId="185" fontId="14" fillId="8" borderId="15" xfId="17" applyNumberFormat="1" applyFont="1" applyFill="1" applyBorder="1" applyAlignment="1">
      <alignment horizontal="right" vertical="center" shrinkToFit="1"/>
    </xf>
    <xf numFmtId="184" fontId="14" fillId="8" borderId="15" xfId="17" quotePrefix="1" applyNumberFormat="1" applyFont="1" applyFill="1" applyBorder="1" applyAlignment="1">
      <alignment horizontal="right" vertical="center" shrinkToFit="1"/>
    </xf>
    <xf numFmtId="176" fontId="14" fillId="8" borderId="15" xfId="17" applyNumberFormat="1" applyFont="1" applyFill="1" applyBorder="1" applyAlignment="1">
      <alignment horizontal="right" vertical="center" shrinkToFit="1"/>
    </xf>
    <xf numFmtId="184" fontId="14" fillId="8" borderId="16" xfId="17" quotePrefix="1" applyNumberFormat="1" applyFont="1" applyFill="1" applyBorder="1" applyAlignment="1">
      <alignment horizontal="right" vertical="center" shrinkToFit="1"/>
    </xf>
    <xf numFmtId="0" fontId="21" fillId="9" borderId="6" xfId="17" applyFont="1" applyFill="1" applyBorder="1" applyAlignment="1">
      <alignment horizontal="center" vertical="center"/>
    </xf>
    <xf numFmtId="3" fontId="22" fillId="9" borderId="6" xfId="0" applyNumberFormat="1" applyFont="1" applyFill="1" applyBorder="1" applyAlignment="1">
      <alignment horizontal="right" vertical="center"/>
    </xf>
    <xf numFmtId="184" fontId="14" fillId="9" borderId="6" xfId="17" quotePrefix="1" applyNumberFormat="1" applyFont="1" applyFill="1" applyBorder="1" applyAlignment="1">
      <alignment horizontal="right" vertical="center" shrinkToFit="1"/>
    </xf>
    <xf numFmtId="176" fontId="14" fillId="9" borderId="6" xfId="17" applyNumberFormat="1" applyFont="1" applyFill="1" applyBorder="1" applyAlignment="1">
      <alignment horizontal="right" vertical="center" shrinkToFit="1"/>
    </xf>
    <xf numFmtId="184" fontId="14" fillId="9" borderId="11" xfId="17" quotePrefix="1" applyNumberFormat="1" applyFont="1" applyFill="1" applyBorder="1" applyAlignment="1">
      <alignment horizontal="right" vertical="center" shrinkToFit="1"/>
    </xf>
    <xf numFmtId="41" fontId="22" fillId="9" borderId="6" xfId="23" applyFont="1" applyFill="1" applyBorder="1" applyAlignment="1">
      <alignment horizontal="right" vertical="center"/>
    </xf>
    <xf numFmtId="0" fontId="21" fillId="6" borderId="7" xfId="0" applyFont="1" applyFill="1" applyBorder="1" applyAlignment="1">
      <alignment horizontal="center" vertical="center"/>
    </xf>
    <xf numFmtId="180" fontId="21" fillId="6" borderId="8" xfId="0" quotePrefix="1" applyNumberFormat="1" applyFont="1" applyFill="1" applyBorder="1" applyAlignment="1">
      <alignment horizontal="center" vertical="center"/>
    </xf>
    <xf numFmtId="0" fontId="25" fillId="0" borderId="12" xfId="0" applyFont="1" applyBorder="1" applyAlignment="1">
      <alignment horizontal="center" vertical="center" wrapText="1"/>
    </xf>
    <xf numFmtId="176" fontId="22" fillId="0" borderId="13" xfId="15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 wrapText="1"/>
    </xf>
    <xf numFmtId="188" fontId="22" fillId="0" borderId="13" xfId="0" applyNumberFormat="1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176" fontId="22" fillId="0" borderId="13" xfId="15" applyFont="1" applyBorder="1" applyAlignment="1">
      <alignment horizontal="center" vertical="center" shrinkToFit="1"/>
    </xf>
    <xf numFmtId="180" fontId="21" fillId="6" borderId="31" xfId="0" quotePrefix="1" applyNumberFormat="1" applyFont="1" applyFill="1" applyBorder="1" applyAlignment="1">
      <alignment horizontal="center" vertical="center"/>
    </xf>
    <xf numFmtId="176" fontId="22" fillId="0" borderId="25" xfId="15" applyFont="1" applyBorder="1" applyAlignment="1">
      <alignment horizontal="center" vertical="center"/>
    </xf>
    <xf numFmtId="186" fontId="21" fillId="6" borderId="32" xfId="0" applyNumberFormat="1" applyFont="1" applyFill="1" applyBorder="1" applyAlignment="1">
      <alignment horizontal="center" vertical="center"/>
    </xf>
    <xf numFmtId="176" fontId="36" fillId="0" borderId="33" xfId="15" applyFont="1" applyBorder="1" applyAlignment="1">
      <alignment horizontal="center" vertical="center"/>
    </xf>
    <xf numFmtId="188" fontId="22" fillId="0" borderId="25" xfId="0" applyNumberFormat="1" applyFont="1" applyBorder="1" applyAlignment="1">
      <alignment horizontal="center" vertical="center"/>
    </xf>
    <xf numFmtId="187" fontId="21" fillId="6" borderId="32" xfId="0" quotePrefix="1" applyNumberFormat="1" applyFont="1" applyFill="1" applyBorder="1" applyAlignment="1">
      <alignment horizontal="center" vertical="center"/>
    </xf>
    <xf numFmtId="188" fontId="36" fillId="0" borderId="33" xfId="0" applyNumberFormat="1" applyFont="1" applyBorder="1" applyAlignment="1">
      <alignment horizontal="center" vertical="center"/>
    </xf>
    <xf numFmtId="176" fontId="22" fillId="0" borderId="25" xfId="15" applyFont="1" applyBorder="1" applyAlignment="1">
      <alignment horizontal="center" vertical="center" shrinkToFit="1"/>
    </xf>
    <xf numFmtId="176" fontId="36" fillId="0" borderId="33" xfId="15" applyFont="1" applyBorder="1" applyAlignment="1">
      <alignment horizontal="center" vertical="center" shrinkToFit="1"/>
    </xf>
    <xf numFmtId="0" fontId="23" fillId="0" borderId="0" xfId="17" applyFill="1">
      <alignment vertical="center"/>
    </xf>
    <xf numFmtId="189" fontId="31" fillId="5" borderId="20" xfId="86" applyNumberFormat="1" applyFont="1" applyFill="1" applyBorder="1" applyAlignment="1">
      <alignment horizontal="right" vertical="center"/>
    </xf>
    <xf numFmtId="189" fontId="31" fillId="5" borderId="18" xfId="86" applyNumberFormat="1" applyFont="1" applyFill="1" applyBorder="1" applyAlignment="1">
      <alignment horizontal="right" vertical="center"/>
    </xf>
    <xf numFmtId="182" fontId="32" fillId="5" borderId="6" xfId="87" applyNumberFormat="1" applyFont="1" applyFill="1" applyBorder="1" applyAlignment="1">
      <alignment horizontal="right" vertical="center"/>
    </xf>
    <xf numFmtId="182" fontId="32" fillId="5" borderId="6" xfId="101" applyNumberFormat="1" applyFont="1" applyFill="1" applyBorder="1" applyAlignment="1">
      <alignment horizontal="right" vertical="center"/>
    </xf>
    <xf numFmtId="182" fontId="13" fillId="0" borderId="6" xfId="0" applyNumberFormat="1" applyFont="1" applyBorder="1" applyAlignment="1">
      <alignment horizontal="right" vertical="center"/>
    </xf>
    <xf numFmtId="182" fontId="32" fillId="5" borderId="6" xfId="101" applyNumberFormat="1" applyFont="1" applyFill="1" applyBorder="1" applyAlignment="1">
      <alignment horizontal="right" vertical="center"/>
    </xf>
    <xf numFmtId="189" fontId="22" fillId="5" borderId="6" xfId="101" applyNumberFormat="1" applyFont="1" applyFill="1" applyBorder="1" applyAlignment="1">
      <alignment horizontal="right" vertical="center"/>
    </xf>
    <xf numFmtId="0" fontId="21" fillId="9" borderId="28" xfId="17" applyFont="1" applyFill="1" applyBorder="1" applyAlignment="1">
      <alignment horizontal="center" vertical="center"/>
    </xf>
    <xf numFmtId="3" fontId="22" fillId="9" borderId="28" xfId="0" applyNumberFormat="1" applyFont="1" applyFill="1" applyBorder="1" applyAlignment="1">
      <alignment horizontal="right" vertical="center"/>
    </xf>
    <xf numFmtId="184" fontId="14" fillId="9" borderId="28" xfId="17" quotePrefix="1" applyNumberFormat="1" applyFont="1" applyFill="1" applyBorder="1" applyAlignment="1">
      <alignment horizontal="right" vertical="center" shrinkToFit="1"/>
    </xf>
    <xf numFmtId="176" fontId="14" fillId="9" borderId="28" xfId="17" applyNumberFormat="1" applyFont="1" applyFill="1" applyBorder="1" applyAlignment="1">
      <alignment horizontal="right" vertical="center" shrinkToFit="1"/>
    </xf>
    <xf numFmtId="184" fontId="14" fillId="9" borderId="35" xfId="17" quotePrefix="1" applyNumberFormat="1" applyFont="1" applyFill="1" applyBorder="1" applyAlignment="1">
      <alignment horizontal="right" vertical="center" shrinkToFit="1"/>
    </xf>
    <xf numFmtId="176" fontId="13" fillId="0" borderId="6" xfId="0" applyNumberFormat="1" applyFont="1" applyFill="1" applyBorder="1" applyAlignment="1">
      <alignment horizontal="center" vertical="center"/>
    </xf>
    <xf numFmtId="176" fontId="13" fillId="4" borderId="15" xfId="0" applyNumberFormat="1" applyFont="1" applyFill="1" applyBorder="1" applyAlignment="1">
      <alignment horizontal="center" vertical="center"/>
    </xf>
    <xf numFmtId="188" fontId="22" fillId="0" borderId="25" xfId="15" applyNumberFormat="1" applyFont="1" applyBorder="1" applyAlignment="1">
      <alignment horizontal="center" vertical="center"/>
    </xf>
    <xf numFmtId="189" fontId="22" fillId="0" borderId="6" xfId="101" applyNumberFormat="1" applyFont="1" applyFill="1" applyBorder="1" applyAlignment="1">
      <alignment horizontal="right" vertical="center"/>
    </xf>
    <xf numFmtId="182" fontId="34" fillId="0" borderId="6" xfId="22" applyNumberFormat="1" applyFont="1" applyBorder="1">
      <alignment vertical="center"/>
    </xf>
    <xf numFmtId="182" fontId="31" fillId="0" borderId="6" xfId="22" applyNumberFormat="1" applyFont="1" applyBorder="1" applyAlignment="1">
      <alignment horizontal="right" vertical="center"/>
    </xf>
    <xf numFmtId="176" fontId="13" fillId="0" borderId="20" xfId="19" applyNumberFormat="1" applyFont="1" applyFill="1" applyBorder="1" applyAlignment="1">
      <alignment horizontal="center" vertical="center"/>
    </xf>
    <xf numFmtId="176" fontId="13" fillId="0" borderId="6" xfId="19" applyNumberFormat="1" applyFont="1" applyFill="1" applyBorder="1" applyAlignment="1">
      <alignment horizontal="center" vertical="center"/>
    </xf>
    <xf numFmtId="176" fontId="13" fillId="0" borderId="18" xfId="19" applyNumberFormat="1" applyFont="1" applyFill="1" applyBorder="1" applyAlignment="1">
      <alignment horizontal="center" vertical="center"/>
    </xf>
    <xf numFmtId="176" fontId="13" fillId="0" borderId="20" xfId="19" applyNumberFormat="1" applyFont="1" applyBorder="1" applyAlignment="1">
      <alignment horizontal="right" vertical="center"/>
    </xf>
    <xf numFmtId="176" fontId="13" fillId="0" borderId="18" xfId="19" applyNumberFormat="1" applyFont="1" applyFill="1" applyBorder="1" applyAlignment="1">
      <alignment horizontal="right" vertical="center"/>
    </xf>
    <xf numFmtId="0" fontId="21" fillId="5" borderId="6" xfId="17" applyFont="1" applyFill="1" applyBorder="1" applyAlignment="1">
      <alignment horizontal="center" vertical="center"/>
    </xf>
    <xf numFmtId="184" fontId="14" fillId="5" borderId="6" xfId="17" quotePrefix="1" applyNumberFormat="1" applyFont="1" applyFill="1" applyBorder="1" applyAlignment="1">
      <alignment horizontal="right" vertical="center" shrinkToFit="1"/>
    </xf>
    <xf numFmtId="176" fontId="14" fillId="5" borderId="6" xfId="17" applyNumberFormat="1" applyFont="1" applyFill="1" applyBorder="1" applyAlignment="1">
      <alignment horizontal="right" vertical="center" shrinkToFit="1"/>
    </xf>
    <xf numFmtId="184" fontId="14" fillId="5" borderId="11" xfId="17" quotePrefix="1" applyNumberFormat="1" applyFont="1" applyFill="1" applyBorder="1" applyAlignment="1">
      <alignment horizontal="right" vertical="center" shrinkToFit="1"/>
    </xf>
    <xf numFmtId="41" fontId="22" fillId="9" borderId="36" xfId="40" applyFont="1" applyFill="1" applyBorder="1" applyAlignment="1">
      <alignment horizontal="center" vertical="center"/>
    </xf>
    <xf numFmtId="41" fontId="22" fillId="5" borderId="37" xfId="40" applyFont="1" applyFill="1" applyBorder="1" applyAlignment="1">
      <alignment horizontal="center" vertical="center"/>
    </xf>
    <xf numFmtId="41" fontId="22" fillId="9" borderId="37" xfId="40" applyFont="1" applyFill="1" applyBorder="1" applyAlignment="1">
      <alignment horizontal="center" vertical="center"/>
    </xf>
    <xf numFmtId="41" fontId="22" fillId="9" borderId="37" xfId="23" applyFont="1" applyFill="1" applyBorder="1" applyAlignment="1">
      <alignment horizontal="right" vertical="center"/>
    </xf>
    <xf numFmtId="41" fontId="22" fillId="0" borderId="37" xfId="23" applyFont="1" applyFill="1" applyBorder="1" applyAlignment="1">
      <alignment horizontal="right" vertical="center"/>
    </xf>
    <xf numFmtId="41" fontId="22" fillId="5" borderId="25" xfId="40" applyFont="1" applyFill="1" applyBorder="1" applyAlignment="1">
      <alignment horizontal="center" vertical="center"/>
    </xf>
    <xf numFmtId="185" fontId="14" fillId="9" borderId="38" xfId="17" applyNumberFormat="1" applyFont="1" applyFill="1" applyBorder="1" applyAlignment="1">
      <alignment horizontal="right" vertical="center" shrinkToFit="1"/>
    </xf>
    <xf numFmtId="185" fontId="14" fillId="5" borderId="39" xfId="17" applyNumberFormat="1" applyFont="1" applyFill="1" applyBorder="1" applyAlignment="1">
      <alignment horizontal="right" vertical="center" shrinkToFit="1"/>
    </xf>
    <xf numFmtId="185" fontId="14" fillId="9" borderId="39" xfId="17" applyNumberFormat="1" applyFont="1" applyFill="1" applyBorder="1" applyAlignment="1">
      <alignment horizontal="right" vertical="center" shrinkToFit="1"/>
    </xf>
    <xf numFmtId="185" fontId="14" fillId="4" borderId="39" xfId="17" applyNumberFormat="1" applyFont="1" applyFill="1" applyBorder="1" applyAlignment="1">
      <alignment horizontal="right" vertical="center" shrinkToFit="1"/>
    </xf>
    <xf numFmtId="185" fontId="14" fillId="4" borderId="40" xfId="17" applyNumberFormat="1" applyFont="1" applyFill="1" applyBorder="1" applyAlignment="1">
      <alignment horizontal="right" vertical="center" shrinkToFit="1"/>
    </xf>
    <xf numFmtId="3" fontId="22" fillId="5" borderId="6" xfId="0" applyNumberFormat="1" applyFont="1" applyFill="1" applyBorder="1" applyAlignment="1">
      <alignment horizontal="right" vertical="center"/>
    </xf>
    <xf numFmtId="3" fontId="32" fillId="9" borderId="6" xfId="0" applyNumberFormat="1" applyFont="1" applyFill="1" applyBorder="1" applyAlignment="1">
      <alignment horizontal="right" vertical="center"/>
    </xf>
    <xf numFmtId="3" fontId="22" fillId="0" borderId="6" xfId="0" applyNumberFormat="1" applyFont="1" applyBorder="1" applyAlignment="1">
      <alignment horizontal="right" vertical="center"/>
    </xf>
    <xf numFmtId="3" fontId="22" fillId="5" borderId="13" xfId="0" applyNumberFormat="1" applyFont="1" applyFill="1" applyBorder="1" applyAlignment="1">
      <alignment horizontal="right" vertical="center"/>
    </xf>
    <xf numFmtId="176" fontId="13" fillId="0" borderId="6" xfId="0" applyNumberFormat="1" applyFont="1" applyFill="1" applyBorder="1" applyAlignment="1">
      <alignment horizontal="center" vertical="center"/>
    </xf>
    <xf numFmtId="176" fontId="14" fillId="6" borderId="12" xfId="0" applyNumberFormat="1" applyFont="1" applyFill="1" applyBorder="1" applyAlignment="1">
      <alignment horizontal="center" vertical="center"/>
    </xf>
    <xf numFmtId="176" fontId="14" fillId="6" borderId="13" xfId="0" applyNumberFormat="1" applyFont="1" applyFill="1" applyBorder="1" applyAlignment="1">
      <alignment horizontal="center" vertical="center"/>
    </xf>
    <xf numFmtId="176" fontId="14" fillId="6" borderId="25" xfId="0" applyNumberFormat="1" applyFont="1" applyFill="1" applyBorder="1" applyAlignment="1">
      <alignment horizontal="center" vertical="center"/>
    </xf>
    <xf numFmtId="9" fontId="14" fillId="4" borderId="18" xfId="0" applyNumberFormat="1" applyFont="1" applyFill="1" applyBorder="1" applyAlignment="1">
      <alignment horizontal="right"/>
    </xf>
    <xf numFmtId="9" fontId="14" fillId="4" borderId="18" xfId="0" quotePrefix="1" applyNumberFormat="1" applyFont="1" applyFill="1" applyBorder="1" applyAlignment="1">
      <alignment horizontal="right"/>
    </xf>
    <xf numFmtId="9" fontId="14" fillId="4" borderId="19" xfId="0" quotePrefix="1" applyNumberFormat="1" applyFont="1" applyFill="1" applyBorder="1" applyAlignment="1">
      <alignment horizontal="right"/>
    </xf>
    <xf numFmtId="176" fontId="14" fillId="6" borderId="8" xfId="0" applyNumberFormat="1" applyFont="1" applyFill="1" applyBorder="1" applyAlignment="1">
      <alignment horizontal="center" vertical="center"/>
    </xf>
    <xf numFmtId="176" fontId="14" fillId="6" borderId="17" xfId="0" applyNumberFormat="1" applyFont="1" applyFill="1" applyBorder="1" applyAlignment="1">
      <alignment horizontal="center" vertical="center"/>
    </xf>
    <xf numFmtId="176" fontId="14" fillId="6" borderId="10" xfId="0" applyNumberFormat="1" applyFont="1" applyFill="1" applyBorder="1" applyAlignment="1">
      <alignment horizontal="center" vertical="center"/>
    </xf>
    <xf numFmtId="176" fontId="14" fillId="6" borderId="17" xfId="0" applyNumberFormat="1" applyFont="1" applyFill="1" applyBorder="1" applyAlignment="1">
      <alignment horizontal="center" vertical="center" wrapText="1"/>
    </xf>
    <xf numFmtId="176" fontId="14" fillId="8" borderId="22" xfId="0" applyNumberFormat="1" applyFont="1" applyFill="1" applyBorder="1" applyAlignment="1">
      <alignment horizontal="center" vertical="center"/>
    </xf>
    <xf numFmtId="176" fontId="14" fillId="8" borderId="23" xfId="0" applyNumberFormat="1" applyFont="1" applyFill="1" applyBorder="1" applyAlignment="1">
      <alignment horizontal="center" vertical="center"/>
    </xf>
    <xf numFmtId="176" fontId="14" fillId="6" borderId="9" xfId="0" applyNumberFormat="1" applyFont="1" applyFill="1" applyBorder="1" applyAlignment="1">
      <alignment horizontal="center" vertical="center"/>
    </xf>
    <xf numFmtId="176" fontId="13" fillId="6" borderId="7" xfId="0" applyNumberFormat="1" applyFont="1" applyFill="1" applyBorder="1" applyAlignment="1">
      <alignment horizontal="center" vertical="center"/>
    </xf>
    <xf numFmtId="0" fontId="0" fillId="6" borderId="8" xfId="0" applyFont="1" applyFill="1" applyBorder="1"/>
    <xf numFmtId="0" fontId="0" fillId="6" borderId="10" xfId="0" applyFont="1" applyFill="1" applyBorder="1"/>
    <xf numFmtId="0" fontId="0" fillId="6" borderId="18" xfId="0" applyFont="1" applyFill="1" applyBorder="1"/>
    <xf numFmtId="176" fontId="13" fillId="0" borderId="20" xfId="0" applyNumberFormat="1" applyFont="1" applyFill="1" applyBorder="1" applyAlignment="1">
      <alignment horizontal="center" vertical="center"/>
    </xf>
    <xf numFmtId="176" fontId="13" fillId="0" borderId="18" xfId="0" applyNumberFormat="1" applyFont="1" applyFill="1" applyBorder="1" applyAlignment="1">
      <alignment horizontal="center" vertical="center"/>
    </xf>
    <xf numFmtId="0" fontId="33" fillId="7" borderId="4" xfId="65" applyFont="1" applyFill="1" applyBorder="1" applyAlignment="1">
      <alignment horizontal="center" vertical="center"/>
    </xf>
    <xf numFmtId="0" fontId="33" fillId="7" borderId="5" xfId="65" applyFont="1" applyFill="1" applyBorder="1" applyAlignment="1">
      <alignment horizontal="center" vertical="center"/>
    </xf>
    <xf numFmtId="0" fontId="33" fillId="7" borderId="3" xfId="65" applyFont="1" applyFill="1" applyBorder="1" applyAlignment="1">
      <alignment horizontal="center" vertical="center"/>
    </xf>
    <xf numFmtId="0" fontId="16" fillId="0" borderId="0" xfId="0" applyFont="1" applyBorder="1" applyAlignment="1">
      <alignment horizontal="right"/>
    </xf>
    <xf numFmtId="0" fontId="33" fillId="7" borderId="1" xfId="65" applyFont="1" applyFill="1" applyBorder="1" applyAlignment="1">
      <alignment horizontal="center" vertical="center"/>
    </xf>
    <xf numFmtId="0" fontId="17" fillId="0" borderId="0" xfId="16" applyFont="1" applyAlignment="1">
      <alignment horizontal="left" vertical="center"/>
    </xf>
    <xf numFmtId="0" fontId="15" fillId="0" borderId="0" xfId="16" applyFont="1" applyAlignment="1">
      <alignment horizontal="left" vertical="center"/>
    </xf>
    <xf numFmtId="180" fontId="16" fillId="0" borderId="0" xfId="0" applyNumberFormat="1" applyFont="1" applyBorder="1" applyAlignment="1">
      <alignment horizontal="right"/>
    </xf>
    <xf numFmtId="176" fontId="14" fillId="6" borderId="7" xfId="17" applyNumberFormat="1" applyFont="1" applyFill="1" applyBorder="1" applyAlignment="1">
      <alignment horizontal="center" vertical="center"/>
    </xf>
    <xf numFmtId="176" fontId="14" fillId="6" borderId="26" xfId="17" applyNumberFormat="1" applyFont="1" applyFill="1" applyBorder="1" applyAlignment="1">
      <alignment horizontal="center" vertical="center"/>
    </xf>
    <xf numFmtId="0" fontId="21" fillId="8" borderId="27" xfId="17" applyFont="1" applyFill="1" applyBorder="1" applyAlignment="1">
      <alignment horizontal="center" vertical="center"/>
    </xf>
    <xf numFmtId="0" fontId="21" fillId="8" borderId="30" xfId="17" applyFont="1" applyFill="1" applyBorder="1" applyAlignment="1">
      <alignment horizontal="center" vertical="center"/>
    </xf>
    <xf numFmtId="0" fontId="22" fillId="6" borderId="34" xfId="17" applyFont="1" applyFill="1" applyBorder="1" applyAlignment="1">
      <alignment horizontal="center" vertical="center"/>
    </xf>
    <xf numFmtId="0" fontId="22" fillId="6" borderId="10" xfId="17" applyFont="1" applyFill="1" applyBorder="1" applyAlignment="1">
      <alignment horizontal="center" vertical="center"/>
    </xf>
    <xf numFmtId="176" fontId="14" fillId="6" borderId="8" xfId="17" applyNumberFormat="1" applyFont="1" applyFill="1" applyBorder="1" applyAlignment="1">
      <alignment horizontal="center" vertical="center"/>
    </xf>
    <xf numFmtId="176" fontId="14" fillId="6" borderId="9" xfId="17" applyNumberFormat="1" applyFont="1" applyFill="1" applyBorder="1" applyAlignment="1">
      <alignment horizontal="center" vertical="center"/>
    </xf>
    <xf numFmtId="0" fontId="24" fillId="6" borderId="8" xfId="17" applyFont="1" applyFill="1" applyBorder="1" applyAlignment="1">
      <alignment horizontal="center" vertical="center"/>
    </xf>
    <xf numFmtId="0" fontId="24" fillId="6" borderId="18" xfId="17" applyFont="1" applyFill="1" applyBorder="1" applyAlignment="1">
      <alignment horizontal="center" vertical="center"/>
    </xf>
    <xf numFmtId="0" fontId="22" fillId="6" borderId="12" xfId="17" applyFont="1" applyFill="1" applyBorder="1" applyAlignment="1">
      <alignment horizontal="center" vertical="center"/>
    </xf>
  </cellXfs>
  <cellStyles count="103">
    <cellStyle name="Comma [0]_5year" xfId="1" xr:uid="{00000000-0005-0000-0000-000000000000}"/>
    <cellStyle name="Comma_495ALL" xfId="2" xr:uid="{00000000-0005-0000-0000-000001000000}"/>
    <cellStyle name="Currency [0]_5year" xfId="3" xr:uid="{00000000-0005-0000-0000-000002000000}"/>
    <cellStyle name="Currency_495ALL" xfId="4" xr:uid="{00000000-0005-0000-0000-000003000000}"/>
    <cellStyle name="Grey" xfId="5" xr:uid="{00000000-0005-0000-0000-000004000000}"/>
    <cellStyle name="Input [yellow]" xfId="6" xr:uid="{00000000-0005-0000-0000-000005000000}"/>
    <cellStyle name="Milliers [0]_AR1194" xfId="7" xr:uid="{00000000-0005-0000-0000-000006000000}"/>
    <cellStyle name="Milliers_AR1194" xfId="8" xr:uid="{00000000-0005-0000-0000-000007000000}"/>
    <cellStyle name="Mon?aire [0]_AR1194" xfId="9" xr:uid="{00000000-0005-0000-0000-000008000000}"/>
    <cellStyle name="Mon?aire_AR1194" xfId="10" xr:uid="{00000000-0005-0000-0000-000009000000}"/>
    <cellStyle name="Normal - Style1" xfId="11" xr:uid="{00000000-0005-0000-0000-00000A000000}"/>
    <cellStyle name="Normal_495ALL" xfId="12" xr:uid="{00000000-0005-0000-0000-00000B000000}"/>
    <cellStyle name="Percent [2]" xfId="13" xr:uid="{00000000-0005-0000-0000-00000C000000}"/>
    <cellStyle name="PERCENTAGE" xfId="14" xr:uid="{00000000-0005-0000-0000-00000D000000}"/>
    <cellStyle name="백분율 2" xfId="59" xr:uid="{00000000-0005-0000-0000-00000E000000}"/>
    <cellStyle name="백분율 3" xfId="60" xr:uid="{00000000-0005-0000-0000-00000F000000}"/>
    <cellStyle name="백분율 4" xfId="58" xr:uid="{00000000-0005-0000-0000-000010000000}"/>
    <cellStyle name="쉼표 [0]" xfId="15" builtinId="6"/>
    <cellStyle name="쉼표 [0] 2" xfId="20" xr:uid="{00000000-0005-0000-0000-000012000000}"/>
    <cellStyle name="쉼표 [0] 2 2" xfId="62" xr:uid="{00000000-0005-0000-0000-000013000000}"/>
    <cellStyle name="쉼표 [0] 3" xfId="23" xr:uid="{00000000-0005-0000-0000-000014000000}"/>
    <cellStyle name="쉼표 [0] 3 2" xfId="33" xr:uid="{00000000-0005-0000-0000-000015000000}"/>
    <cellStyle name="쉼표 [0] 3 3" xfId="63" xr:uid="{00000000-0005-0000-0000-000016000000}"/>
    <cellStyle name="쉼표 [0] 4" xfId="40" xr:uid="{00000000-0005-0000-0000-000017000000}"/>
    <cellStyle name="쉼표 [0] 5" xfId="56" xr:uid="{00000000-0005-0000-0000-000018000000}"/>
    <cellStyle name="쉼표 [0] 5 2" xfId="102" xr:uid="{00000000-0005-0000-0000-000019000000}"/>
    <cellStyle name="쉼표 [0] 6" xfId="61" xr:uid="{00000000-0005-0000-0000-00001A000000}"/>
    <cellStyle name="표준" xfId="0" builtinId="0"/>
    <cellStyle name="표준 2" xfId="19" xr:uid="{00000000-0005-0000-0000-00001C000000}"/>
    <cellStyle name="표준 2 2" xfId="64" xr:uid="{00000000-0005-0000-0000-00001D000000}"/>
    <cellStyle name="표준 3" xfId="18" xr:uid="{00000000-0005-0000-0000-00001E000000}"/>
    <cellStyle name="표준 3 10" xfId="71" xr:uid="{00000000-0005-0000-0000-00001F000000}"/>
    <cellStyle name="표준 3 2" xfId="21" xr:uid="{00000000-0005-0000-0000-000020000000}"/>
    <cellStyle name="표준 3 2 2" xfId="29" xr:uid="{00000000-0005-0000-0000-000021000000}"/>
    <cellStyle name="표준 3 2 2 2" xfId="39" xr:uid="{00000000-0005-0000-0000-000022000000}"/>
    <cellStyle name="표준 3 2 2 2 2" xfId="55" xr:uid="{00000000-0005-0000-0000-000023000000}"/>
    <cellStyle name="표준 3 2 2 2 2 2" xfId="101" xr:uid="{00000000-0005-0000-0000-000024000000}"/>
    <cellStyle name="표준 3 2 2 2 3" xfId="86" xr:uid="{00000000-0005-0000-0000-000025000000}"/>
    <cellStyle name="표준 3 2 2 3" xfId="47" xr:uid="{00000000-0005-0000-0000-000026000000}"/>
    <cellStyle name="표준 3 2 2 3 2" xfId="93" xr:uid="{00000000-0005-0000-0000-000027000000}"/>
    <cellStyle name="표준 3 2 2 4" xfId="78" xr:uid="{00000000-0005-0000-0000-000028000000}"/>
    <cellStyle name="표준 3 2 3" xfId="27" xr:uid="{00000000-0005-0000-0000-000029000000}"/>
    <cellStyle name="표준 3 2 3 2" xfId="37" xr:uid="{00000000-0005-0000-0000-00002A000000}"/>
    <cellStyle name="표준 3 2 3 2 2" xfId="53" xr:uid="{00000000-0005-0000-0000-00002B000000}"/>
    <cellStyle name="표준 3 2 3 2 2 2" xfId="99" xr:uid="{00000000-0005-0000-0000-00002C000000}"/>
    <cellStyle name="표준 3 2 3 2 3" xfId="84" xr:uid="{00000000-0005-0000-0000-00002D000000}"/>
    <cellStyle name="표준 3 2 3 3" xfId="45" xr:uid="{00000000-0005-0000-0000-00002E000000}"/>
    <cellStyle name="표준 3 2 3 3 2" xfId="91" xr:uid="{00000000-0005-0000-0000-00002F000000}"/>
    <cellStyle name="표준 3 2 3 4" xfId="76" xr:uid="{00000000-0005-0000-0000-000030000000}"/>
    <cellStyle name="표준 3 2 4" xfId="35" xr:uid="{00000000-0005-0000-0000-000031000000}"/>
    <cellStyle name="표준 3 2 4 2" xfId="51" xr:uid="{00000000-0005-0000-0000-000032000000}"/>
    <cellStyle name="표준 3 2 4 2 2" xfId="97" xr:uid="{00000000-0005-0000-0000-000033000000}"/>
    <cellStyle name="표준 3 2 4 3" xfId="82" xr:uid="{00000000-0005-0000-0000-000034000000}"/>
    <cellStyle name="표준 3 2 5" xfId="43" xr:uid="{00000000-0005-0000-0000-000035000000}"/>
    <cellStyle name="표준 3 2 5 2" xfId="89" xr:uid="{00000000-0005-0000-0000-000036000000}"/>
    <cellStyle name="표준 3 2 6" xfId="25" xr:uid="{00000000-0005-0000-0000-000037000000}"/>
    <cellStyle name="표준 3 2 6 2" xfId="74" xr:uid="{00000000-0005-0000-0000-000038000000}"/>
    <cellStyle name="표준 3 2 7" xfId="72" xr:uid="{00000000-0005-0000-0000-000039000000}"/>
    <cellStyle name="표준 3 3" xfId="28" xr:uid="{00000000-0005-0000-0000-00003A000000}"/>
    <cellStyle name="표준 3 3 2" xfId="38" xr:uid="{00000000-0005-0000-0000-00003B000000}"/>
    <cellStyle name="표준 3 3 2 2" xfId="54" xr:uid="{00000000-0005-0000-0000-00003C000000}"/>
    <cellStyle name="표준 3 3 2 2 2" xfId="100" xr:uid="{00000000-0005-0000-0000-00003D000000}"/>
    <cellStyle name="표준 3 3 2 3" xfId="85" xr:uid="{00000000-0005-0000-0000-00003E000000}"/>
    <cellStyle name="표준 3 3 3" xfId="46" xr:uid="{00000000-0005-0000-0000-00003F000000}"/>
    <cellStyle name="표준 3 3 3 2" xfId="92" xr:uid="{00000000-0005-0000-0000-000040000000}"/>
    <cellStyle name="표준 3 3 4" xfId="77" xr:uid="{00000000-0005-0000-0000-000041000000}"/>
    <cellStyle name="표준 3 4" xfId="26" xr:uid="{00000000-0005-0000-0000-000042000000}"/>
    <cellStyle name="표준 3 4 2" xfId="36" xr:uid="{00000000-0005-0000-0000-000043000000}"/>
    <cellStyle name="표준 3 4 2 2" xfId="52" xr:uid="{00000000-0005-0000-0000-000044000000}"/>
    <cellStyle name="표준 3 4 2 2 2" xfId="98" xr:uid="{00000000-0005-0000-0000-000045000000}"/>
    <cellStyle name="표준 3 4 2 3" xfId="83" xr:uid="{00000000-0005-0000-0000-000046000000}"/>
    <cellStyle name="표준 3 4 3" xfId="44" xr:uid="{00000000-0005-0000-0000-000047000000}"/>
    <cellStyle name="표준 3 4 3 2" xfId="90" xr:uid="{00000000-0005-0000-0000-000048000000}"/>
    <cellStyle name="표준 3 4 4" xfId="75" xr:uid="{00000000-0005-0000-0000-000049000000}"/>
    <cellStyle name="표준 3 5" xfId="30" xr:uid="{00000000-0005-0000-0000-00004A000000}"/>
    <cellStyle name="표준 3 5 2" xfId="48" xr:uid="{00000000-0005-0000-0000-00004B000000}"/>
    <cellStyle name="표준 3 5 2 2" xfId="94" xr:uid="{00000000-0005-0000-0000-00004C000000}"/>
    <cellStyle name="표준 3 5 3" xfId="79" xr:uid="{00000000-0005-0000-0000-00004D000000}"/>
    <cellStyle name="표준 3 6" xfId="34" xr:uid="{00000000-0005-0000-0000-00004E000000}"/>
    <cellStyle name="표준 3 6 2" xfId="50" xr:uid="{00000000-0005-0000-0000-00004F000000}"/>
    <cellStyle name="표준 3 6 2 2" xfId="96" xr:uid="{00000000-0005-0000-0000-000050000000}"/>
    <cellStyle name="표준 3 6 3" xfId="81" xr:uid="{00000000-0005-0000-0000-000051000000}"/>
    <cellStyle name="표준 3 7" xfId="42" xr:uid="{00000000-0005-0000-0000-000052000000}"/>
    <cellStyle name="표준 3 7 2" xfId="88" xr:uid="{00000000-0005-0000-0000-000053000000}"/>
    <cellStyle name="표준 3 8" xfId="24" xr:uid="{00000000-0005-0000-0000-000054000000}"/>
    <cellStyle name="표준 3 8 2" xfId="73" xr:uid="{00000000-0005-0000-0000-000055000000}"/>
    <cellStyle name="표준 3 9" xfId="65" xr:uid="{00000000-0005-0000-0000-000056000000}"/>
    <cellStyle name="표준 4" xfId="22" xr:uid="{00000000-0005-0000-0000-000057000000}"/>
    <cellStyle name="표준 4 2" xfId="66" xr:uid="{00000000-0005-0000-0000-000058000000}"/>
    <cellStyle name="표준 5" xfId="32" xr:uid="{00000000-0005-0000-0000-000059000000}"/>
    <cellStyle name="표준 5 2" xfId="67" xr:uid="{00000000-0005-0000-0000-00005A000000}"/>
    <cellStyle name="표준 6" xfId="31" xr:uid="{00000000-0005-0000-0000-00005B000000}"/>
    <cellStyle name="표준 6 2" xfId="49" xr:uid="{00000000-0005-0000-0000-00005C000000}"/>
    <cellStyle name="표준 6 2 2" xfId="95" xr:uid="{00000000-0005-0000-0000-00005D000000}"/>
    <cellStyle name="표준 6 3" xfId="68" xr:uid="{00000000-0005-0000-0000-00005E000000}"/>
    <cellStyle name="표준 6 4" xfId="80" xr:uid="{00000000-0005-0000-0000-00005F000000}"/>
    <cellStyle name="표준 7" xfId="41" xr:uid="{00000000-0005-0000-0000-000060000000}"/>
    <cellStyle name="표준 7 2" xfId="69" xr:uid="{00000000-0005-0000-0000-000061000000}"/>
    <cellStyle name="표준 7 3" xfId="87" xr:uid="{00000000-0005-0000-0000-000062000000}"/>
    <cellStyle name="표준 8" xfId="70" xr:uid="{00000000-0005-0000-0000-000063000000}"/>
    <cellStyle name="표준 9" xfId="57" xr:uid="{00000000-0005-0000-0000-000064000000}"/>
    <cellStyle name="표준_2008년 03월 평택.당진항 항만운영통계" xfId="16" xr:uid="{00000000-0005-0000-0000-000065000000}"/>
    <cellStyle name="표준_부두별입출항 실적(03)" xfId="17" xr:uid="{00000000-0005-0000-0000-000066000000}"/>
  </cellStyles>
  <dxfs count="0"/>
  <tableStyles count="0" defaultTableStyle="TableStyleMedium9" defaultPivotStyle="PivotStyleLight16"/>
  <colors>
    <mruColors>
      <color rgb="FF0000FF"/>
      <color rgb="FFCCFFCC"/>
      <color rgb="FF99FFCC"/>
      <color rgb="FF99FF99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235071642942488"/>
          <c:y val="0.10236220472440972"/>
          <c:w val="0.74951971474536849"/>
          <c:h val="0.62204724409452195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수송실적'!$K$6:$P$6</c:f>
              <c:strCache>
                <c:ptCount val="6"/>
                <c:pt idx="0">
                  <c:v>2019 </c:v>
                </c:pt>
                <c:pt idx="1">
                  <c:v>2020 </c:v>
                </c:pt>
                <c:pt idx="2">
                  <c:v>2021 </c:v>
                </c:pt>
                <c:pt idx="3">
                  <c:v>2022 </c:v>
                </c:pt>
                <c:pt idx="4">
                  <c:v>2023 </c:v>
                </c:pt>
                <c:pt idx="5">
                  <c:v>2024.5.</c:v>
                </c:pt>
              </c:strCache>
            </c:strRef>
          </c:cat>
          <c:val>
            <c:numRef>
              <c:f>'연도별 수송실적'!$K$7:$P$7</c:f>
              <c:numCache>
                <c:formatCode>#,##0,</c:formatCode>
                <c:ptCount val="6"/>
                <c:pt idx="0">
                  <c:v>113201331</c:v>
                </c:pt>
                <c:pt idx="1">
                  <c:v>106847350</c:v>
                </c:pt>
                <c:pt idx="2">
                  <c:v>116876152</c:v>
                </c:pt>
                <c:pt idx="3">
                  <c:v>116171568</c:v>
                </c:pt>
                <c:pt idx="4">
                  <c:v>116607017</c:v>
                </c:pt>
                <c:pt idx="5">
                  <c:v>58513795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34-453A-8CBA-AAEDE759D6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944640"/>
        <c:axId val="46946944"/>
      </c:lineChart>
      <c:catAx>
        <c:axId val="469446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화물입출항 실적</a:t>
                </a:r>
              </a:p>
            </c:rich>
          </c:tx>
          <c:layout>
            <c:manualLayout>
              <c:xMode val="edge"/>
              <c:yMode val="edge"/>
              <c:x val="0.48362302134913548"/>
              <c:y val="0.8779529617621325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4694694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6946944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</a:t>
                </a:r>
                <a:r>
                  <a:rPr lang="ko-KR"/>
                  <a:t>천톤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r>
                  <a:rPr lang="en-US" altLang="ko-KR"/>
                  <a:t>2.06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4.6242714506047576E-2"/>
              <c:y val="0.738661314394560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46944640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717834531553121"/>
          <c:y val="0.12566179227596547"/>
          <c:w val="0.68998173328004464"/>
          <c:h val="0.63492309540512892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수송실적'!$C$9:$H$9</c:f>
              <c:strCache>
                <c:ptCount val="6"/>
                <c:pt idx="0">
                  <c:v>2019 </c:v>
                </c:pt>
                <c:pt idx="1">
                  <c:v>2020 </c:v>
                </c:pt>
                <c:pt idx="2">
                  <c:v>2021 </c:v>
                </c:pt>
                <c:pt idx="3">
                  <c:v>2022 </c:v>
                </c:pt>
                <c:pt idx="4">
                  <c:v>2023 </c:v>
                </c:pt>
                <c:pt idx="5">
                  <c:v>2024.5.</c:v>
                </c:pt>
              </c:strCache>
            </c:strRef>
          </c:cat>
          <c:val>
            <c:numRef>
              <c:f>'연도별 수송실적'!$C$10:$H$10</c:f>
              <c:numCache>
                <c:formatCode>_ * #,##0_ ;_ * \-#,##0_ ;_ * "-"_ ;_ @_ </c:formatCode>
                <c:ptCount val="6"/>
                <c:pt idx="0">
                  <c:v>725047</c:v>
                </c:pt>
                <c:pt idx="1">
                  <c:v>792643</c:v>
                </c:pt>
                <c:pt idx="2">
                  <c:v>936246</c:v>
                </c:pt>
                <c:pt idx="3">
                  <c:v>851953</c:v>
                </c:pt>
                <c:pt idx="4">
                  <c:v>820289</c:v>
                </c:pt>
                <c:pt idx="5">
                  <c:v>450058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EA-4263-8FD2-A370638DD2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379712"/>
        <c:axId val="201054464"/>
      </c:lineChart>
      <c:catAx>
        <c:axId val="1473797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컨테이너</a:t>
                </a:r>
              </a:p>
            </c:rich>
          </c:tx>
          <c:layout>
            <c:manualLayout>
              <c:xMode val="edge"/>
              <c:yMode val="edge"/>
              <c:x val="0.55765649739126733"/>
              <c:y val="0.8926455026455484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0105446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01054464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TEU)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r>
                  <a:rPr lang="en-US" altLang="ko-KR"/>
                  <a:t>1.7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5.2929962702030674E-2"/>
              <c:y val="0.736587093280006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47379712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5291852820111876"/>
          <c:y val="0.11646632022747329"/>
          <c:w val="0.71011740610315865"/>
          <c:h val="0.62650848122364933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수송실적'!$K$9:$P$9</c:f>
              <c:strCache>
                <c:ptCount val="6"/>
                <c:pt idx="0">
                  <c:v>2019 </c:v>
                </c:pt>
                <c:pt idx="1">
                  <c:v>2020 </c:v>
                </c:pt>
                <c:pt idx="2">
                  <c:v>2021 </c:v>
                </c:pt>
                <c:pt idx="3">
                  <c:v>2022 </c:v>
                </c:pt>
                <c:pt idx="4">
                  <c:v>2023 </c:v>
                </c:pt>
                <c:pt idx="5">
                  <c:v>2024.5.</c:v>
                </c:pt>
              </c:strCache>
            </c:strRef>
          </c:cat>
          <c:val>
            <c:numRef>
              <c:f>'연도별 수송실적'!$K$10:$P$10</c:f>
              <c:numCache>
                <c:formatCode>_ * #,##0_ ;_ * \-#,##0_ ;_ * "-"_ ;_ @_ </c:formatCode>
                <c:ptCount val="6"/>
                <c:pt idx="0">
                  <c:v>623733</c:v>
                </c:pt>
                <c:pt idx="1">
                  <c:v>40267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6E-493C-8F5F-56CB97617A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381824"/>
        <c:axId val="144384000"/>
      </c:lineChart>
      <c:catAx>
        <c:axId val="1443818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여 객</a:t>
                </a:r>
              </a:p>
            </c:rich>
          </c:tx>
          <c:layout>
            <c:manualLayout>
              <c:xMode val="edge"/>
              <c:yMode val="edge"/>
              <c:x val="0.56809424809424813"/>
              <c:y val="0.8875535958004983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4438400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44384000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명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endParaRPr lang="en-US" altLang="ko-KR"/>
              </a:p>
              <a:p>
                <a:pPr>
                  <a:defRPr/>
                </a:pPr>
                <a:r>
                  <a:rPr lang="en-US" altLang="ko-KR"/>
                  <a:t>-0.07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4.280168721113934E-2"/>
              <c:y val="0.7334135433070865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44381824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1354784780343869"/>
          <c:y val="0.12706733923884511"/>
          <c:w val="0.75236364341221218"/>
          <c:h val="0.63492309540512948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수송실적'!$C$6:$H$6</c:f>
              <c:strCache>
                <c:ptCount val="6"/>
                <c:pt idx="0">
                  <c:v>2019 </c:v>
                </c:pt>
                <c:pt idx="1">
                  <c:v>2020 </c:v>
                </c:pt>
                <c:pt idx="2">
                  <c:v>2021 </c:v>
                </c:pt>
                <c:pt idx="3">
                  <c:v>2022 </c:v>
                </c:pt>
                <c:pt idx="4">
                  <c:v>2023 </c:v>
                </c:pt>
                <c:pt idx="5">
                  <c:v>2024.5.</c:v>
                </c:pt>
              </c:strCache>
            </c:strRef>
          </c:cat>
          <c:val>
            <c:numRef>
              <c:f>'연도별 수송실적'!$C$7:$H$7</c:f>
              <c:numCache>
                <c:formatCode>_ * #,##0_ ;_ * \-#,##0_ ;_ * "-"_ ;_ @_ </c:formatCode>
                <c:ptCount val="6"/>
                <c:pt idx="0">
                  <c:v>18416</c:v>
                </c:pt>
                <c:pt idx="1">
                  <c:v>17409</c:v>
                </c:pt>
                <c:pt idx="2">
                  <c:v>16473</c:v>
                </c:pt>
                <c:pt idx="3">
                  <c:v>16626</c:v>
                </c:pt>
                <c:pt idx="4">
                  <c:v>17324</c:v>
                </c:pt>
                <c:pt idx="5">
                  <c:v>8520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39-4935-B959-D16333445D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393728"/>
        <c:axId val="144395648"/>
      </c:lineChart>
      <c:catAx>
        <c:axId val="1443937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선박입출항</a:t>
                </a:r>
              </a:p>
            </c:rich>
          </c:tx>
          <c:layout>
            <c:manualLayout>
              <c:xMode val="edge"/>
              <c:yMode val="edge"/>
              <c:x val="0.52362975754791263"/>
              <c:y val="0.8730198136998172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4439564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44395648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척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/>
                  <a:t>평균증가율 </a:t>
                </a:r>
                <a:r>
                  <a:rPr lang="en-US" altLang="ko-KR"/>
                  <a:t>8.6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3.2136123829591752E-2"/>
              <c:y val="0.738661314394560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44393728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</xdr:colOff>
      <xdr:row>13</xdr:row>
      <xdr:rowOff>0</xdr:rowOff>
    </xdr:from>
    <xdr:to>
      <xdr:col>15</xdr:col>
      <xdr:colOff>752475</xdr:colOff>
      <xdr:row>20</xdr:row>
      <xdr:rowOff>295275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19050</xdr:colOff>
      <xdr:row>23</xdr:row>
      <xdr:rowOff>0</xdr:rowOff>
    </xdr:from>
    <xdr:to>
      <xdr:col>7</xdr:col>
      <xdr:colOff>733425</xdr:colOff>
      <xdr:row>30</xdr:row>
      <xdr:rowOff>266700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28575</xdr:colOff>
      <xdr:row>23</xdr:row>
      <xdr:rowOff>9525</xdr:rowOff>
    </xdr:from>
    <xdr:to>
      <xdr:col>15</xdr:col>
      <xdr:colOff>742950</xdr:colOff>
      <xdr:row>30</xdr:row>
      <xdr:rowOff>257175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28575</xdr:colOff>
      <xdr:row>13</xdr:row>
      <xdr:rowOff>0</xdr:rowOff>
    </xdr:from>
    <xdr:to>
      <xdr:col>7</xdr:col>
      <xdr:colOff>752475</xdr:colOff>
      <xdr:row>20</xdr:row>
      <xdr:rowOff>295275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zoomScaleNormal="199" zoomScaleSheetLayoutView="68" workbookViewId="0"/>
  </sheetViews>
  <sheetFormatPr defaultRowHeight="14.25"/>
  <sheetData/>
  <phoneticPr fontId="8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P30"/>
  <sheetViews>
    <sheetView showGridLines="0" tabSelected="1" zoomScaleNormal="100" zoomScaleSheetLayoutView="110" workbookViewId="0">
      <selection activeCell="B3" sqref="B3:M3"/>
    </sheetView>
  </sheetViews>
  <sheetFormatPr defaultRowHeight="24" customHeight="1"/>
  <cols>
    <col min="1" max="1" width="3.625" customWidth="1"/>
    <col min="2" max="2" width="10" bestFit="1" customWidth="1"/>
    <col min="3" max="3" width="7.25" customWidth="1"/>
    <col min="4" max="4" width="4.875" customWidth="1"/>
    <col min="5" max="5" width="11.875" customWidth="1"/>
    <col min="6" max="6" width="12.625" bestFit="1" customWidth="1"/>
    <col min="7" max="7" width="13.875" customWidth="1"/>
    <col min="8" max="8" width="12.625" bestFit="1" customWidth="1"/>
    <col min="9" max="9" width="13.875" customWidth="1"/>
    <col min="10" max="10" width="12.625" style="2" bestFit="1" customWidth="1"/>
    <col min="11" max="11" width="7.75" style="1" customWidth="1"/>
    <col min="12" max="12" width="13.75" style="3" bestFit="1" customWidth="1"/>
    <col min="13" max="13" width="7.75" style="4" customWidth="1"/>
    <col min="14" max="18" width="9" customWidth="1"/>
    <col min="20" max="21" width="9" customWidth="1"/>
  </cols>
  <sheetData>
    <row r="1" spans="2:16" ht="13.5" customHeight="1"/>
    <row r="2" spans="2:16" ht="13.5" customHeight="1"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</row>
    <row r="3" spans="2:16" ht="42.95" customHeight="1">
      <c r="B3" s="230" t="s">
        <v>107</v>
      </c>
      <c r="C3" s="231"/>
      <c r="D3" s="231"/>
      <c r="E3" s="231"/>
      <c r="F3" s="231"/>
      <c r="G3" s="231"/>
      <c r="H3" s="231"/>
      <c r="I3" s="231"/>
      <c r="J3" s="231"/>
      <c r="K3" s="231"/>
      <c r="L3" s="231"/>
      <c r="M3" s="232"/>
      <c r="N3" s="39"/>
      <c r="O3" s="39"/>
      <c r="P3" s="39"/>
    </row>
    <row r="4" spans="2:16" ht="21" customHeight="1">
      <c r="B4" s="113"/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4"/>
    </row>
    <row r="5" spans="2:16" ht="21" customHeight="1">
      <c r="B5" s="37"/>
      <c r="C5" s="38"/>
      <c r="D5" s="38"/>
      <c r="E5" s="38"/>
      <c r="F5" s="38"/>
      <c r="G5" s="38"/>
      <c r="H5" s="38"/>
      <c r="I5" s="38"/>
      <c r="J5" s="38"/>
      <c r="K5" s="233" t="s">
        <v>85</v>
      </c>
      <c r="L5" s="233"/>
      <c r="M5" s="233"/>
    </row>
    <row r="6" spans="2:16" ht="21" customHeight="1">
      <c r="B6" s="224" t="s">
        <v>7</v>
      </c>
      <c r="C6" s="225"/>
      <c r="D6" s="225"/>
      <c r="E6" s="72"/>
      <c r="F6" s="217" t="s">
        <v>101</v>
      </c>
      <c r="G6" s="217"/>
      <c r="H6" s="217" t="s">
        <v>102</v>
      </c>
      <c r="I6" s="217"/>
      <c r="J6" s="217" t="s">
        <v>15</v>
      </c>
      <c r="K6" s="217"/>
      <c r="L6" s="217"/>
      <c r="M6" s="223"/>
    </row>
    <row r="7" spans="2:16" ht="21" customHeight="1" thickBot="1">
      <c r="B7" s="226"/>
      <c r="C7" s="227"/>
      <c r="D7" s="227"/>
      <c r="E7" s="75" t="s">
        <v>11</v>
      </c>
      <c r="F7" s="76" t="s">
        <v>108</v>
      </c>
      <c r="G7" s="75" t="s">
        <v>109</v>
      </c>
      <c r="H7" s="75" t="s">
        <v>110</v>
      </c>
      <c r="I7" s="75" t="s">
        <v>111</v>
      </c>
      <c r="J7" s="75" t="s">
        <v>37</v>
      </c>
      <c r="K7" s="77" t="s">
        <v>16</v>
      </c>
      <c r="L7" s="78" t="s">
        <v>18</v>
      </c>
      <c r="M7" s="79" t="s">
        <v>16</v>
      </c>
    </row>
    <row r="8" spans="2:16" ht="20.100000000000001" customHeight="1" thickBot="1">
      <c r="B8" s="218" t="s">
        <v>19</v>
      </c>
      <c r="C8" s="221" t="s">
        <v>12</v>
      </c>
      <c r="D8" s="222"/>
      <c r="E8" s="84">
        <f>SUM(E9:E10)</f>
        <v>17324</v>
      </c>
      <c r="F8" s="84">
        <f>SUM(F9:F10)</f>
        <v>1505</v>
      </c>
      <c r="G8" s="84">
        <f>SUM(G9:G10)</f>
        <v>8735</v>
      </c>
      <c r="H8" s="84">
        <f>SUM(H9:H10)</f>
        <v>1420</v>
      </c>
      <c r="I8" s="84">
        <f>SUM(I9:I10)</f>
        <v>8520</v>
      </c>
      <c r="J8" s="84">
        <f>H8-F8</f>
        <v>-85</v>
      </c>
      <c r="K8" s="85">
        <f>H8/F8</f>
        <v>0.94352159468438535</v>
      </c>
      <c r="L8" s="84">
        <f>I8-G8</f>
        <v>-215</v>
      </c>
      <c r="M8" s="86">
        <f>I8/G8</f>
        <v>0.97538637664567829</v>
      </c>
    </row>
    <row r="9" spans="2:16" ht="20.100000000000001" customHeight="1">
      <c r="B9" s="219"/>
      <c r="C9" s="228" t="s">
        <v>9</v>
      </c>
      <c r="D9" s="228"/>
      <c r="E9" s="168">
        <v>10498</v>
      </c>
      <c r="F9" s="189">
        <v>923</v>
      </c>
      <c r="G9" s="80">
        <v>5335</v>
      </c>
      <c r="H9" s="80">
        <v>841</v>
      </c>
      <c r="I9" s="80">
        <v>5194</v>
      </c>
      <c r="J9" s="81">
        <f t="shared" ref="J9:J29" si="0">H9-F9</f>
        <v>-82</v>
      </c>
      <c r="K9" s="82">
        <f t="shared" ref="K9:K29" si="1">H9/F9</f>
        <v>0.9111592632719393</v>
      </c>
      <c r="L9" s="81">
        <f t="shared" ref="L9:L29" si="2">I9-G9</f>
        <v>-141</v>
      </c>
      <c r="M9" s="83">
        <f t="shared" ref="M9:M29" si="3">I9/G9</f>
        <v>0.97357075913776947</v>
      </c>
    </row>
    <row r="10" spans="2:16" ht="20.100000000000001" customHeight="1" thickBot="1">
      <c r="B10" s="219"/>
      <c r="C10" s="229" t="s">
        <v>10</v>
      </c>
      <c r="D10" s="229"/>
      <c r="E10" s="169">
        <v>6826</v>
      </c>
      <c r="F10" s="190">
        <v>582</v>
      </c>
      <c r="G10" s="87">
        <v>3400</v>
      </c>
      <c r="H10" s="87">
        <v>579</v>
      </c>
      <c r="I10" s="87">
        <v>3326</v>
      </c>
      <c r="J10" s="87">
        <f t="shared" si="0"/>
        <v>-3</v>
      </c>
      <c r="K10" s="88">
        <f t="shared" si="1"/>
        <v>0.99484536082474229</v>
      </c>
      <c r="L10" s="87">
        <f t="shared" si="2"/>
        <v>-74</v>
      </c>
      <c r="M10" s="89">
        <f t="shared" si="3"/>
        <v>0.97823529411764709</v>
      </c>
      <c r="O10" t="s">
        <v>100</v>
      </c>
    </row>
    <row r="11" spans="2:16" ht="20.100000000000001" customHeight="1" thickBot="1">
      <c r="B11" s="218" t="s">
        <v>20</v>
      </c>
      <c r="C11" s="221" t="s">
        <v>8</v>
      </c>
      <c r="D11" s="222"/>
      <c r="E11" s="95">
        <f>E12+E16</f>
        <v>116607017</v>
      </c>
      <c r="F11" s="95">
        <f>F12+F16</f>
        <v>8940573</v>
      </c>
      <c r="G11" s="95">
        <f>G12+G16</f>
        <v>59097373</v>
      </c>
      <c r="H11" s="95">
        <f>H12+H16</f>
        <v>9818972</v>
      </c>
      <c r="I11" s="95">
        <f>I12+I16</f>
        <v>58513795</v>
      </c>
      <c r="J11" s="95">
        <f t="shared" si="0"/>
        <v>878399</v>
      </c>
      <c r="K11" s="85">
        <f t="shared" si="1"/>
        <v>1.0982486245568377</v>
      </c>
      <c r="L11" s="96">
        <f>I11-G11</f>
        <v>-583578</v>
      </c>
      <c r="M11" s="86">
        <f t="shared" si="3"/>
        <v>0.99012514481819691</v>
      </c>
    </row>
    <row r="12" spans="2:16" ht="20.100000000000001" customHeight="1">
      <c r="B12" s="219"/>
      <c r="C12" s="228" t="s">
        <v>1</v>
      </c>
      <c r="D12" s="90" t="s">
        <v>0</v>
      </c>
      <c r="E12" s="91">
        <f>SUM(E13:E15)</f>
        <v>105503891</v>
      </c>
      <c r="F12" s="91">
        <f>SUM(F13:F15)</f>
        <v>8094132</v>
      </c>
      <c r="G12" s="91">
        <f>SUM(G13:G15)</f>
        <v>53622643</v>
      </c>
      <c r="H12" s="91">
        <f>SUM(H13:H15)</f>
        <v>8888273</v>
      </c>
      <c r="I12" s="91">
        <f>SUM(I13:I15)</f>
        <v>53086543</v>
      </c>
      <c r="J12" s="92">
        <f t="shared" si="0"/>
        <v>794141</v>
      </c>
      <c r="K12" s="93">
        <f t="shared" si="1"/>
        <v>1.0981131763109373</v>
      </c>
      <c r="L12" s="92">
        <f>I12-G12</f>
        <v>-536100</v>
      </c>
      <c r="M12" s="94">
        <f t="shared" si="3"/>
        <v>0.99000235777262979</v>
      </c>
    </row>
    <row r="13" spans="2:16" ht="20.100000000000001" customHeight="1">
      <c r="B13" s="219"/>
      <c r="C13" s="210"/>
      <c r="D13" s="61" t="s">
        <v>5</v>
      </c>
      <c r="E13" s="170">
        <v>85548211</v>
      </c>
      <c r="F13" s="184">
        <v>6558178</v>
      </c>
      <c r="G13" s="172">
        <v>43459679</v>
      </c>
      <c r="H13" s="172">
        <v>7190926</v>
      </c>
      <c r="I13" s="172">
        <v>43032503</v>
      </c>
      <c r="J13" s="57">
        <f t="shared" si="0"/>
        <v>632748</v>
      </c>
      <c r="K13" s="54">
        <f t="shared" si="1"/>
        <v>1.0964822851712777</v>
      </c>
      <c r="L13" s="57">
        <f>I13-G13</f>
        <v>-427176</v>
      </c>
      <c r="M13" s="66">
        <f t="shared" si="3"/>
        <v>0.99017075114613706</v>
      </c>
      <c r="O13" s="29"/>
    </row>
    <row r="14" spans="2:16" ht="20.100000000000001" customHeight="1">
      <c r="B14" s="219"/>
      <c r="C14" s="210"/>
      <c r="D14" s="61" t="s">
        <v>6</v>
      </c>
      <c r="E14" s="171">
        <v>17063258</v>
      </c>
      <c r="F14" s="184">
        <v>1393137</v>
      </c>
      <c r="G14" s="172">
        <v>8617470</v>
      </c>
      <c r="H14" s="172">
        <v>1502138</v>
      </c>
      <c r="I14" s="172">
        <v>8728850</v>
      </c>
      <c r="J14" s="57">
        <f t="shared" si="0"/>
        <v>109001</v>
      </c>
      <c r="K14" s="54">
        <f t="shared" si="1"/>
        <v>1.0782414077007503</v>
      </c>
      <c r="L14" s="57">
        <f t="shared" si="2"/>
        <v>111380</v>
      </c>
      <c r="M14" s="66">
        <f t="shared" si="3"/>
        <v>1.0129249071943389</v>
      </c>
    </row>
    <row r="15" spans="2:16" ht="20.100000000000001" customHeight="1">
      <c r="B15" s="219"/>
      <c r="C15" s="210"/>
      <c r="D15" s="61" t="s">
        <v>13</v>
      </c>
      <c r="E15" s="171">
        <v>2892422</v>
      </c>
      <c r="F15" s="184">
        <v>142817</v>
      </c>
      <c r="G15" s="172">
        <v>1545494</v>
      </c>
      <c r="H15" s="172">
        <v>195209</v>
      </c>
      <c r="I15" s="172">
        <v>1325190</v>
      </c>
      <c r="J15" s="57">
        <f t="shared" si="0"/>
        <v>52392</v>
      </c>
      <c r="K15" s="54">
        <f>H15/F15</f>
        <v>1.3668470840306126</v>
      </c>
      <c r="L15" s="57">
        <f t="shared" si="2"/>
        <v>-220304</v>
      </c>
      <c r="M15" s="66">
        <f t="shared" si="3"/>
        <v>0.85745399205690864</v>
      </c>
      <c r="O15" s="29"/>
    </row>
    <row r="16" spans="2:16" ht="20.100000000000001" customHeight="1">
      <c r="B16" s="219"/>
      <c r="C16" s="210" t="s">
        <v>2</v>
      </c>
      <c r="D16" s="59" t="s">
        <v>0</v>
      </c>
      <c r="E16" s="58">
        <f>SUM(E17:E19)</f>
        <v>11103126</v>
      </c>
      <c r="F16" s="58">
        <f>SUM(F17:F19)</f>
        <v>846441</v>
      </c>
      <c r="G16" s="58">
        <f>SUM(G17:G19)</f>
        <v>5474730</v>
      </c>
      <c r="H16" s="58">
        <f>SUM(H17:H19)</f>
        <v>930699</v>
      </c>
      <c r="I16" s="58">
        <f>SUM(I17:I19)</f>
        <v>5427252</v>
      </c>
      <c r="J16" s="52">
        <f t="shared" si="0"/>
        <v>84258</v>
      </c>
      <c r="K16" s="53">
        <f t="shared" si="1"/>
        <v>1.0995438547990941</v>
      </c>
      <c r="L16" s="60">
        <f t="shared" si="2"/>
        <v>-47478</v>
      </c>
      <c r="M16" s="67">
        <f t="shared" si="3"/>
        <v>0.99132779150752637</v>
      </c>
      <c r="O16" s="29"/>
    </row>
    <row r="17" spans="2:15" ht="20.100000000000001" customHeight="1">
      <c r="B17" s="219"/>
      <c r="C17" s="210"/>
      <c r="D17" s="61" t="s">
        <v>3</v>
      </c>
      <c r="E17" s="173">
        <v>7713381</v>
      </c>
      <c r="F17" s="185">
        <v>573559</v>
      </c>
      <c r="G17" s="172">
        <v>3772880</v>
      </c>
      <c r="H17" s="172">
        <v>656991</v>
      </c>
      <c r="I17" s="172">
        <v>3845166</v>
      </c>
      <c r="J17" s="57">
        <f t="shared" si="0"/>
        <v>83432</v>
      </c>
      <c r="K17" s="54">
        <f t="shared" si="1"/>
        <v>1.1454636750534819</v>
      </c>
      <c r="L17" s="57">
        <f t="shared" si="2"/>
        <v>72286</v>
      </c>
      <c r="M17" s="66">
        <f t="shared" si="3"/>
        <v>1.0191593689701237</v>
      </c>
      <c r="O17" s="29"/>
    </row>
    <row r="18" spans="2:15" ht="20.100000000000001" customHeight="1">
      <c r="B18" s="219"/>
      <c r="C18" s="210"/>
      <c r="D18" s="61" t="s">
        <v>4</v>
      </c>
      <c r="E18" s="173">
        <v>3389745</v>
      </c>
      <c r="F18" s="185">
        <v>272882</v>
      </c>
      <c r="G18" s="172">
        <v>1701850</v>
      </c>
      <c r="H18" s="172">
        <v>273708</v>
      </c>
      <c r="I18" s="172">
        <v>1582086</v>
      </c>
      <c r="J18" s="57">
        <f t="shared" si="0"/>
        <v>826</v>
      </c>
      <c r="K18" s="54">
        <f t="shared" si="1"/>
        <v>1.0030269493773865</v>
      </c>
      <c r="L18" s="57">
        <f t="shared" si="2"/>
        <v>-119764</v>
      </c>
      <c r="M18" s="66">
        <f t="shared" si="3"/>
        <v>0.9296271704321768</v>
      </c>
    </row>
    <row r="19" spans="2:15" ht="20.100000000000001" customHeight="1">
      <c r="B19" s="219"/>
      <c r="C19" s="210"/>
      <c r="D19" s="61" t="s">
        <v>17</v>
      </c>
      <c r="E19" s="172">
        <v>0</v>
      </c>
      <c r="F19" s="62">
        <v>0</v>
      </c>
      <c r="G19" s="172">
        <v>0</v>
      </c>
      <c r="H19" s="62">
        <v>0</v>
      </c>
      <c r="I19" s="172">
        <v>0</v>
      </c>
      <c r="J19" s="63">
        <f t="shared" si="0"/>
        <v>0</v>
      </c>
      <c r="K19" s="64">
        <v>0</v>
      </c>
      <c r="L19" s="65">
        <f t="shared" si="2"/>
        <v>0</v>
      </c>
      <c r="M19" s="66" t="s">
        <v>75</v>
      </c>
    </row>
    <row r="20" spans="2:15" ht="20.100000000000001" customHeight="1" thickBot="1">
      <c r="B20" s="73"/>
      <c r="C20" s="97"/>
      <c r="D20" s="181"/>
      <c r="E20" s="98"/>
      <c r="F20" s="99"/>
      <c r="G20" s="99"/>
      <c r="H20" s="99"/>
      <c r="I20" s="98"/>
      <c r="J20" s="100"/>
      <c r="K20" s="214" t="s">
        <v>21</v>
      </c>
      <c r="L20" s="215"/>
      <c r="M20" s="216"/>
    </row>
    <row r="21" spans="2:15" ht="20.100000000000001" customHeight="1" thickBot="1">
      <c r="B21" s="220" t="s">
        <v>86</v>
      </c>
      <c r="C21" s="221" t="s">
        <v>8</v>
      </c>
      <c r="D21" s="222"/>
      <c r="E21" s="102">
        <f>SUM(E22,E26)</f>
        <v>820289</v>
      </c>
      <c r="F21" s="103">
        <f>SUM(F22,F26)</f>
        <v>66366</v>
      </c>
      <c r="G21" s="103">
        <f>SUM(G22,G26)</f>
        <v>401163</v>
      </c>
      <c r="H21" s="102">
        <f>SUM(H22,H26)</f>
        <v>80981</v>
      </c>
      <c r="I21" s="102">
        <f>SUM(I22,I26)</f>
        <v>450058</v>
      </c>
      <c r="J21" s="104">
        <f t="shared" si="0"/>
        <v>14615</v>
      </c>
      <c r="K21" s="105">
        <f t="shared" si="1"/>
        <v>1.2202181840098847</v>
      </c>
      <c r="L21" s="104">
        <f t="shared" si="2"/>
        <v>48895</v>
      </c>
      <c r="M21" s="86">
        <f>I21/G21</f>
        <v>1.1218831248146015</v>
      </c>
    </row>
    <row r="22" spans="2:15" ht="20.100000000000001" customHeight="1">
      <c r="B22" s="219"/>
      <c r="C22" s="228" t="s">
        <v>1</v>
      </c>
      <c r="D22" s="90" t="s">
        <v>0</v>
      </c>
      <c r="E22" s="90">
        <f>SUM(E23:E25)</f>
        <v>820289</v>
      </c>
      <c r="F22" s="90">
        <f>SUM(F23:F25)</f>
        <v>66366</v>
      </c>
      <c r="G22" s="90">
        <f>SUM(G23:G25)</f>
        <v>401163</v>
      </c>
      <c r="H22" s="90">
        <f>SUM(H23:H25)</f>
        <v>80981</v>
      </c>
      <c r="I22" s="90">
        <f>SUM(I23:I25)</f>
        <v>450058</v>
      </c>
      <c r="J22" s="92">
        <f t="shared" si="0"/>
        <v>14615</v>
      </c>
      <c r="K22" s="101">
        <f t="shared" si="1"/>
        <v>1.2202181840098847</v>
      </c>
      <c r="L22" s="92">
        <f t="shared" si="2"/>
        <v>48895</v>
      </c>
      <c r="M22" s="94">
        <f t="shared" si="3"/>
        <v>1.1218831248146015</v>
      </c>
    </row>
    <row r="23" spans="2:15" ht="20.100000000000001" customHeight="1">
      <c r="B23" s="219"/>
      <c r="C23" s="210"/>
      <c r="D23" s="69" t="s">
        <v>5</v>
      </c>
      <c r="E23" s="183">
        <v>406783</v>
      </c>
      <c r="F23" s="186">
        <v>31407</v>
      </c>
      <c r="G23" s="70">
        <v>198320</v>
      </c>
      <c r="H23" s="186">
        <v>39869</v>
      </c>
      <c r="I23" s="180">
        <v>225626</v>
      </c>
      <c r="J23" s="57">
        <f t="shared" si="0"/>
        <v>8462</v>
      </c>
      <c r="K23" s="56">
        <f t="shared" si="1"/>
        <v>1.2694303817620276</v>
      </c>
      <c r="L23" s="57">
        <f t="shared" si="2"/>
        <v>27306</v>
      </c>
      <c r="M23" s="66">
        <f t="shared" si="3"/>
        <v>1.1376865671641792</v>
      </c>
    </row>
    <row r="24" spans="2:15" ht="20.100000000000001" customHeight="1">
      <c r="B24" s="219"/>
      <c r="C24" s="210"/>
      <c r="D24" s="68" t="s">
        <v>14</v>
      </c>
      <c r="E24" s="174">
        <v>405018</v>
      </c>
      <c r="F24" s="187">
        <v>34314</v>
      </c>
      <c r="G24" s="70">
        <v>198595</v>
      </c>
      <c r="H24" s="187">
        <v>39949</v>
      </c>
      <c r="I24" s="180">
        <v>219187</v>
      </c>
      <c r="J24" s="57">
        <f t="shared" si="0"/>
        <v>5635</v>
      </c>
      <c r="K24" s="56">
        <f t="shared" si="1"/>
        <v>1.1642186862505099</v>
      </c>
      <c r="L24" s="57">
        <f t="shared" si="2"/>
        <v>20592</v>
      </c>
      <c r="M24" s="66">
        <f t="shared" si="3"/>
        <v>1.1036884110878924</v>
      </c>
    </row>
    <row r="25" spans="2:15" ht="20.100000000000001" customHeight="1">
      <c r="B25" s="219"/>
      <c r="C25" s="210"/>
      <c r="D25" s="68" t="s">
        <v>13</v>
      </c>
      <c r="E25" s="180">
        <v>8488</v>
      </c>
      <c r="F25" s="188">
        <v>645</v>
      </c>
      <c r="G25" s="180">
        <v>4248</v>
      </c>
      <c r="H25" s="188">
        <v>1163</v>
      </c>
      <c r="I25" s="180">
        <v>5245</v>
      </c>
      <c r="J25" s="57">
        <f t="shared" si="0"/>
        <v>518</v>
      </c>
      <c r="K25" s="56">
        <f t="shared" si="1"/>
        <v>1.8031007751937984</v>
      </c>
      <c r="L25" s="57">
        <f t="shared" si="2"/>
        <v>997</v>
      </c>
      <c r="M25" s="66">
        <f t="shared" si="3"/>
        <v>1.23469868173258</v>
      </c>
    </row>
    <row r="26" spans="2:15" ht="20.100000000000001" customHeight="1">
      <c r="B26" s="219"/>
      <c r="C26" s="210" t="s">
        <v>2</v>
      </c>
      <c r="D26" s="61" t="s">
        <v>49</v>
      </c>
      <c r="E26" s="64">
        <f>SUM(E27:E28)</f>
        <v>0</v>
      </c>
      <c r="F26" s="64">
        <f>SUM(F27:F28)</f>
        <v>0</v>
      </c>
      <c r="G26" s="64">
        <f>SUM(G27:G28)</f>
        <v>0</v>
      </c>
      <c r="H26" s="64">
        <v>0</v>
      </c>
      <c r="I26" s="64">
        <f>SUM(I27:I28)</f>
        <v>0</v>
      </c>
      <c r="J26" s="71">
        <f t="shared" si="0"/>
        <v>0</v>
      </c>
      <c r="K26" s="64">
        <v>0</v>
      </c>
      <c r="L26" s="55">
        <f t="shared" si="2"/>
        <v>0</v>
      </c>
      <c r="M26" s="74">
        <v>0</v>
      </c>
    </row>
    <row r="27" spans="2:15" ht="20.100000000000001" customHeight="1">
      <c r="B27" s="219"/>
      <c r="C27" s="210"/>
      <c r="D27" s="61" t="s">
        <v>49</v>
      </c>
      <c r="E27" s="69">
        <v>0</v>
      </c>
      <c r="F27" s="69">
        <v>0</v>
      </c>
      <c r="G27" s="69">
        <v>0</v>
      </c>
      <c r="H27" s="69">
        <v>0</v>
      </c>
      <c r="I27" s="69">
        <v>0</v>
      </c>
      <c r="J27" s="71">
        <f t="shared" si="0"/>
        <v>0</v>
      </c>
      <c r="K27" s="64">
        <v>0</v>
      </c>
      <c r="L27" s="55">
        <f t="shared" si="2"/>
        <v>0</v>
      </c>
      <c r="M27" s="74">
        <v>0</v>
      </c>
    </row>
    <row r="28" spans="2:15" ht="20.100000000000001" customHeight="1" thickBot="1">
      <c r="B28" s="219"/>
      <c r="C28" s="210"/>
      <c r="D28" s="61" t="s">
        <v>49</v>
      </c>
      <c r="E28" s="106">
        <v>0</v>
      </c>
      <c r="F28" s="106">
        <v>0</v>
      </c>
      <c r="G28" s="106">
        <v>0</v>
      </c>
      <c r="H28" s="106">
        <v>0</v>
      </c>
      <c r="I28" s="106">
        <v>0</v>
      </c>
      <c r="J28" s="107">
        <f t="shared" si="0"/>
        <v>0</v>
      </c>
      <c r="K28" s="108">
        <v>0</v>
      </c>
      <c r="L28" s="109">
        <f t="shared" si="2"/>
        <v>0</v>
      </c>
      <c r="M28" s="110">
        <v>0</v>
      </c>
    </row>
    <row r="29" spans="2:15" s="27" customFormat="1" ht="20.100000000000001" customHeight="1" thickBot="1">
      <c r="B29" s="211" t="s">
        <v>47</v>
      </c>
      <c r="C29" s="212"/>
      <c r="D29" s="213"/>
      <c r="E29" s="111">
        <v>1616558</v>
      </c>
      <c r="F29" s="112">
        <v>128076</v>
      </c>
      <c r="G29" s="112">
        <v>879314</v>
      </c>
      <c r="H29" s="112">
        <v>145831</v>
      </c>
      <c r="I29" s="112">
        <v>818057</v>
      </c>
      <c r="J29" s="104">
        <f t="shared" si="0"/>
        <v>17755</v>
      </c>
      <c r="K29" s="85">
        <f t="shared" si="1"/>
        <v>1.1386286267528656</v>
      </c>
      <c r="L29" s="104">
        <f t="shared" si="2"/>
        <v>-61257</v>
      </c>
      <c r="M29" s="86">
        <f t="shared" si="3"/>
        <v>0.93033546605649409</v>
      </c>
    </row>
    <row r="30" spans="2:15" ht="12.75" customHeight="1">
      <c r="B30" s="5"/>
      <c r="C30" s="5"/>
      <c r="D30" s="5"/>
      <c r="E30" s="6"/>
      <c r="F30" s="7"/>
      <c r="G30" s="7"/>
      <c r="H30" s="7"/>
      <c r="I30" s="7"/>
      <c r="J30" s="6"/>
      <c r="K30" s="8"/>
      <c r="L30" s="9"/>
      <c r="M30" s="10"/>
    </row>
  </sheetData>
  <mergeCells count="20">
    <mergeCell ref="C21:D21"/>
    <mergeCell ref="B3:M3"/>
    <mergeCell ref="F6:G6"/>
    <mergeCell ref="K5:M5"/>
    <mergeCell ref="C26:C28"/>
    <mergeCell ref="B29:D29"/>
    <mergeCell ref="K20:M20"/>
    <mergeCell ref="H6:I6"/>
    <mergeCell ref="C16:C19"/>
    <mergeCell ref="B8:B10"/>
    <mergeCell ref="B21:B28"/>
    <mergeCell ref="C11:D11"/>
    <mergeCell ref="C8:D8"/>
    <mergeCell ref="J6:M6"/>
    <mergeCell ref="B6:D7"/>
    <mergeCell ref="C22:C25"/>
    <mergeCell ref="C9:D9"/>
    <mergeCell ref="C10:D10"/>
    <mergeCell ref="C12:C15"/>
    <mergeCell ref="B11:B19"/>
  </mergeCells>
  <phoneticPr fontId="8" type="noConversion"/>
  <printOptions horizontalCentered="1" gridLinesSet="0"/>
  <pageMargins left="0.19685039370078741" right="0.19685039370078741" top="0.15748031496062992" bottom="0.23622047244094491" header="0.19685039370078741" footer="0.23622047244094491"/>
  <pageSetup paperSize="9" scale="61" orientation="landscape" verticalDpi="597" r:id="rId1"/>
  <headerFooter alignWithMargins="0"/>
  <ignoredErrors>
    <ignoredError sqref="E26:I26 H22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C32"/>
  <sheetViews>
    <sheetView showGridLines="0" zoomScaleNormal="100" workbookViewId="0">
      <selection activeCell="B7" sqref="B7"/>
    </sheetView>
  </sheetViews>
  <sheetFormatPr defaultRowHeight="14.25"/>
  <cols>
    <col min="1" max="1" width="3.625" customWidth="1"/>
    <col min="2" max="8" width="10.125" customWidth="1"/>
    <col min="9" max="9" width="3.625" style="44" customWidth="1"/>
    <col min="10" max="16" width="10.125" customWidth="1"/>
    <col min="19" max="19" width="10.75" bestFit="1" customWidth="1"/>
  </cols>
  <sheetData>
    <row r="1" spans="2:29" ht="13.5" customHeight="1">
      <c r="L1" s="2"/>
      <c r="M1" s="1"/>
      <c r="N1" s="3"/>
      <c r="O1" s="4"/>
    </row>
    <row r="2" spans="2:29" ht="13.5" customHeight="1">
      <c r="C2" s="39"/>
      <c r="D2" s="39"/>
      <c r="E2" s="39"/>
      <c r="F2" s="39"/>
      <c r="G2" s="39"/>
      <c r="H2" s="39"/>
      <c r="I2" s="45"/>
      <c r="J2" s="39"/>
      <c r="K2" s="39"/>
      <c r="L2" s="39"/>
      <c r="M2" s="39"/>
      <c r="N2" s="39"/>
      <c r="O2" s="39"/>
      <c r="P2" s="39"/>
      <c r="Q2" s="39"/>
      <c r="R2" s="39"/>
    </row>
    <row r="3" spans="2:29" ht="42.95" customHeight="1">
      <c r="B3" s="234" t="s">
        <v>87</v>
      </c>
      <c r="C3" s="234"/>
      <c r="D3" s="234"/>
      <c r="E3" s="234"/>
      <c r="F3" s="234"/>
      <c r="G3" s="234"/>
      <c r="H3" s="234"/>
      <c r="I3" s="234"/>
      <c r="J3" s="234"/>
      <c r="K3" s="234"/>
      <c r="L3" s="234"/>
      <c r="M3" s="234"/>
      <c r="N3" s="234"/>
      <c r="O3" s="234"/>
      <c r="P3" s="234"/>
      <c r="Q3" s="39"/>
      <c r="R3" s="39"/>
    </row>
    <row r="4" spans="2:29" s="12" customFormat="1" ht="21" customHeight="1">
      <c r="B4" s="11"/>
      <c r="I4" s="46"/>
    </row>
    <row r="5" spans="2:29" s="12" customFormat="1" ht="21" customHeight="1" thickBot="1">
      <c r="B5"/>
      <c r="C5"/>
      <c r="D5"/>
      <c r="E5" s="42"/>
      <c r="F5" s="42"/>
      <c r="G5" s="237" t="s">
        <v>50</v>
      </c>
      <c r="H5" s="237"/>
      <c r="I5" s="43"/>
      <c r="J5"/>
      <c r="K5"/>
      <c r="L5"/>
      <c r="M5" s="42"/>
      <c r="N5" s="42"/>
      <c r="O5" s="237" t="s">
        <v>88</v>
      </c>
      <c r="P5" s="237"/>
    </row>
    <row r="6" spans="2:29" s="12" customFormat="1" ht="32.25" customHeight="1">
      <c r="B6" s="150" t="s">
        <v>94</v>
      </c>
      <c r="C6" s="151">
        <v>2019</v>
      </c>
      <c r="D6" s="151">
        <v>2020</v>
      </c>
      <c r="E6" s="151">
        <v>2021</v>
      </c>
      <c r="F6" s="158">
        <v>2022</v>
      </c>
      <c r="G6" s="158">
        <v>2023</v>
      </c>
      <c r="H6" s="160" t="s">
        <v>106</v>
      </c>
      <c r="I6" s="47"/>
      <c r="J6" s="150" t="s">
        <v>94</v>
      </c>
      <c r="K6" s="151">
        <v>2019</v>
      </c>
      <c r="L6" s="151">
        <v>2020</v>
      </c>
      <c r="M6" s="151">
        <v>2021</v>
      </c>
      <c r="N6" s="158">
        <v>2022</v>
      </c>
      <c r="O6" s="158">
        <v>2023</v>
      </c>
      <c r="P6" s="163" t="str">
        <f>$H$6</f>
        <v>2024.5.</v>
      </c>
    </row>
    <row r="7" spans="2:29" s="12" customFormat="1" ht="39.200000000000003" customHeight="1" thickBot="1">
      <c r="B7" s="152" t="s">
        <v>92</v>
      </c>
      <c r="C7" s="153">
        <v>18416</v>
      </c>
      <c r="D7" s="153">
        <v>17409</v>
      </c>
      <c r="E7" s="153">
        <v>16473</v>
      </c>
      <c r="F7" s="159">
        <v>16626</v>
      </c>
      <c r="G7" s="159">
        <v>17324</v>
      </c>
      <c r="H7" s="161">
        <f>통계요약!I8</f>
        <v>8520</v>
      </c>
      <c r="I7" s="48"/>
      <c r="J7" s="154" t="s">
        <v>91</v>
      </c>
      <c r="K7" s="155">
        <v>113201331</v>
      </c>
      <c r="L7" s="155">
        <v>106847350</v>
      </c>
      <c r="M7" s="155">
        <v>116876152</v>
      </c>
      <c r="N7" s="162">
        <v>116171568</v>
      </c>
      <c r="O7" s="182">
        <f>통계요약!E11</f>
        <v>116607017</v>
      </c>
      <c r="P7" s="164">
        <f>통계요약!I11</f>
        <v>58513795</v>
      </c>
    </row>
    <row r="8" spans="2:29" s="12" customFormat="1" ht="21" customHeight="1" thickBot="1">
      <c r="B8"/>
      <c r="C8"/>
      <c r="D8"/>
      <c r="E8" s="42"/>
      <c r="F8" s="42"/>
      <c r="G8" s="237" t="s">
        <v>89</v>
      </c>
      <c r="H8" s="237"/>
      <c r="I8" s="43"/>
      <c r="J8" s="13"/>
      <c r="K8" s="14"/>
      <c r="L8" s="14"/>
      <c r="M8" s="42"/>
      <c r="N8" s="42"/>
      <c r="O8" s="237" t="s">
        <v>90</v>
      </c>
      <c r="P8" s="237"/>
    </row>
    <row r="9" spans="2:29" s="12" customFormat="1" ht="32.25" customHeight="1">
      <c r="B9" s="150" t="s">
        <v>94</v>
      </c>
      <c r="C9" s="151">
        <v>2019</v>
      </c>
      <c r="D9" s="151">
        <v>2020</v>
      </c>
      <c r="E9" s="151">
        <v>2021</v>
      </c>
      <c r="F9" s="158">
        <v>2022</v>
      </c>
      <c r="G9" s="158">
        <v>2023</v>
      </c>
      <c r="H9" s="163" t="str">
        <f>$H$6</f>
        <v>2024.5.</v>
      </c>
      <c r="I9" s="49"/>
      <c r="J9" s="150" t="s">
        <v>94</v>
      </c>
      <c r="K9" s="151">
        <v>2019</v>
      </c>
      <c r="L9" s="151">
        <v>2020</v>
      </c>
      <c r="M9" s="151">
        <v>2021</v>
      </c>
      <c r="N9" s="158">
        <v>2022</v>
      </c>
      <c r="O9" s="158">
        <v>2023</v>
      </c>
      <c r="P9" s="163" t="str">
        <f>$H$6</f>
        <v>2024.5.</v>
      </c>
    </row>
    <row r="10" spans="2:29" s="12" customFormat="1" ht="37.5" customHeight="1" thickBot="1">
      <c r="B10" s="156" t="s">
        <v>22</v>
      </c>
      <c r="C10" s="157">
        <v>725047</v>
      </c>
      <c r="D10" s="157">
        <v>792643</v>
      </c>
      <c r="E10" s="157">
        <v>936246</v>
      </c>
      <c r="F10" s="165">
        <v>851953</v>
      </c>
      <c r="G10" s="159">
        <v>820289</v>
      </c>
      <c r="H10" s="166">
        <f>통계요약!I21</f>
        <v>450058</v>
      </c>
      <c r="I10" s="50"/>
      <c r="J10" s="156" t="s">
        <v>93</v>
      </c>
      <c r="K10" s="153">
        <v>623733</v>
      </c>
      <c r="L10" s="153">
        <v>40267</v>
      </c>
      <c r="M10" s="153">
        <v>0</v>
      </c>
      <c r="N10" s="159">
        <v>0</v>
      </c>
      <c r="O10" s="159">
        <v>0</v>
      </c>
      <c r="P10" s="166"/>
      <c r="S10" s="26" t="s">
        <v>105</v>
      </c>
      <c r="AC10" s="26"/>
    </row>
    <row r="11" spans="2:29" ht="21" customHeight="1"/>
    <row r="12" spans="2:29" s="19" customFormat="1" ht="21" customHeight="1">
      <c r="B12" s="236" t="s">
        <v>98</v>
      </c>
      <c r="C12" s="236"/>
      <c r="D12" s="236"/>
      <c r="I12" s="51"/>
    </row>
    <row r="13" spans="2:29" s="12" customFormat="1" ht="21" customHeight="1">
      <c r="B13" s="235" t="s">
        <v>95</v>
      </c>
      <c r="C13" s="235"/>
      <c r="I13" s="46"/>
      <c r="J13" s="235" t="s">
        <v>96</v>
      </c>
      <c r="K13" s="235"/>
      <c r="L13" s="16"/>
      <c r="M13" s="17"/>
      <c r="N13" s="18"/>
      <c r="O13" s="18"/>
      <c r="P13" s="18"/>
    </row>
    <row r="14" spans="2:29" s="12" customFormat="1" ht="21" customHeight="1">
      <c r="I14" s="46"/>
      <c r="K14" s="15"/>
      <c r="L14" s="16"/>
      <c r="M14" s="17"/>
      <c r="N14" s="18"/>
      <c r="O14" s="18"/>
      <c r="P14" s="18"/>
    </row>
    <row r="15" spans="2:29" s="12" customFormat="1" ht="21" customHeight="1">
      <c r="I15" s="46"/>
      <c r="K15" s="15"/>
      <c r="L15" s="16"/>
      <c r="M15" s="17"/>
      <c r="N15" s="18"/>
      <c r="O15" s="18"/>
      <c r="P15" s="18"/>
    </row>
    <row r="16" spans="2:29" s="12" customFormat="1" ht="21" customHeight="1">
      <c r="I16" s="46"/>
      <c r="K16" s="15"/>
      <c r="L16" s="16"/>
      <c r="M16" s="17"/>
      <c r="N16" s="18"/>
      <c r="O16" s="18"/>
      <c r="P16" s="18"/>
    </row>
    <row r="17" spans="2:16" s="12" customFormat="1" ht="21" customHeight="1">
      <c r="I17" s="46"/>
      <c r="K17" s="15"/>
      <c r="L17" s="16"/>
      <c r="M17" s="17"/>
      <c r="N17" s="18"/>
      <c r="O17" s="18"/>
      <c r="P17" s="18"/>
    </row>
    <row r="18" spans="2:16" s="12" customFormat="1" ht="21" customHeight="1">
      <c r="I18" s="46"/>
      <c r="K18" s="15"/>
      <c r="L18" s="16"/>
      <c r="M18" s="17"/>
      <c r="N18" s="18"/>
      <c r="O18" s="18"/>
      <c r="P18" s="18"/>
    </row>
    <row r="19" spans="2:16" s="12" customFormat="1" ht="21" customHeight="1">
      <c r="I19" s="46"/>
      <c r="K19" s="15"/>
      <c r="L19" s="16"/>
      <c r="M19" s="17"/>
      <c r="N19" s="18"/>
      <c r="O19" s="18"/>
      <c r="P19" s="18"/>
    </row>
    <row r="20" spans="2:16" s="12" customFormat="1" ht="21" customHeight="1">
      <c r="I20" s="46"/>
      <c r="K20" s="15"/>
      <c r="L20" s="16"/>
      <c r="M20" s="17"/>
      <c r="N20" s="18"/>
      <c r="O20" s="18"/>
      <c r="P20" s="18"/>
    </row>
    <row r="21" spans="2:16" s="12" customFormat="1" ht="21" customHeight="1">
      <c r="I21" s="46"/>
      <c r="K21" s="15"/>
      <c r="L21" s="16"/>
      <c r="M21" s="17"/>
      <c r="N21" s="18"/>
      <c r="O21" s="18"/>
      <c r="P21" s="18"/>
    </row>
    <row r="22" spans="2:16" s="12" customFormat="1" ht="21" customHeight="1">
      <c r="I22" s="46"/>
      <c r="K22" s="15"/>
      <c r="L22" s="16"/>
      <c r="M22" s="17"/>
      <c r="N22" s="18"/>
      <c r="O22" s="18"/>
      <c r="P22" s="18"/>
    </row>
    <row r="23" spans="2:16" s="12" customFormat="1" ht="21" customHeight="1">
      <c r="B23" s="235" t="s">
        <v>97</v>
      </c>
      <c r="C23" s="235"/>
      <c r="I23" s="46"/>
      <c r="J23" s="235" t="s">
        <v>99</v>
      </c>
      <c r="K23" s="235"/>
      <c r="L23" s="16"/>
      <c r="M23" s="17"/>
      <c r="N23" s="18"/>
      <c r="O23" s="18"/>
      <c r="P23" s="18"/>
    </row>
    <row r="24" spans="2:16" s="12" customFormat="1" ht="21" customHeight="1">
      <c r="I24" s="46"/>
      <c r="K24" s="15"/>
      <c r="L24" s="16"/>
      <c r="M24" s="17"/>
      <c r="N24" s="18"/>
      <c r="O24" s="18"/>
      <c r="P24" s="18"/>
    </row>
    <row r="25" spans="2:16" s="12" customFormat="1" ht="21" customHeight="1">
      <c r="I25" s="46"/>
      <c r="K25" s="15"/>
      <c r="L25" s="16"/>
      <c r="M25" s="17"/>
      <c r="N25" s="18"/>
      <c r="O25" s="18"/>
      <c r="P25" s="18"/>
    </row>
    <row r="26" spans="2:16" s="12" customFormat="1" ht="21" customHeight="1">
      <c r="I26" s="46"/>
      <c r="K26" s="15"/>
      <c r="L26" s="16"/>
      <c r="M26" s="17"/>
      <c r="N26" s="18"/>
      <c r="O26" s="18"/>
      <c r="P26" s="18"/>
    </row>
    <row r="27" spans="2:16" s="12" customFormat="1" ht="21" customHeight="1">
      <c r="I27" s="46"/>
      <c r="K27" s="15"/>
      <c r="L27" s="16"/>
      <c r="M27" s="17"/>
      <c r="N27" s="18"/>
      <c r="O27" s="18"/>
      <c r="P27" s="18"/>
    </row>
    <row r="28" spans="2:16" s="12" customFormat="1" ht="21" customHeight="1">
      <c r="I28" s="46"/>
      <c r="K28" s="15"/>
      <c r="L28" s="16"/>
      <c r="M28" s="17"/>
      <c r="N28" s="18"/>
      <c r="O28" s="18"/>
      <c r="P28" s="18"/>
    </row>
    <row r="29" spans="2:16" s="12" customFormat="1" ht="21" customHeight="1">
      <c r="I29" s="46"/>
      <c r="K29" s="15"/>
      <c r="L29" s="16"/>
      <c r="M29" s="17"/>
      <c r="N29" s="18"/>
      <c r="O29" s="18"/>
      <c r="P29" s="18"/>
    </row>
    <row r="30" spans="2:16" s="12" customFormat="1" ht="21" customHeight="1">
      <c r="I30" s="46"/>
      <c r="K30" s="15"/>
      <c r="L30" s="16"/>
      <c r="M30" s="17"/>
      <c r="N30" s="18"/>
      <c r="O30" s="18"/>
      <c r="P30" s="18"/>
    </row>
    <row r="31" spans="2:16" s="12" customFormat="1" ht="21" customHeight="1">
      <c r="I31" s="46"/>
      <c r="K31" s="15"/>
      <c r="L31" s="16"/>
      <c r="M31" s="17"/>
      <c r="N31" s="18"/>
      <c r="O31" s="18"/>
      <c r="P31" s="18"/>
    </row>
    <row r="32" spans="2:16" ht="21" customHeight="1"/>
  </sheetData>
  <mergeCells count="10">
    <mergeCell ref="B3:P3"/>
    <mergeCell ref="B13:C13"/>
    <mergeCell ref="J13:K13"/>
    <mergeCell ref="B23:C23"/>
    <mergeCell ref="B12:D12"/>
    <mergeCell ref="J23:K23"/>
    <mergeCell ref="G5:H5"/>
    <mergeCell ref="O5:P5"/>
    <mergeCell ref="G8:H8"/>
    <mergeCell ref="O8:P8"/>
  </mergeCells>
  <phoneticPr fontId="19" type="noConversion"/>
  <pageMargins left="0.8" right="0.51181102362204722" top="1.36" bottom="0.98425196850393704" header="0.51181102362204722" footer="0.51181102362204722"/>
  <pageSetup paperSize="9" scale="61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44"/>
  <sheetViews>
    <sheetView showGridLines="0" zoomScale="90" zoomScaleNormal="90" workbookViewId="0">
      <selection activeCell="F36" sqref="F36"/>
    </sheetView>
  </sheetViews>
  <sheetFormatPr defaultColWidth="10" defaultRowHeight="13.5"/>
  <cols>
    <col min="1" max="1" width="3.625" style="20" customWidth="1"/>
    <col min="2" max="2" width="17.25" style="32" bestFit="1" customWidth="1"/>
    <col min="3" max="4" width="12.625" style="20" customWidth="1"/>
    <col min="5" max="5" width="12.625" style="32" customWidth="1"/>
    <col min="6" max="12" width="12.625" style="20" customWidth="1"/>
    <col min="13" max="14" width="10" style="20"/>
    <col min="15" max="15" width="0" style="20" hidden="1" customWidth="1"/>
    <col min="16" max="16" width="10.25" style="20" bestFit="1" customWidth="1"/>
    <col min="17" max="17" width="11.5" style="20" bestFit="1" customWidth="1"/>
    <col min="18" max="18" width="10.25" style="20" bestFit="1" customWidth="1"/>
    <col min="19" max="19" width="11.25" style="20" bestFit="1" customWidth="1"/>
    <col min="20" max="20" width="7.75" style="20" customWidth="1"/>
    <col min="21" max="21" width="6.875" style="20" customWidth="1"/>
    <col min="22" max="16384" width="10" style="20"/>
  </cols>
  <sheetData>
    <row r="1" spans="1:35" customFormat="1" ht="13.5" customHeight="1">
      <c r="B1" s="41"/>
      <c r="F1" s="2"/>
      <c r="G1" s="1"/>
      <c r="H1" s="3"/>
      <c r="I1" s="4"/>
    </row>
    <row r="2" spans="1:35" customFormat="1" ht="13.5" customHeight="1">
      <c r="B2" s="40"/>
      <c r="C2" s="39"/>
      <c r="D2" s="39"/>
      <c r="E2" s="39"/>
      <c r="F2" s="39"/>
      <c r="G2" s="39"/>
      <c r="H2" s="39"/>
      <c r="I2" s="39"/>
      <c r="J2" s="39"/>
      <c r="K2" s="39"/>
      <c r="L2" s="39"/>
    </row>
    <row r="3" spans="1:35" customFormat="1" ht="42.95" customHeight="1">
      <c r="B3" s="230" t="s">
        <v>112</v>
      </c>
      <c r="C3" s="231"/>
      <c r="D3" s="231"/>
      <c r="E3" s="231"/>
      <c r="F3" s="231"/>
      <c r="G3" s="231"/>
      <c r="H3" s="231"/>
      <c r="I3" s="231"/>
      <c r="J3" s="231"/>
      <c r="K3" s="231"/>
      <c r="L3" s="232"/>
    </row>
    <row r="4" spans="1:35" ht="13.5" customHeight="1">
      <c r="A4" s="25"/>
      <c r="C4" s="28"/>
      <c r="D4" s="28"/>
      <c r="E4" s="31"/>
      <c r="F4" s="21"/>
      <c r="G4" s="22"/>
      <c r="H4" s="23"/>
      <c r="I4" s="24"/>
    </row>
    <row r="5" spans="1:35" ht="13.5" customHeight="1">
      <c r="A5" s="25"/>
      <c r="C5" s="28"/>
      <c r="D5" s="28"/>
      <c r="E5" s="31"/>
      <c r="F5" s="21"/>
      <c r="G5" s="22"/>
      <c r="H5" s="23"/>
      <c r="I5" s="24"/>
    </row>
    <row r="6" spans="1:35" ht="21.95" customHeight="1">
      <c r="B6" s="238" t="s">
        <v>23</v>
      </c>
      <c r="C6" s="246" t="s">
        <v>24</v>
      </c>
      <c r="D6" s="244" t="s">
        <v>103</v>
      </c>
      <c r="E6" s="244"/>
      <c r="F6" s="244"/>
      <c r="G6" s="244" t="s">
        <v>104</v>
      </c>
      <c r="H6" s="244"/>
      <c r="I6" s="244" t="s">
        <v>25</v>
      </c>
      <c r="J6" s="244"/>
      <c r="K6" s="244"/>
      <c r="L6" s="245"/>
      <c r="X6" s="20" t="s">
        <v>84</v>
      </c>
    </row>
    <row r="7" spans="1:35" ht="21.95" customHeight="1" thickBot="1">
      <c r="B7" s="239"/>
      <c r="C7" s="247"/>
      <c r="D7" s="125" t="s">
        <v>26</v>
      </c>
      <c r="E7" s="125" t="str">
        <f>통계요약!F7</f>
        <v>6월(A)</v>
      </c>
      <c r="F7" s="125" t="str">
        <f>통계요약!G7</f>
        <v xml:space="preserve"> 6월누계(B) </v>
      </c>
      <c r="G7" s="126" t="str">
        <f>통계요약!H7</f>
        <v>6월(C)</v>
      </c>
      <c r="H7" s="125" t="str">
        <f>통계요약!I7</f>
        <v xml:space="preserve"> 6월누계(D) </v>
      </c>
      <c r="I7" s="125" t="s">
        <v>27</v>
      </c>
      <c r="J7" s="127" t="s">
        <v>28</v>
      </c>
      <c r="K7" s="128" t="s">
        <v>29</v>
      </c>
      <c r="L7" s="129" t="s">
        <v>28</v>
      </c>
    </row>
    <row r="8" spans="1:35" ht="21.95" customHeight="1">
      <c r="B8" s="240" t="s">
        <v>30</v>
      </c>
      <c r="C8" s="130" t="s">
        <v>31</v>
      </c>
      <c r="D8" s="131">
        <f>SUM(D10,D12,D14,D16,D18,D20,D22,D26,D24,D30,D32,D34,D36,D28)</f>
        <v>820289</v>
      </c>
      <c r="E8" s="131">
        <f>SUM(E10,E12,E14,E16,E18,E20,E22,E26,E24,E30,E32,E34,E36,E28)</f>
        <v>66366</v>
      </c>
      <c r="F8" s="131">
        <f>SUM(F10,F12,F14,F16,F18,F20,F22,F26,F24,F30,F32,F34,F36,F28)</f>
        <v>401163</v>
      </c>
      <c r="G8" s="131">
        <f>SUM(G10,G12,G14,G16,G18,G20,G22,G26,G24,G30,G32,G34,G36,G28,)</f>
        <v>80981</v>
      </c>
      <c r="H8" s="132">
        <f>SUM(H10,H12,H14,H16,H18,H20,H22,H26,H24,H30,H32,H34,H36,H28,)</f>
        <v>450058</v>
      </c>
      <c r="I8" s="133">
        <f t="shared" ref="I8:I9" si="0">G8-E8</f>
        <v>14615</v>
      </c>
      <c r="J8" s="134">
        <f t="shared" ref="J8:J9" si="1">(G8/E8*100)-100</f>
        <v>22.021818400988465</v>
      </c>
      <c r="K8" s="135">
        <f t="shared" ref="K8:K9" si="2">H8-F8</f>
        <v>48895</v>
      </c>
      <c r="L8" s="136">
        <f t="shared" ref="L8:L9" si="3">(H8/F8*100)-100</f>
        <v>12.188312481460144</v>
      </c>
    </row>
    <row r="9" spans="1:35" ht="21.95" customHeight="1" thickBot="1">
      <c r="B9" s="241"/>
      <c r="C9" s="137" t="s">
        <v>32</v>
      </c>
      <c r="D9" s="138">
        <f>SUM(D11,D13,D15,D17,D19,D21,D23,D25,D27,D31,D33,D35,D37,D29)</f>
        <v>12332332</v>
      </c>
      <c r="E9" s="138">
        <f>SUM(E11,E13,E15,E17,E19,E21,E23,E25,E27,E31,E33,E35,E37,E29)</f>
        <v>981599</v>
      </c>
      <c r="F9" s="138">
        <f>SUM(F11,F13,F15,F17,F19,F21,F23,F25,F27,F31,F33,F35,F37,F29)</f>
        <v>6045771</v>
      </c>
      <c r="G9" s="138">
        <f>SUM(G11,G13,G15,G17,G19,G21,G23,G25,G27,G31,G33,G35,G37,G29)</f>
        <v>1221709</v>
      </c>
      <c r="H9" s="139">
        <f>SUM(H11,H13,H15,H17,H19,H21,H23,H25,H27,H31,H33,H35,H37,H29)</f>
        <v>6801622</v>
      </c>
      <c r="I9" s="140">
        <f t="shared" si="0"/>
        <v>240110</v>
      </c>
      <c r="J9" s="141">
        <f t="shared" si="1"/>
        <v>24.461108864210331</v>
      </c>
      <c r="K9" s="142">
        <f t="shared" si="2"/>
        <v>755851</v>
      </c>
      <c r="L9" s="143">
        <f t="shared" si="3"/>
        <v>12.502144060699621</v>
      </c>
    </row>
    <row r="10" spans="1:35" ht="21.2" customHeight="1">
      <c r="B10" s="242" t="s">
        <v>33</v>
      </c>
      <c r="C10" s="175" t="s">
        <v>31</v>
      </c>
      <c r="D10" s="195">
        <v>55094</v>
      </c>
      <c r="E10" s="176">
        <v>4729</v>
      </c>
      <c r="F10" s="176">
        <v>28232</v>
      </c>
      <c r="G10" s="176">
        <v>4848</v>
      </c>
      <c r="H10" s="176">
        <v>27285</v>
      </c>
      <c r="I10" s="201">
        <f>IFERROR(G10-E10,"-")</f>
        <v>119</v>
      </c>
      <c r="J10" s="177">
        <f>IFERROR((G10/E10*100)-100,"-")</f>
        <v>2.5163882427574578</v>
      </c>
      <c r="K10" s="178">
        <f>IFERROR(H10-F10,"-")</f>
        <v>-947</v>
      </c>
      <c r="L10" s="179">
        <f>IFERROR((H10/F10*100)-100,"-")</f>
        <v>-3.354349674128656</v>
      </c>
      <c r="M10" s="30"/>
      <c r="O10" s="20" t="s">
        <v>51</v>
      </c>
      <c r="U10" s="167"/>
      <c r="V10" s="167"/>
    </row>
    <row r="11" spans="1:35" ht="21.2" customHeight="1">
      <c r="B11" s="243"/>
      <c r="C11" s="191" t="s">
        <v>32</v>
      </c>
      <c r="D11" s="196">
        <v>1043982</v>
      </c>
      <c r="E11" s="206">
        <v>89032</v>
      </c>
      <c r="F11" s="206">
        <v>535023</v>
      </c>
      <c r="G11" s="206">
        <v>88179</v>
      </c>
      <c r="H11" s="206">
        <v>506255</v>
      </c>
      <c r="I11" s="202">
        <f t="shared" ref="I11:I37" si="4">IFERROR(G11-E11,"-")</f>
        <v>-853</v>
      </c>
      <c r="J11" s="192">
        <f t="shared" ref="J11:J37" si="5">IFERROR((G11/E11*100)-100,"-")</f>
        <v>-0.95808248719561107</v>
      </c>
      <c r="K11" s="193">
        <f t="shared" ref="K11:K37" si="6">IFERROR(H11-F11,"-")</f>
        <v>-28768</v>
      </c>
      <c r="L11" s="194">
        <f t="shared" ref="L11:L37" si="7">IFERROR((H11/F11*100)-100,"-")</f>
        <v>-5.3769651024348519</v>
      </c>
      <c r="O11" s="20" t="s">
        <v>51</v>
      </c>
      <c r="U11" s="167"/>
      <c r="V11" s="167"/>
    </row>
    <row r="12" spans="1:35" ht="21.2" customHeight="1">
      <c r="B12" s="243" t="s">
        <v>34</v>
      </c>
      <c r="C12" s="144" t="s">
        <v>31</v>
      </c>
      <c r="D12" s="197">
        <v>45643</v>
      </c>
      <c r="E12" s="207">
        <v>3341</v>
      </c>
      <c r="F12" s="207">
        <v>23608</v>
      </c>
      <c r="G12" s="207">
        <v>4344</v>
      </c>
      <c r="H12" s="207">
        <v>24158</v>
      </c>
      <c r="I12" s="203">
        <f t="shared" si="4"/>
        <v>1003</v>
      </c>
      <c r="J12" s="146">
        <f t="shared" si="5"/>
        <v>30.020951810835072</v>
      </c>
      <c r="K12" s="147">
        <f t="shared" si="6"/>
        <v>550</v>
      </c>
      <c r="L12" s="148">
        <f t="shared" si="7"/>
        <v>2.3297187394103673</v>
      </c>
      <c r="O12" s="20" t="s">
        <v>52</v>
      </c>
      <c r="U12" s="167"/>
      <c r="V12" s="167"/>
      <c r="AC12" s="34" t="s">
        <v>77</v>
      </c>
      <c r="AD12" s="34" t="s">
        <v>78</v>
      </c>
      <c r="AE12" s="34" t="s">
        <v>79</v>
      </c>
      <c r="AF12" s="34" t="s">
        <v>80</v>
      </c>
      <c r="AG12" s="34" t="s">
        <v>81</v>
      </c>
    </row>
    <row r="13" spans="1:35" ht="21.2" customHeight="1">
      <c r="B13" s="243"/>
      <c r="C13" s="191" t="s">
        <v>32</v>
      </c>
      <c r="D13" s="196">
        <v>634252</v>
      </c>
      <c r="E13" s="206">
        <v>44307</v>
      </c>
      <c r="F13" s="206">
        <v>329852</v>
      </c>
      <c r="G13" s="206">
        <v>61254</v>
      </c>
      <c r="H13" s="206">
        <v>340287</v>
      </c>
      <c r="I13" s="202">
        <f t="shared" si="4"/>
        <v>16947</v>
      </c>
      <c r="J13" s="192">
        <f t="shared" si="5"/>
        <v>38.24903514117409</v>
      </c>
      <c r="K13" s="193">
        <f t="shared" si="6"/>
        <v>10435</v>
      </c>
      <c r="L13" s="194">
        <f t="shared" si="7"/>
        <v>3.1635400118841233</v>
      </c>
      <c r="O13" s="20" t="s">
        <v>52</v>
      </c>
      <c r="U13" s="167"/>
      <c r="V13" s="167"/>
      <c r="AC13" s="33" t="s">
        <v>82</v>
      </c>
      <c r="AD13" s="35">
        <f>E10+E12</f>
        <v>8070</v>
      </c>
      <c r="AE13" s="35">
        <f>F10+F12</f>
        <v>51840</v>
      </c>
      <c r="AF13" s="35">
        <f>G10+G12</f>
        <v>9192</v>
      </c>
      <c r="AG13" s="35">
        <f>H10+H12</f>
        <v>51443</v>
      </c>
      <c r="AH13" s="36">
        <f t="shared" ref="AH13:AI15" si="8">(AF13/AD13*100)-100</f>
        <v>13.903345724907055</v>
      </c>
      <c r="AI13" s="36">
        <f t="shared" si="8"/>
        <v>-0.76581790123456983</v>
      </c>
    </row>
    <row r="14" spans="1:35" ht="21.2" customHeight="1">
      <c r="B14" s="243" t="s">
        <v>72</v>
      </c>
      <c r="C14" s="144" t="s">
        <v>31</v>
      </c>
      <c r="D14" s="197">
        <v>0</v>
      </c>
      <c r="E14" s="149">
        <v>0</v>
      </c>
      <c r="F14" s="149">
        <v>0</v>
      </c>
      <c r="G14" s="149">
        <v>0</v>
      </c>
      <c r="H14" s="149">
        <v>0</v>
      </c>
      <c r="I14" s="203">
        <f t="shared" si="4"/>
        <v>0</v>
      </c>
      <c r="J14" s="146" t="str">
        <f t="shared" si="5"/>
        <v>-</v>
      </c>
      <c r="K14" s="147">
        <f t="shared" si="6"/>
        <v>0</v>
      </c>
      <c r="L14" s="148" t="str">
        <f t="shared" si="7"/>
        <v>-</v>
      </c>
      <c r="O14" s="20" t="s">
        <v>73</v>
      </c>
      <c r="U14" s="167"/>
      <c r="V14" s="167"/>
      <c r="AC14" s="33" t="s">
        <v>83</v>
      </c>
      <c r="AD14" s="35">
        <f>E18+E20+E22</f>
        <v>39621</v>
      </c>
      <c r="AE14" s="35">
        <f>F18+F20+F22</f>
        <v>238630</v>
      </c>
      <c r="AF14" s="35">
        <f>G18+G20+G22</f>
        <v>50759</v>
      </c>
      <c r="AG14" s="35">
        <f>H18+H20+H22</f>
        <v>279551</v>
      </c>
      <c r="AH14" s="36">
        <f t="shared" si="8"/>
        <v>28.111355089472767</v>
      </c>
      <c r="AI14" s="36">
        <f t="shared" si="8"/>
        <v>17.148304907178471</v>
      </c>
    </row>
    <row r="15" spans="1:35" ht="21.2" customHeight="1">
      <c r="B15" s="243"/>
      <c r="C15" s="115" t="s">
        <v>32</v>
      </c>
      <c r="D15" s="196">
        <v>0</v>
      </c>
      <c r="E15" s="118">
        <v>0</v>
      </c>
      <c r="F15" s="118">
        <v>0</v>
      </c>
      <c r="G15" s="118">
        <v>0</v>
      </c>
      <c r="H15" s="118">
        <v>0</v>
      </c>
      <c r="I15" s="204">
        <f t="shared" si="4"/>
        <v>0</v>
      </c>
      <c r="J15" s="116" t="str">
        <f t="shared" si="5"/>
        <v>-</v>
      </c>
      <c r="K15" s="117">
        <f t="shared" si="6"/>
        <v>0</v>
      </c>
      <c r="L15" s="120" t="str">
        <f t="shared" si="7"/>
        <v>-</v>
      </c>
      <c r="O15" s="20" t="s">
        <v>73</v>
      </c>
      <c r="AC15" s="33" t="s">
        <v>76</v>
      </c>
      <c r="AD15" s="35">
        <f>E32+E34+E36</f>
        <v>18675</v>
      </c>
      <c r="AE15" s="35">
        <f>F32+F34+F36</f>
        <v>110693</v>
      </c>
      <c r="AF15" s="35">
        <f>G32+G34+G36</f>
        <v>21030</v>
      </c>
      <c r="AG15" s="35">
        <f>H32+H34+H36</f>
        <v>118852</v>
      </c>
      <c r="AH15" s="36">
        <f t="shared" si="8"/>
        <v>12.610441767068266</v>
      </c>
      <c r="AI15" s="36">
        <f t="shared" si="8"/>
        <v>7.3708364575899168</v>
      </c>
    </row>
    <row r="16" spans="1:35" ht="21.2" customHeight="1">
      <c r="B16" s="243" t="s">
        <v>46</v>
      </c>
      <c r="C16" s="144" t="s">
        <v>31</v>
      </c>
      <c r="D16" s="198">
        <v>0</v>
      </c>
      <c r="E16" s="149">
        <v>0</v>
      </c>
      <c r="F16" s="149">
        <v>0</v>
      </c>
      <c r="G16" s="149">
        <v>0</v>
      </c>
      <c r="H16" s="149">
        <v>212</v>
      </c>
      <c r="I16" s="203">
        <f t="shared" si="4"/>
        <v>0</v>
      </c>
      <c r="J16" s="146" t="str">
        <f t="shared" si="5"/>
        <v>-</v>
      </c>
      <c r="K16" s="147">
        <f t="shared" si="6"/>
        <v>212</v>
      </c>
      <c r="L16" s="148" t="str">
        <f t="shared" si="7"/>
        <v>-</v>
      </c>
      <c r="O16" s="20" t="s">
        <v>53</v>
      </c>
    </row>
    <row r="17" spans="2:15" ht="21.2" customHeight="1">
      <c r="B17" s="243"/>
      <c r="C17" s="115" t="s">
        <v>45</v>
      </c>
      <c r="D17" s="199">
        <v>0</v>
      </c>
      <c r="E17" s="118">
        <v>0</v>
      </c>
      <c r="F17" s="118">
        <v>0</v>
      </c>
      <c r="G17" s="118">
        <v>0</v>
      </c>
      <c r="H17" s="118">
        <v>5372</v>
      </c>
      <c r="I17" s="204">
        <f t="shared" si="4"/>
        <v>0</v>
      </c>
      <c r="J17" s="116" t="str">
        <f t="shared" si="5"/>
        <v>-</v>
      </c>
      <c r="K17" s="117">
        <f t="shared" si="6"/>
        <v>5372</v>
      </c>
      <c r="L17" s="120" t="str">
        <f t="shared" si="7"/>
        <v>-</v>
      </c>
      <c r="O17" s="20" t="s">
        <v>53</v>
      </c>
    </row>
    <row r="18" spans="2:15" ht="21.2" customHeight="1">
      <c r="B18" s="243" t="s">
        <v>35</v>
      </c>
      <c r="C18" s="144" t="s">
        <v>31</v>
      </c>
      <c r="D18" s="197">
        <v>128500</v>
      </c>
      <c r="E18" s="145">
        <v>10357</v>
      </c>
      <c r="F18" s="145">
        <v>62697</v>
      </c>
      <c r="G18" s="145">
        <v>15377</v>
      </c>
      <c r="H18" s="145">
        <v>74463</v>
      </c>
      <c r="I18" s="203">
        <f t="shared" si="4"/>
        <v>5020</v>
      </c>
      <c r="J18" s="146">
        <f t="shared" si="5"/>
        <v>48.469634063918136</v>
      </c>
      <c r="K18" s="147">
        <f t="shared" si="6"/>
        <v>11766</v>
      </c>
      <c r="L18" s="148">
        <f t="shared" si="7"/>
        <v>18.766448155414125</v>
      </c>
      <c r="M18" s="30"/>
      <c r="O18" s="20" t="s">
        <v>54</v>
      </c>
    </row>
    <row r="19" spans="2:15" ht="21.2" customHeight="1">
      <c r="B19" s="243"/>
      <c r="C19" s="115" t="s">
        <v>32</v>
      </c>
      <c r="D19" s="196">
        <v>2073957</v>
      </c>
      <c r="E19" s="208">
        <v>163476</v>
      </c>
      <c r="F19" s="206">
        <v>1010001</v>
      </c>
      <c r="G19" s="206">
        <v>231811</v>
      </c>
      <c r="H19" s="206">
        <v>1212436</v>
      </c>
      <c r="I19" s="204">
        <f t="shared" si="4"/>
        <v>68335</v>
      </c>
      <c r="J19" s="116">
        <f t="shared" si="5"/>
        <v>41.801242995913753</v>
      </c>
      <c r="K19" s="117">
        <f t="shared" si="6"/>
        <v>202435</v>
      </c>
      <c r="L19" s="120">
        <f t="shared" si="7"/>
        <v>20.043049462327261</v>
      </c>
      <c r="O19" s="20" t="s">
        <v>55</v>
      </c>
    </row>
    <row r="20" spans="2:15" ht="21.2" customHeight="1">
      <c r="B20" s="243" t="s">
        <v>42</v>
      </c>
      <c r="C20" s="144" t="s">
        <v>31</v>
      </c>
      <c r="D20" s="197">
        <v>206337</v>
      </c>
      <c r="E20" s="145">
        <v>15717</v>
      </c>
      <c r="F20" s="145">
        <v>97952</v>
      </c>
      <c r="G20" s="145">
        <v>22273</v>
      </c>
      <c r="H20" s="145">
        <v>120296</v>
      </c>
      <c r="I20" s="203">
        <f t="shared" si="4"/>
        <v>6556</v>
      </c>
      <c r="J20" s="146">
        <f t="shared" si="5"/>
        <v>41.712795062671006</v>
      </c>
      <c r="K20" s="147">
        <f t="shared" si="6"/>
        <v>22344</v>
      </c>
      <c r="L20" s="148">
        <f t="shared" si="7"/>
        <v>22.811172819340086</v>
      </c>
      <c r="O20" s="20" t="s">
        <v>56</v>
      </c>
    </row>
    <row r="21" spans="2:15" ht="21.2" customHeight="1">
      <c r="B21" s="243"/>
      <c r="C21" s="115" t="s">
        <v>32</v>
      </c>
      <c r="D21" s="196">
        <v>2793148</v>
      </c>
      <c r="E21" s="208">
        <v>209740</v>
      </c>
      <c r="F21" s="206">
        <v>1314380</v>
      </c>
      <c r="G21" s="206">
        <v>326048</v>
      </c>
      <c r="H21" s="206">
        <v>1611094</v>
      </c>
      <c r="I21" s="204">
        <f t="shared" si="4"/>
        <v>116308</v>
      </c>
      <c r="J21" s="116">
        <f t="shared" si="5"/>
        <v>55.453418518165336</v>
      </c>
      <c r="K21" s="117">
        <f t="shared" si="6"/>
        <v>296714</v>
      </c>
      <c r="L21" s="120">
        <f t="shared" si="7"/>
        <v>22.574445746283416</v>
      </c>
      <c r="O21" s="20" t="s">
        <v>57</v>
      </c>
    </row>
    <row r="22" spans="2:15" ht="21.2" customHeight="1">
      <c r="B22" s="243" t="s">
        <v>36</v>
      </c>
      <c r="C22" s="144" t="s">
        <v>31</v>
      </c>
      <c r="D22" s="197">
        <v>160865</v>
      </c>
      <c r="E22" s="145">
        <v>13547</v>
      </c>
      <c r="F22" s="145">
        <v>77981</v>
      </c>
      <c r="G22" s="145">
        <v>13109</v>
      </c>
      <c r="H22" s="145">
        <v>84792</v>
      </c>
      <c r="I22" s="203">
        <f t="shared" si="4"/>
        <v>-438</v>
      </c>
      <c r="J22" s="146">
        <f t="shared" si="5"/>
        <v>-3.2331881597401662</v>
      </c>
      <c r="K22" s="147">
        <f t="shared" si="6"/>
        <v>6811</v>
      </c>
      <c r="L22" s="148">
        <f t="shared" si="7"/>
        <v>8.7341788384350139</v>
      </c>
      <c r="O22" s="20" t="s">
        <v>58</v>
      </c>
    </row>
    <row r="23" spans="2:15" ht="21.2" customHeight="1">
      <c r="B23" s="243"/>
      <c r="C23" s="115" t="s">
        <v>32</v>
      </c>
      <c r="D23" s="196">
        <v>2398781</v>
      </c>
      <c r="E23" s="208">
        <v>190960</v>
      </c>
      <c r="F23" s="206">
        <v>1207173</v>
      </c>
      <c r="G23" s="206">
        <v>210568</v>
      </c>
      <c r="H23" s="206">
        <v>1328084</v>
      </c>
      <c r="I23" s="204">
        <f t="shared" si="4"/>
        <v>19608</v>
      </c>
      <c r="J23" s="116">
        <f t="shared" si="5"/>
        <v>10.268118977796405</v>
      </c>
      <c r="K23" s="117">
        <f t="shared" si="6"/>
        <v>120911</v>
      </c>
      <c r="L23" s="120">
        <f t="shared" si="7"/>
        <v>10.016045753177053</v>
      </c>
      <c r="O23" s="20" t="s">
        <v>59</v>
      </c>
    </row>
    <row r="24" spans="2:15" ht="21.2" customHeight="1">
      <c r="B24" s="243" t="s">
        <v>48</v>
      </c>
      <c r="C24" s="144" t="s">
        <v>31</v>
      </c>
      <c r="D24" s="198">
        <v>0</v>
      </c>
      <c r="E24" s="149">
        <v>0</v>
      </c>
      <c r="F24" s="149">
        <v>0</v>
      </c>
      <c r="G24" s="149">
        <v>0</v>
      </c>
      <c r="H24" s="149">
        <v>0</v>
      </c>
      <c r="I24" s="203">
        <f t="shared" si="4"/>
        <v>0</v>
      </c>
      <c r="J24" s="146" t="str">
        <f t="shared" si="5"/>
        <v>-</v>
      </c>
      <c r="K24" s="147">
        <f t="shared" si="6"/>
        <v>0</v>
      </c>
      <c r="L24" s="148" t="str">
        <f t="shared" si="7"/>
        <v>-</v>
      </c>
      <c r="O24" s="20" t="s">
        <v>60</v>
      </c>
    </row>
    <row r="25" spans="2:15" ht="21.2" customHeight="1">
      <c r="B25" s="243"/>
      <c r="C25" s="119" t="s">
        <v>32</v>
      </c>
      <c r="D25" s="199">
        <v>0</v>
      </c>
      <c r="E25" s="118">
        <v>0</v>
      </c>
      <c r="F25" s="118">
        <v>0</v>
      </c>
      <c r="G25" s="118">
        <v>0</v>
      </c>
      <c r="H25" s="118">
        <v>0</v>
      </c>
      <c r="I25" s="204">
        <f t="shared" si="4"/>
        <v>0</v>
      </c>
      <c r="J25" s="116" t="str">
        <f t="shared" si="5"/>
        <v>-</v>
      </c>
      <c r="K25" s="117">
        <f t="shared" si="6"/>
        <v>0</v>
      </c>
      <c r="L25" s="120" t="str">
        <f t="shared" si="7"/>
        <v>-</v>
      </c>
      <c r="O25" s="20" t="s">
        <v>61</v>
      </c>
    </row>
    <row r="26" spans="2:15" ht="21.2" customHeight="1">
      <c r="B26" s="243" t="s">
        <v>71</v>
      </c>
      <c r="C26" s="144" t="s">
        <v>31</v>
      </c>
      <c r="D26" s="198">
        <v>0</v>
      </c>
      <c r="E26" s="149">
        <v>0</v>
      </c>
      <c r="F26" s="149">
        <v>0</v>
      </c>
      <c r="G26" s="149">
        <v>0</v>
      </c>
      <c r="H26" s="149">
        <v>0</v>
      </c>
      <c r="I26" s="203">
        <f t="shared" si="4"/>
        <v>0</v>
      </c>
      <c r="J26" s="146" t="str">
        <f t="shared" si="5"/>
        <v>-</v>
      </c>
      <c r="K26" s="147">
        <f t="shared" si="6"/>
        <v>0</v>
      </c>
      <c r="L26" s="148" t="str">
        <f t="shared" si="7"/>
        <v>-</v>
      </c>
      <c r="O26" s="20" t="s">
        <v>74</v>
      </c>
    </row>
    <row r="27" spans="2:15" ht="21.2" customHeight="1">
      <c r="B27" s="243"/>
      <c r="C27" s="115" t="s">
        <v>32</v>
      </c>
      <c r="D27" s="199">
        <v>0</v>
      </c>
      <c r="E27" s="118">
        <v>0</v>
      </c>
      <c r="F27" s="118">
        <v>0</v>
      </c>
      <c r="G27" s="118">
        <v>0</v>
      </c>
      <c r="H27" s="118">
        <v>0</v>
      </c>
      <c r="I27" s="204">
        <f t="shared" si="4"/>
        <v>0</v>
      </c>
      <c r="J27" s="116" t="str">
        <f t="shared" si="5"/>
        <v>-</v>
      </c>
      <c r="K27" s="117">
        <f t="shared" si="6"/>
        <v>0</v>
      </c>
      <c r="L27" s="120" t="str">
        <f t="shared" si="7"/>
        <v>-</v>
      </c>
      <c r="O27" s="20" t="s">
        <v>74</v>
      </c>
    </row>
    <row r="28" spans="2:15" ht="21.2" customHeight="1">
      <c r="B28" s="243" t="s">
        <v>43</v>
      </c>
      <c r="C28" s="144" t="s">
        <v>44</v>
      </c>
      <c r="D28" s="197">
        <v>0</v>
      </c>
      <c r="E28" s="149">
        <v>0</v>
      </c>
      <c r="F28" s="149">
        <v>0</v>
      </c>
      <c r="G28" s="149">
        <v>0</v>
      </c>
      <c r="H28" s="149">
        <v>0</v>
      </c>
      <c r="I28" s="203">
        <f t="shared" si="4"/>
        <v>0</v>
      </c>
      <c r="J28" s="146" t="str">
        <f t="shared" si="5"/>
        <v>-</v>
      </c>
      <c r="K28" s="147">
        <f t="shared" si="6"/>
        <v>0</v>
      </c>
      <c r="L28" s="148" t="str">
        <f t="shared" si="7"/>
        <v>-</v>
      </c>
      <c r="O28" s="20" t="s">
        <v>62</v>
      </c>
    </row>
    <row r="29" spans="2:15" ht="21.2" customHeight="1">
      <c r="B29" s="243"/>
      <c r="C29" s="115" t="s">
        <v>45</v>
      </c>
      <c r="D29" s="196">
        <v>0</v>
      </c>
      <c r="E29" s="118">
        <v>0</v>
      </c>
      <c r="F29" s="118">
        <v>0</v>
      </c>
      <c r="G29" s="118">
        <v>0</v>
      </c>
      <c r="H29" s="118">
        <v>0</v>
      </c>
      <c r="I29" s="204">
        <f t="shared" si="4"/>
        <v>0</v>
      </c>
      <c r="J29" s="116" t="str">
        <f t="shared" si="5"/>
        <v>-</v>
      </c>
      <c r="K29" s="117">
        <f t="shared" si="6"/>
        <v>0</v>
      </c>
      <c r="L29" s="120" t="str">
        <f t="shared" si="7"/>
        <v>-</v>
      </c>
      <c r="O29" s="20" t="s">
        <v>62</v>
      </c>
    </row>
    <row r="30" spans="2:15" ht="21.2" customHeight="1">
      <c r="B30" s="243" t="s">
        <v>38</v>
      </c>
      <c r="C30" s="144" t="s">
        <v>31</v>
      </c>
      <c r="D30" s="197">
        <v>0</v>
      </c>
      <c r="E30" s="149">
        <v>0</v>
      </c>
      <c r="F30" s="149">
        <v>0</v>
      </c>
      <c r="G30" s="149">
        <v>0</v>
      </c>
      <c r="H30" s="149">
        <v>0</v>
      </c>
      <c r="I30" s="203">
        <f t="shared" si="4"/>
        <v>0</v>
      </c>
      <c r="J30" s="146" t="str">
        <f t="shared" si="5"/>
        <v>-</v>
      </c>
      <c r="K30" s="147">
        <f t="shared" si="6"/>
        <v>0</v>
      </c>
      <c r="L30" s="148" t="str">
        <f t="shared" si="7"/>
        <v>-</v>
      </c>
      <c r="O30" s="20" t="s">
        <v>63</v>
      </c>
    </row>
    <row r="31" spans="2:15" ht="21.2" customHeight="1">
      <c r="B31" s="243"/>
      <c r="C31" s="115" t="s">
        <v>32</v>
      </c>
      <c r="D31" s="196">
        <v>0</v>
      </c>
      <c r="E31" s="118">
        <v>0</v>
      </c>
      <c r="F31" s="118">
        <v>0</v>
      </c>
      <c r="G31" s="118">
        <v>0</v>
      </c>
      <c r="H31" s="118">
        <v>0</v>
      </c>
      <c r="I31" s="204">
        <f t="shared" si="4"/>
        <v>0</v>
      </c>
      <c r="J31" s="116" t="str">
        <f t="shared" si="5"/>
        <v>-</v>
      </c>
      <c r="K31" s="117">
        <f t="shared" si="6"/>
        <v>0</v>
      </c>
      <c r="L31" s="120" t="str">
        <f t="shared" si="7"/>
        <v>-</v>
      </c>
      <c r="O31" s="20" t="s">
        <v>64</v>
      </c>
    </row>
    <row r="32" spans="2:15" ht="21.2" customHeight="1">
      <c r="B32" s="243" t="s">
        <v>39</v>
      </c>
      <c r="C32" s="144" t="s">
        <v>31</v>
      </c>
      <c r="D32" s="197">
        <v>53812</v>
      </c>
      <c r="E32" s="145">
        <v>5191</v>
      </c>
      <c r="F32" s="145">
        <v>27603</v>
      </c>
      <c r="G32" s="145">
        <v>6664</v>
      </c>
      <c r="H32" s="145">
        <v>33527</v>
      </c>
      <c r="I32" s="203">
        <f t="shared" si="4"/>
        <v>1473</v>
      </c>
      <c r="J32" s="146">
        <f t="shared" si="5"/>
        <v>28.376035445964163</v>
      </c>
      <c r="K32" s="147">
        <f t="shared" si="6"/>
        <v>5924</v>
      </c>
      <c r="L32" s="148">
        <f t="shared" si="7"/>
        <v>21.461435351229923</v>
      </c>
      <c r="O32" s="20" t="s">
        <v>65</v>
      </c>
    </row>
    <row r="33" spans="2:15" ht="21.2" customHeight="1">
      <c r="B33" s="243"/>
      <c r="C33" s="115" t="s">
        <v>32</v>
      </c>
      <c r="D33" s="196">
        <v>904930</v>
      </c>
      <c r="E33" s="206">
        <v>84542</v>
      </c>
      <c r="F33" s="206">
        <v>452989</v>
      </c>
      <c r="G33" s="206">
        <v>103487</v>
      </c>
      <c r="H33" s="206">
        <v>533336</v>
      </c>
      <c r="I33" s="204">
        <f t="shared" si="4"/>
        <v>18945</v>
      </c>
      <c r="J33" s="116">
        <f t="shared" si="5"/>
        <v>22.408980151877174</v>
      </c>
      <c r="K33" s="117">
        <f t="shared" si="6"/>
        <v>80347</v>
      </c>
      <c r="L33" s="120">
        <f t="shared" si="7"/>
        <v>17.737075293219036</v>
      </c>
      <c r="O33" s="20" t="s">
        <v>66</v>
      </c>
    </row>
    <row r="34" spans="2:15" ht="21.2" customHeight="1">
      <c r="B34" s="243" t="s">
        <v>40</v>
      </c>
      <c r="C34" s="144" t="s">
        <v>31</v>
      </c>
      <c r="D34" s="197">
        <v>123326</v>
      </c>
      <c r="E34" s="145">
        <v>8826</v>
      </c>
      <c r="F34" s="145">
        <v>58543</v>
      </c>
      <c r="G34" s="145">
        <v>11002</v>
      </c>
      <c r="H34" s="145">
        <v>64389</v>
      </c>
      <c r="I34" s="203">
        <f t="shared" si="4"/>
        <v>2176</v>
      </c>
      <c r="J34" s="146">
        <f t="shared" si="5"/>
        <v>24.654430092907305</v>
      </c>
      <c r="K34" s="147">
        <f t="shared" si="6"/>
        <v>5846</v>
      </c>
      <c r="L34" s="148">
        <f t="shared" si="7"/>
        <v>9.9858223869634344</v>
      </c>
      <c r="O34" s="20" t="s">
        <v>67</v>
      </c>
    </row>
    <row r="35" spans="2:15" ht="21.2" customHeight="1">
      <c r="B35" s="243"/>
      <c r="C35" s="115" t="s">
        <v>32</v>
      </c>
      <c r="D35" s="196">
        <v>1781224</v>
      </c>
      <c r="E35" s="206">
        <v>131345</v>
      </c>
      <c r="F35" s="206">
        <v>829305</v>
      </c>
      <c r="G35" s="206">
        <v>151136</v>
      </c>
      <c r="H35" s="206">
        <v>939148</v>
      </c>
      <c r="I35" s="204">
        <f t="shared" si="4"/>
        <v>19791</v>
      </c>
      <c r="J35" s="116">
        <f t="shared" si="5"/>
        <v>15.067950816551829</v>
      </c>
      <c r="K35" s="117">
        <f t="shared" si="6"/>
        <v>109843</v>
      </c>
      <c r="L35" s="120">
        <f t="shared" si="7"/>
        <v>13.245187235094448</v>
      </c>
      <c r="O35" s="20" t="s">
        <v>68</v>
      </c>
    </row>
    <row r="36" spans="2:15" ht="21.2" customHeight="1">
      <c r="B36" s="243" t="s">
        <v>41</v>
      </c>
      <c r="C36" s="144" t="s">
        <v>31</v>
      </c>
      <c r="D36" s="197">
        <v>46712</v>
      </c>
      <c r="E36" s="145">
        <v>4658</v>
      </c>
      <c r="F36" s="145">
        <v>24547</v>
      </c>
      <c r="G36" s="145">
        <v>3364</v>
      </c>
      <c r="H36" s="145">
        <v>20936</v>
      </c>
      <c r="I36" s="203">
        <f t="shared" si="4"/>
        <v>-1294</v>
      </c>
      <c r="J36" s="146">
        <f t="shared" si="5"/>
        <v>-27.780163160154572</v>
      </c>
      <c r="K36" s="147">
        <f t="shared" si="6"/>
        <v>-3611</v>
      </c>
      <c r="L36" s="148">
        <f t="shared" si="7"/>
        <v>-14.710555261335401</v>
      </c>
      <c r="O36" s="20" t="s">
        <v>69</v>
      </c>
    </row>
    <row r="37" spans="2:15" ht="21.2" customHeight="1">
      <c r="B37" s="248"/>
      <c r="C37" s="121" t="s">
        <v>32</v>
      </c>
      <c r="D37" s="200">
        <v>702058</v>
      </c>
      <c r="E37" s="209">
        <v>68197</v>
      </c>
      <c r="F37" s="209">
        <v>367048</v>
      </c>
      <c r="G37" s="209">
        <v>49226</v>
      </c>
      <c r="H37" s="209">
        <v>325610</v>
      </c>
      <c r="I37" s="205">
        <f t="shared" si="4"/>
        <v>-18971</v>
      </c>
      <c r="J37" s="122">
        <f t="shared" si="5"/>
        <v>-27.817939205536902</v>
      </c>
      <c r="K37" s="123">
        <f t="shared" si="6"/>
        <v>-41438</v>
      </c>
      <c r="L37" s="124">
        <f t="shared" si="7"/>
        <v>-11.289531614393752</v>
      </c>
      <c r="O37" s="20" t="s">
        <v>70</v>
      </c>
    </row>
    <row r="38" spans="2:15" ht="21.2" customHeight="1">
      <c r="E38" s="20"/>
      <c r="H38" s="32"/>
    </row>
    <row r="39" spans="2:15" ht="21.2" customHeight="1">
      <c r="E39" s="20"/>
      <c r="H39" s="32"/>
    </row>
    <row r="40" spans="2:15">
      <c r="E40" s="20"/>
      <c r="H40" s="32"/>
    </row>
    <row r="41" spans="2:15">
      <c r="E41" s="20"/>
      <c r="H41" s="32"/>
    </row>
    <row r="42" spans="2:15">
      <c r="E42" s="20"/>
      <c r="H42" s="32"/>
    </row>
    <row r="43" spans="2:15">
      <c r="E43" s="20"/>
      <c r="H43" s="32"/>
    </row>
    <row r="44" spans="2:15">
      <c r="E44" s="20"/>
      <c r="H44" s="32"/>
    </row>
  </sheetData>
  <mergeCells count="21">
    <mergeCell ref="B22:B23"/>
    <mergeCell ref="B24:B25"/>
    <mergeCell ref="B26:B27"/>
    <mergeCell ref="B12:B13"/>
    <mergeCell ref="B14:B15"/>
    <mergeCell ref="B16:B17"/>
    <mergeCell ref="B18:B19"/>
    <mergeCell ref="B20:B21"/>
    <mergeCell ref="B28:B29"/>
    <mergeCell ref="B30:B31"/>
    <mergeCell ref="B32:B33"/>
    <mergeCell ref="B34:B35"/>
    <mergeCell ref="B36:B37"/>
    <mergeCell ref="B3:L3"/>
    <mergeCell ref="B6:B7"/>
    <mergeCell ref="B8:B9"/>
    <mergeCell ref="B10:B11"/>
    <mergeCell ref="I6:L6"/>
    <mergeCell ref="C6:C7"/>
    <mergeCell ref="G6:H6"/>
    <mergeCell ref="D6:F6"/>
  </mergeCells>
  <phoneticPr fontId="20" type="noConversion"/>
  <pageMargins left="0.74803149606299213" right="0.70866141732283472" top="0.98425196850393704" bottom="0.39370078740157483" header="0.27559055118110237" footer="0.27559055118110237"/>
  <pageSetup paperSize="9" scale="60" orientation="landscape" verticalDpi="597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통계요약</vt:lpstr>
      <vt:lpstr>연도별 수송실적</vt:lpstr>
      <vt:lpstr>컨테이너 재게</vt:lpstr>
      <vt:lpstr>'연도별 수송실적'!Print_Area</vt:lpstr>
      <vt:lpstr>통계요약!Print_Area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항만청</dc:creator>
  <cp:lastModifiedBy>MOF</cp:lastModifiedBy>
  <cp:lastPrinted>2023-11-01T07:56:07Z</cp:lastPrinted>
  <dcterms:created xsi:type="dcterms:W3CDTF">1998-03-31T03:01:22Z</dcterms:created>
  <dcterms:modified xsi:type="dcterms:W3CDTF">2024-08-27T06:31:55Z</dcterms:modified>
</cp:coreProperties>
</file>